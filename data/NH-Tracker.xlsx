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Plan - Review SP (WIP)" sheetId="1" r:id="rId1"/>
    <sheet name="Capacity" sheetId="2" r:id="rId2"/>
    <sheet name="Teams Allocation" sheetId="3" r:id="rId3"/>
    <sheet name="MVP Meetings" sheetId="4" r:id="rId4"/>
    <sheet name="Action Log" sheetId="5" r:id="rId5"/>
    <sheet name="Current Defects" sheetId="6" r:id="rId6"/>
    <sheet name="stage" sheetId="7" r:id="rId7"/>
    <sheet name="Work Plan V3" sheetId="8" r:id="rId8"/>
    <sheet name="stage-gates" sheetId="9" r:id="rId9"/>
  </sheets>
  <definedNames>
    <definedName name="_xlnm._FilterDatabase" localSheetId="7" hidden="1">'Work Plan V3'!B2:DT40</definedName>
  </definedNames>
</workbook>
</file>

<file path=xl/comments3.xml><?xml version="1.0" encoding="utf-8"?>
<comments xmlns="http://schemas.openxmlformats.org/spreadsheetml/2006/main">
  <authors>
    <author>Minas Kamel</author>
  </authors>
  <commentList>
    <comment ref="C1" authorId="0">
      <text>
        <t xml:space="preserve">Minas Kamel:
Assumption: Teams do 25 points a day
</t>
      </text>
    </comment>
    <comment ref="C12" authorId="0">
      <text>
        <t xml:space="preserve">Minas Kamel:
Funsho's:
- Auto Allocate
- Carbon Reporting</t>
      </text>
    </comment>
  </commentList>
</comments>
</file>

<file path=xl/comments7.xml><?xml version="1.0" encoding="utf-8"?>
<comments xmlns="http://schemas.openxmlformats.org/spreadsheetml/2006/main">
  <authors>
    <author>Jerome Comptdaer</author>
    <author>tc={54EE7951-7262-4200-6969-000000000000}</author>
  </authors>
  <commentList>
    <comment ref="B27" authorId="1">
      <text>
        <t/>
      </text>
    </comment>
  </commentList>
</comments>
</file>

<file path=xl/comments8.xml><?xml version="1.0" encoding="utf-8"?>
<comments xmlns="http://schemas.openxmlformats.org/spreadsheetml/2006/main">
  <authors>
    <author>Minas Kamel</author>
    <author>tc={54EE7951-7262-4200-6969-000000000001}</author>
    <author>Venkatesh Jalendiran</author>
    <author>tc={54EE7951-7262-4200-6969-000000000002}</author>
    <author>tc={54EE7951-7262-4200-6969-000000000003}</author>
    <author>tc={54EE7951-7262-4200-6969-000000000004}</author>
    <author>Yoong Leong</author>
    <author>tc={54EE7951-7262-4200-6969-000000000005}</author>
    <author>tc={54EE7951-7262-4200-6969-000000000006}</author>
    <author>tc={54EE7951-7262-4200-6969-000000000007}</author>
    <author>tc={54EE7951-7262-4200-6969-000000000008}</author>
    <author>Jerome Comptdaer</author>
    <author>tc={54EE7951-7262-4200-6969-000000000009}</author>
    <author>tc={54EE7951-7262-4200-6969-000000000010}</author>
    <author>tc={54EE7951-7262-4200-6969-000000000011}</author>
    <author>tc={54EE7951-7262-4200-6969-000000000012}</author>
    <author>tc={54EE7951-7262-4200-6969-000000000013}</author>
    <author>tc={54EE7951-7262-4200-6969-000000000014}</author>
    <author>tc={54EE7951-7262-4200-6969-000000000015}</author>
    <author>tc={54EE7951-7262-4200-6969-000000000016}</author>
    <author>tc={54EE7951-7262-4200-6969-000000000017}</author>
    <author>tc={54EE7951-7262-4200-6969-000000000018}</author>
    <author>tc={54EE7951-7262-4200-6969-000000000019}</author>
  </authors>
  <commentList>
    <comment ref="M3" authorId="1">
      <text>
        <t/>
      </text>
    </comment>
    <comment ref="M4" authorId="4">
      <text>
        <t/>
      </text>
    </comment>
    <comment ref="J6" authorId="7">
      <text>
        <t/>
      </text>
    </comment>
    <comment ref="H7" authorId="8">
      <text>
        <t/>
      </text>
    </comment>
    <comment ref="AC7" authorId="9">
      <text>
        <t/>
      </text>
    </comment>
    <comment ref="B8" authorId="13">
      <text>
        <t/>
      </text>
    </comment>
    <comment ref="B9" authorId="16">
      <text>
        <t/>
      </text>
    </comment>
    <comment ref="L13" authorId="17">
      <text>
        <t/>
      </text>
    </comment>
    <comment ref="H15" authorId="18">
      <text>
        <t/>
      </text>
    </comment>
    <comment ref="H16" authorId="20">
      <text>
        <t/>
      </text>
    </comment>
    <comment ref="D22" authorId="0">
      <text>
        <t xml:space="preserve">Minas Kamel:
Richard?</t>
      </text>
    </comment>
    <comment ref="F23" authorId="21">
      <text>
        <t/>
      </text>
    </comment>
    <comment ref="I23" authorId="22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C09]ddd\,\ d\ mmm\ 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Relationship Id="rId1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Jerome Comptdaer" id="{54EE7950-7262-4200-6969-000000000001}" userId="Jerome Comptdaer" providerId="None"/>
  <person displayName="Minas Kamel" id="{54EE7950-7262-4200-6969-000000000002}" userId="Minas Kamel" providerId="None"/>
  <person displayName="Venkatesh Jalendiran" id="{54EE7950-7262-4200-6969-000000000003}" userId="Venkatesh Jalendiran" providerId="None"/>
  <person displayName="Yoong Leong" id="{54EE7950-7262-4200-6969-000000000004}" userId="Yoong Leo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7.xml><?xml version="1.0" encoding="utf-8"?>
<ThreadedComments xmlns="http://schemas.microsoft.com/office/spreadsheetml/2018/threadedcomments">
  <threadedComment ref="B27" id="{54EE7951-7262-4200-6969-000000000000}" personId="{54EE7950-7262-4200-6969-000000000001}">
    <text xml:space="preserve">@Jerome Comptdaer @Richard Casey  Add a criteria to have all the tickets ready out of the SA. </text>
  </threadedComment>
</ThreadedComments>
</file>

<file path=xl/threadedComments/threadedComment8.xml><?xml version="1.0" encoding="utf-8"?>
<ThreadedComments xmlns="http://schemas.microsoft.com/office/spreadsheetml/2018/threadedcomments">
  <threadedComment ref="M3" id="{54EE7951-7262-4200-6969-000000000001}" personId="{54EE7950-7262-4200-6969-000000000002}">
    <text>@Venkatesh Jalendiran is this done and can be marked as green?</text>
  </threadedComment>
  <threadedComment ref="M3" id="{54EE7951-7262-4200-6969-000000000002}" parentId="{54EE7951-7262-4200-6969-000000000001}" personId="{54EE7950-7262-4200-6969-000000000003}">
    <text>@Minas Kamel I believe QA is finalising it. Hema can confirm.</text>
  </threadedComment>
  <threadedComment ref="M4" id="{54EE7951-7262-4200-6969-000000000003}" personId="{54EE7950-7262-4200-6969-000000000002}">
    <text>@Venkatesh Jalendiran is this done and can be marked as green?</text>
  </threadedComment>
  <threadedComment ref="M4" id="{54EE7951-7262-4200-6969-000000000004}" parentId="{54EE7951-7262-4200-6969-000000000003}" personId="{54EE7950-7262-4200-6969-000000000003}">
    <text>It is in progress and Item library is planned for 2 sprint ( Sprint 35 and 36) if you can refer to the sprint planning board.</text>
  </threadedComment>
  <threadedComment ref="J6" id="{54EE7951-7262-4200-6969-000000000005}" personId="{54EE7950-7262-4200-6969-000000000004}" xml:space="preserve">
    <text xml:space="preserve">Pending Final Review.  
Amit S to add database schema + api definitions since Jan 30</text>
  </threadedComment>
  <threadedComment ref="H7" id="{54EE7951-7262-4200-6969-000000000006}" personId="{54EE7950-7262-4200-6969-000000000002}">
    <text>@Venkatesh Jalendiran &amp; @Richard Casey this one was green, but it's not done yet. I made it as open item to be done.</text>
  </threadedComment>
  <threadedComment ref="AC7" id="{54EE7951-7262-4200-6969-000000000007}" personId="{54EE7950-7262-4200-6969-000000000004}">
    <text>Is this moving to Team 4 @Venkatesh Jalendiran ?</text>
  </threadedComment>
  <threadedComment ref="AC7" id="{54EE7951-7262-4200-6969-000000000008}" parentId="{54EE7951-7262-4200-6969-000000000007}" personId="{54EE7950-7262-4200-6969-000000000003}">
    <text>Yes Yoong. I messaged to Jerome to confirm before updating here.</text>
  </threadedComment>
  <threadedComment ref="AC7" id="{54EE7951-7262-4200-6969-000000000009}" parentId="{54EE7951-7262-4200-6969-000000000007}" personId="{54EE7950-7262-4200-6969-000000000001}">
    <text>What is the plan for team 1 @Venkatesh Jalendiran ?</text>
  </threadedComment>
  <threadedComment ref="B8" id="{54EE7951-7262-4200-6969-000000000010}" personId="{54EE7950-7262-4200-6969-000000000001}">
    <text>@Richard Casey @Venkatesh Jalendiran  the SA (and I believe Designs) are ready for Cost to Carbon Library to be kicked off on Sprint 36. Confirm and update.</text>
  </threadedComment>
  <threadedComment ref="B8" id="{54EE7951-7262-4200-6969-000000000011}" parentId="{54EE7951-7262-4200-6969-000000000010}" personId="{54EE7950-7262-4200-6969-000000000001}">
    <text xml:space="preserve">@Richard Casey @Venkatesh Jalendiran  I can see these Epic were added on 30 Jan - VER10-10139, VER10-10144, VER10-10135 while the initial one was VER10-9527. What has changed? The scope was signed off. </text>
  </threadedComment>
  <threadedComment ref="B8" id="{54EE7951-7262-4200-6969-000000000012}" parentId="{54EE7951-7262-4200-6969-000000000010}" personId="{54EE7950-7262-4200-6969-000000000003}">
    <text>Initially single EPIC created for all the workstream for placeholder/reporting to link VIGO design, PRD, SA .  Once PRD is finalised and refined further, have to created few more epic,  no change in the scope from original plan</text>
  </threadedComment>
  <threadedComment ref="B9" id="{54EE7951-7262-4200-6969-000000000013}" personId="{54EE7950-7262-4200-6969-000000000001}">
    <text xml:space="preserve">@Richard Casey  @Minas Kamel  as confirmed with Minas and @Venkatesh Jalendiran , please remove this initiative from scope. </text>
  </threadedComment>
  <threadedComment ref="L13" id="{54EE7951-7262-4200-6969-000000000014}" personId="{54EE7950-7262-4200-6969-000000000001}">
    <text xml:space="preserve">@Richard Casey Could you review. This one should be red. It wonÃÂÃÂÃÂÃÂÃÂÃÂÃÂÃÂÃÂÃÂÃÂÃÂÃÂÃÂÃÂÃÂ¢ÃÂÃÂÃÂÃÂÃÂÃÂÃÂÃÂÃÂÃÂÃÂÃÂÃÂÃÂÃÂÃÂÃÂÃÂÃÂÃÂÃÂÃÂÃÂÃÂÃÂÃÂÃÂÃÂÃÂÃÂÃÂÃÂt be started by the end of Sprint 36. </text>
  </threadedComment>
  <threadedComment ref="H15" id="{54EE7951-7262-4200-6969-000000000015}" personId="{54EE7950-7262-4200-6969-000000000001}">
    <text>@Richard Casey @Minas Kamel  could you confirm if Vigo has provided UX/UI screens for all the LTA initiatives</text>
  </threadedComment>
  <threadedComment ref="H15" id="{54EE7951-7262-4200-6969-000000000016}" parentId="{54EE7951-7262-4200-6969-000000000015}" personId="{54EE7950-7262-4200-6969-000000000002}">
    <text>Yes</text>
  </threadedComment>
  <threadedComment ref="H16" id="{54EE7951-7262-4200-6969-000000000017}" personId="{54EE7950-7262-4200-6969-000000000004}" xml:space="preserve">
    <text xml:space="preserve">- starts 4th Feb 2026,
- delivery ?</text>
  </threadedComment>
  <threadedComment ref="F23" id="{54EE7951-7262-4200-6969-000000000018}" personId="{54EE7950-7262-4200-6969-000000000001}">
    <text xml:space="preserve">@Richard Casey PRD was prepared last week and submitted to NH on Thu 5 Feb. Could you update. CC: @Minas Kamel </text>
  </threadedComment>
  <threadedComment ref="I23" id="{54EE7951-7262-4200-6969-000000000019}" personId="{54EE7950-7262-4200-6969-000000000002}" xml:space="preserve">
    <text xml:space="preserve">@Richard Casey this is done. The Star Rates UX requirements are straightforward. We have all the UI components available (hence it's internal design and not require Vigo). 
David &amp; I are comfortable with no Figma designs required here.
This can be marked as done  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enchmarkestimating.atlassian.net/jira/dashboards/1578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microsoft.com/office/2017/10/relationships/threadedComment" Target="../threadedComments/threadedComment7.xml"/><Relationship Id="rId3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microsoft.com/office/2017/10/relationships/threadedComment" Target="../threadedComments/threadedComment8.xml"/><Relationship Id="rId3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workbookViewId="0" rightToLeft="0"/>
  </sheetViews>
  <sheetData>
    <row r="1">
      <c r="B1" t="str">
        <v>Design Due Dates</v>
      </c>
    </row>
    <row r="2">
      <c r="B2" t="str">
        <v xml:space="preserve">  Workstream</v>
      </c>
      <c r="C2" t="str">
        <v>Owner</v>
      </c>
      <c r="D2" t="str">
        <v>NH upfront clarifcation needed?</v>
      </c>
      <c r="E2" t="str">
        <v xml:space="preserve">PRD (sent to NH for review)   </v>
      </c>
      <c r="F2" t="str">
        <v>NH Sign Off</v>
      </c>
      <c r="G2" t="str">
        <v>VIGO: UI/UX Design</v>
      </c>
      <c r="H2" t="str">
        <v>Internal: UI/UX Design</v>
      </c>
      <c r="I2" t="str">
        <v>SA (Technical Solution Design)</v>
      </c>
      <c r="J2" t="str">
        <v>All Design Activities Due Date</v>
      </c>
      <c r="K2" t="str">
        <v>Epics</v>
      </c>
      <c r="L2" t="str">
        <v>Story Point Estimate for Dev</v>
      </c>
      <c r="N2" t="str">
        <v>Assumed Estimate</v>
      </c>
      <c r="O2" t="str">
        <v>Team Days  (current 25SP/d)</v>
      </c>
    </row>
    <row r="3">
      <c r="B3" t="str">
        <v>Estimate Build – Carbon</v>
      </c>
      <c r="C3" t="str">
        <v>Venkatesh &amp; Funsho</v>
      </c>
      <c r="E3">
        <v>46015</v>
      </c>
      <c r="F3">
        <v>46021</v>
      </c>
      <c r="G3">
        <v>46038</v>
      </c>
      <c r="H3" t="str">
        <v>N/A</v>
      </c>
      <c r="I3">
        <f>G3+7</f>
        <v>46045</v>
      </c>
      <c r="J3">
        <f>I3</f>
        <v>46045</v>
      </c>
      <c r="K3" t="str">
        <v>VER10-8954, VER10-9428, VER10-9464, VER10-9527, VER10-9523</v>
      </c>
      <c r="L3">
        <v>575</v>
      </c>
      <c r="M3">
        <v>414</v>
      </c>
      <c r="N3" t="str">
        <v xml:space="preserve"> </v>
      </c>
      <c r="O3">
        <f>SUM(L3:N3) / Capacity!$B$2</f>
        <v>141.28571428571428</v>
      </c>
    </row>
    <row r="4">
      <c r="B4" t="str">
        <v xml:space="preserve"> Interim Forecasting Tool</v>
      </c>
      <c r="C4" t="str">
        <v>Venkatesh</v>
      </c>
      <c r="E4">
        <v>46031</v>
      </c>
      <c r="F4">
        <v>46035</v>
      </c>
      <c r="G4">
        <v>46043</v>
      </c>
      <c r="H4" t="str">
        <v>N/A</v>
      </c>
      <c r="I4">
        <f>G4+7</f>
        <v>46050</v>
      </c>
      <c r="J4">
        <f>I4</f>
        <v>46050</v>
      </c>
      <c r="K4" t="str">
        <v xml:space="preserve">VER10-8678, VER10-8680, VER10-8682, VER10-8858,, VER10-8679, VER10-8921, VER10-9049,, VER10-9128, </v>
      </c>
      <c r="L4">
        <v>177</v>
      </c>
      <c r="M4">
        <v>200</v>
      </c>
      <c r="N4" t="str">
        <v xml:space="preserve"> </v>
      </c>
      <c r="O4">
        <f>SUM(L4:N4) / Capacity!$B$2</f>
        <v>53.857142857142854</v>
      </c>
    </row>
    <row r="5">
      <c r="B5" t="str">
        <v xml:space="preserve"> Long-Term Appraisal</v>
      </c>
      <c r="C5" t="str">
        <v>Funsho</v>
      </c>
      <c r="E5" t="str">
        <v>Fri 12 Dec 2025 (Done on time)</v>
      </c>
      <c r="F5">
        <v>46008</v>
      </c>
      <c r="G5">
        <v>46037</v>
      </c>
      <c r="H5" t="str">
        <v>N/A</v>
      </c>
      <c r="I5">
        <f>G5+7</f>
        <v>46044</v>
      </c>
      <c r="J5">
        <f>I5</f>
        <v>46044</v>
      </c>
      <c r="K5" t="str">
        <v>VER10-8565</v>
      </c>
      <c r="L5">
        <v>260</v>
      </c>
      <c r="M5">
        <v>200</v>
      </c>
      <c r="N5" t="str">
        <v xml:space="preserve"> </v>
      </c>
      <c r="O5">
        <f>SUM(L5:N5) / Capacity!$B$2</f>
        <v>65.71428571428571</v>
      </c>
    </row>
    <row r="6">
      <c r="B6" t="str">
        <v xml:space="preserve">Comparator </v>
      </c>
      <c r="C6" t="str">
        <v>Funsho</v>
      </c>
      <c r="D6" t="str">
        <v>Y</v>
      </c>
      <c r="E6" t="str">
        <v>19/12/2025 (Done on time)</v>
      </c>
      <c r="F6">
        <v>46015</v>
      </c>
      <c r="G6">
        <v>46037</v>
      </c>
      <c r="H6" t="str">
        <v>N/A</v>
      </c>
      <c r="I6">
        <f>G6+7</f>
        <v>46044</v>
      </c>
      <c r="J6">
        <f>I6</f>
        <v>46044</v>
      </c>
      <c r="K6" t="str">
        <v>VER10-8953</v>
      </c>
      <c r="L6">
        <v>120</v>
      </c>
      <c r="M6">
        <v>100</v>
      </c>
      <c r="N6" t="str">
        <v xml:space="preserve"> </v>
      </c>
      <c r="O6">
        <f>SUM(L6:N6) / Capacity!$B$2</f>
        <v>31.428571428571427</v>
      </c>
    </row>
    <row r="7">
      <c r="B7" t="str">
        <v xml:space="preserve">Workflow </v>
      </c>
      <c r="C7" t="str">
        <v>Funsho</v>
      </c>
      <c r="D7" t="str">
        <v>Y</v>
      </c>
      <c r="E7" t="str">
        <v>Wed 17 Dec 2025 (1 day delay)</v>
      </c>
      <c r="F7">
        <v>46010</v>
      </c>
      <c r="G7" t="str">
        <v>N/A</v>
      </c>
      <c r="H7">
        <v>46031</v>
      </c>
      <c r="I7">
        <f>H7+7</f>
        <v>46038</v>
      </c>
      <c r="J7">
        <f>I7</f>
        <v>46038</v>
      </c>
      <c r="K7" t="str">
        <v>VER10-9028</v>
      </c>
      <c r="L7">
        <v>35</v>
      </c>
      <c r="M7">
        <v>35</v>
      </c>
      <c r="N7" t="str">
        <v xml:space="preserve"> </v>
      </c>
      <c r="O7">
        <f>SUM(L7:N7) / Capacity!$B$2</f>
        <v>10</v>
      </c>
    </row>
    <row r="8">
      <c r="B8" t="str">
        <v>Tasks</v>
      </c>
      <c r="C8" t="str">
        <v>Funsho</v>
      </c>
      <c r="E8" t="str">
        <v>Wed 17 Dec 2025 (1 day delay)</v>
      </c>
      <c r="F8">
        <v>46010</v>
      </c>
      <c r="G8" t="str">
        <v>N/A</v>
      </c>
      <c r="H8">
        <v>46031</v>
      </c>
      <c r="I8">
        <f>H8+7</f>
        <v>46038</v>
      </c>
      <c r="J8">
        <f>I8</f>
        <v>46038</v>
      </c>
      <c r="K8" t="str">
        <v>VER10-9027</v>
      </c>
      <c r="L8">
        <v>40</v>
      </c>
      <c r="M8">
        <v>0</v>
      </c>
      <c r="N8" t="str">
        <v xml:space="preserve"> </v>
      </c>
      <c r="O8">
        <f>SUM(L8:N8) / Capacity!$B$2</f>
        <v>5.714285714285714</v>
      </c>
    </row>
    <row r="9">
      <c r="B9" t="str">
        <v>Portfolio/Programme Risk</v>
      </c>
      <c r="C9" t="str">
        <v>Funsho</v>
      </c>
      <c r="E9" t="str">
        <v>Fri 12 Dec 2025 (Done on time)</v>
      </c>
      <c r="F9">
        <v>46008</v>
      </c>
      <c r="G9">
        <v>46044</v>
      </c>
      <c r="H9" t="str">
        <v>N/A</v>
      </c>
      <c r="I9">
        <f>G9+7</f>
        <v>46051</v>
      </c>
      <c r="J9">
        <f>I9</f>
        <v>46051</v>
      </c>
      <c r="K9" t="str">
        <v>VER10-9494</v>
      </c>
      <c r="L9">
        <v>80</v>
      </c>
      <c r="M9">
        <v>60</v>
      </c>
      <c r="N9" t="str">
        <v xml:space="preserve"> </v>
      </c>
      <c r="O9">
        <f>SUM(L9:N9) / Capacity!$B$2</f>
        <v>20</v>
      </c>
    </row>
    <row r="10">
      <c r="B10" t="str">
        <v>Calculators/Cost Models (Chapter 10)</v>
      </c>
      <c r="C10" t="str">
        <v>Minas</v>
      </c>
      <c r="E10" t="str">
        <v>Thu 18 Dec 2025 (Done on time)</v>
      </c>
      <c r="F10">
        <v>46015</v>
      </c>
      <c r="G10" t="str">
        <v>N/A</v>
      </c>
      <c r="H10">
        <v>46031</v>
      </c>
      <c r="I10">
        <f>H10+7</f>
        <v>46038</v>
      </c>
      <c r="J10">
        <f>I10</f>
        <v>46038</v>
      </c>
      <c r="K10" t="str">
        <v>No Epic</v>
      </c>
      <c r="L10">
        <v>20</v>
      </c>
      <c r="M10">
        <v>20</v>
      </c>
      <c r="N10" t="str">
        <v xml:space="preserve"> </v>
      </c>
      <c r="O10">
        <f>SUM(L10:N10) / Capacity!$B$2</f>
        <v>5.714285714285714</v>
      </c>
    </row>
    <row r="11">
      <c r="B11" t="str">
        <v>Scenario Analysis (Chapter 7)</v>
      </c>
      <c r="C11" t="str">
        <v>Venkatesh? (TBC)</v>
      </c>
      <c r="E11" t="str">
        <v>Fri, 13 Feb 2026</v>
      </c>
      <c r="F11" t="str">
        <v>Fri, 20 Feb 2026</v>
      </c>
      <c r="G11">
        <v>46051</v>
      </c>
      <c r="H11" t="str">
        <v>N/A</v>
      </c>
      <c r="I11">
        <f>G11+7</f>
        <v>46058</v>
      </c>
      <c r="J11">
        <f>I11</f>
        <v>46058</v>
      </c>
      <c r="K11" t="str">
        <v>VER10-8958</v>
      </c>
      <c r="L11">
        <v>140</v>
      </c>
      <c r="M11">
        <v>100</v>
      </c>
      <c r="N11" t="str">
        <v xml:space="preserve"> </v>
      </c>
      <c r="O11">
        <f>SUM(L11:N11) / Capacity!$B$2</f>
        <v>34.285714285714285</v>
      </c>
    </row>
    <row r="12">
      <c r="B12" t="str">
        <v>Star Rates</v>
      </c>
      <c r="C12" t="str">
        <v>Minas? (TBC)</v>
      </c>
      <c r="E12">
        <v>46045</v>
      </c>
      <c r="F12">
        <v>46052</v>
      </c>
      <c r="G12" t="str">
        <v>N/A</v>
      </c>
      <c r="H12">
        <v>46059</v>
      </c>
      <c r="I12">
        <f>H12+7</f>
        <v>46066</v>
      </c>
      <c r="J12">
        <f>I12</f>
        <v>46066</v>
      </c>
      <c r="K12" t="str">
        <v>No Epic</v>
      </c>
      <c r="L12">
        <v>90</v>
      </c>
      <c r="M12">
        <v>60</v>
      </c>
      <c r="N12" t="str">
        <v xml:space="preserve"> </v>
      </c>
      <c r="O12">
        <f>SUM(L12:N12) / Capacity!$B$2</f>
        <v>21.428571428571427</v>
      </c>
    </row>
    <row r="13">
      <c r="B13" t="str">
        <v>TPE</v>
      </c>
      <c r="C13" t="str">
        <v>Venkatesh</v>
      </c>
      <c r="E13">
        <v>46045</v>
      </c>
      <c r="F13">
        <v>46050</v>
      </c>
      <c r="G13">
        <v>46059</v>
      </c>
      <c r="H13" t="str">
        <v>N/A</v>
      </c>
      <c r="I13">
        <f>G13+7</f>
        <v>46066</v>
      </c>
      <c r="J13">
        <f>I13</f>
        <v>46066</v>
      </c>
      <c r="K13" t="str">
        <v>VER10-9184</v>
      </c>
      <c r="L13">
        <v>350</v>
      </c>
      <c r="M13">
        <v>215</v>
      </c>
      <c r="N13" t="str">
        <v xml:space="preserve"> </v>
      </c>
      <c r="O13">
        <f>SUM(L13:N13) / Capacity!$B$2</f>
        <v>80.71428571428571</v>
      </c>
    </row>
    <row r="14">
      <c r="B14" t="str">
        <v>Dashboards (Power BI)</v>
      </c>
      <c r="C14" t="str">
        <v>Minas</v>
      </c>
      <c r="E14">
        <v>46015</v>
      </c>
      <c r="F14">
        <v>46022</v>
      </c>
      <c r="G14">
        <v>46051</v>
      </c>
      <c r="H14" t="str">
        <v>N/A</v>
      </c>
      <c r="I14">
        <f>G14+7</f>
        <v>46058</v>
      </c>
      <c r="J14">
        <f>I14</f>
        <v>46058</v>
      </c>
      <c r="K14" t="str">
        <v>No Epic</v>
      </c>
      <c r="L14">
        <v>40</v>
      </c>
      <c r="M14">
        <v>40</v>
      </c>
      <c r="N14" t="str">
        <v xml:space="preserve"> </v>
      </c>
      <c r="O14">
        <f>SUM(L14:N14) / Capacity!$B$2</f>
        <v>11.428571428571429</v>
      </c>
    </row>
    <row r="15">
      <c r="B15" t="str">
        <v>Contractor Fee Library</v>
      </c>
      <c r="C15" t="str">
        <v>Minas</v>
      </c>
      <c r="E15">
        <v>46031</v>
      </c>
      <c r="F15">
        <v>46036</v>
      </c>
      <c r="G15" t="str">
        <v>N/A</v>
      </c>
      <c r="H15">
        <v>46038</v>
      </c>
      <c r="I15">
        <f>H15+7</f>
        <v>46045</v>
      </c>
      <c r="J15">
        <f>I15</f>
        <v>46045</v>
      </c>
      <c r="K15" t="str">
        <v>VER10-9271</v>
      </c>
      <c r="L15">
        <v>90</v>
      </c>
      <c r="M15">
        <v>80</v>
      </c>
      <c r="N15" t="str">
        <v xml:space="preserve"> </v>
      </c>
      <c r="O15">
        <f>SUM(L15:N15) / Capacity!$B$2</f>
        <v>24.285714285714285</v>
      </c>
    </row>
    <row r="16">
      <c r="B16" t="str">
        <v>System Access</v>
      </c>
      <c r="C16" t="str">
        <v>Minas</v>
      </c>
      <c r="E16">
        <v>46038</v>
      </c>
      <c r="F16" t="str">
        <v>N/A</v>
      </c>
      <c r="G16" t="str">
        <v>N/A</v>
      </c>
      <c r="H16">
        <v>46038</v>
      </c>
      <c r="I16">
        <f>H16+7</f>
        <v>46045</v>
      </c>
      <c r="J16">
        <f>I16</f>
        <v>46045</v>
      </c>
      <c r="K16" t="str">
        <v>No Epic</v>
      </c>
      <c r="L16">
        <v>40</v>
      </c>
      <c r="M16">
        <v>40</v>
      </c>
      <c r="N16" t="str">
        <v xml:space="preserve"> </v>
      </c>
      <c r="O16">
        <f>SUM(L16:N16) / Capacity!$B$2</f>
        <v>11.428571428571429</v>
      </c>
    </row>
    <row r="17">
      <c r="B17" t="str">
        <v>Audit Log</v>
      </c>
      <c r="C17" t="str">
        <v>Minas</v>
      </c>
      <c r="E17">
        <v>46052</v>
      </c>
      <c r="F17">
        <v>46059</v>
      </c>
      <c r="G17" t="str">
        <v>N/A</v>
      </c>
      <c r="H17">
        <v>46066</v>
      </c>
      <c r="I17" t="str">
        <v>?</v>
      </c>
      <c r="K17" t="str">
        <v>VER10-8955</v>
      </c>
      <c r="L17">
        <v>10</v>
      </c>
      <c r="M17">
        <v>11</v>
      </c>
      <c r="N17" t="str">
        <v xml:space="preserve"> </v>
      </c>
      <c r="O17">
        <f>SUM(L17:N17) / Capacity!$B$2</f>
        <v>3</v>
      </c>
    </row>
    <row r="18">
      <c r="B18" t="str">
        <v>WBS Tags and Custom Fields</v>
      </c>
      <c r="C18" t="str">
        <v>Funsho</v>
      </c>
      <c r="E18" t="str">
        <v>Done</v>
      </c>
      <c r="F18" t="str">
        <v>Done</v>
      </c>
      <c r="G18" t="str">
        <v>Done</v>
      </c>
      <c r="H18" t="str">
        <v>Done</v>
      </c>
      <c r="I18" t="str">
        <v>Done</v>
      </c>
      <c r="J18" t="str">
        <v>Done</v>
      </c>
      <c r="K18" t="str">
        <v>VER10-8916, VER10-8268</v>
      </c>
      <c r="L18" t="str">
        <v>Need Estimate</v>
      </c>
      <c r="M18" t="str">
        <v>Need Estimate</v>
      </c>
      <c r="N18" t="str">
        <v xml:space="preserve"> </v>
      </c>
      <c r="O18">
        <f>SUM(L18:N18) / Capacity!$B$2</f>
        <v>0</v>
      </c>
    </row>
    <row r="19">
      <c r="B19" t="str">
        <v>Reporting Foundation Admin</v>
      </c>
      <c r="C19" t="str">
        <v>Funsho</v>
      </c>
      <c r="E19" t="str">
        <v>Done</v>
      </c>
      <c r="F19" t="str">
        <v>Done</v>
      </c>
      <c r="G19" t="str">
        <v>Done</v>
      </c>
      <c r="H19" t="str">
        <v>Done</v>
      </c>
      <c r="I19" t="str">
        <v>Done</v>
      </c>
      <c r="J19" t="str">
        <v>Done</v>
      </c>
      <c r="K19" t="str">
        <v>VER10-8476</v>
      </c>
      <c r="L19">
        <v>19</v>
      </c>
      <c r="M19">
        <v>19</v>
      </c>
      <c r="N19" t="str">
        <v xml:space="preserve"> </v>
      </c>
      <c r="O19">
        <f>SUM(L19:N19) / Capacity!$B$2</f>
        <v>5.428571428571429</v>
      </c>
    </row>
    <row r="20">
      <c r="B20" t="str">
        <v>Inflation</v>
      </c>
      <c r="C20" t="str">
        <v>Funsho</v>
      </c>
      <c r="E20" t="str">
        <v>Done</v>
      </c>
      <c r="F20" t="str">
        <v>Done</v>
      </c>
      <c r="G20" t="str">
        <v>Done</v>
      </c>
      <c r="H20" t="str">
        <v>Done</v>
      </c>
      <c r="I20" t="str">
        <v>Done</v>
      </c>
      <c r="J20" t="str">
        <v>Done</v>
      </c>
      <c r="K20" t="str">
        <v>VER10-8903, VER10-8570</v>
      </c>
      <c r="L20">
        <v>41</v>
      </c>
      <c r="M20">
        <v>41</v>
      </c>
      <c r="N20" t="str">
        <v xml:space="preserve"> </v>
      </c>
      <c r="O20">
        <f>SUM(L20:N20) / Capacity!$B$2</f>
        <v>11.714285714285714</v>
      </c>
    </row>
    <row r="21">
      <c r="B21" t="str">
        <v>AR and O&amp;M fixed reports</v>
      </c>
      <c r="E21" t="str">
        <v>Done</v>
      </c>
      <c r="F21" t="str">
        <v>Done</v>
      </c>
      <c r="G21" t="str">
        <v>Done</v>
      </c>
      <c r="H21" t="str">
        <v>Done</v>
      </c>
      <c r="I21" t="str">
        <v>Done</v>
      </c>
      <c r="J21" t="str">
        <v>Done</v>
      </c>
      <c r="K21" t="str">
        <v>VER10-7878, VER10-7879</v>
      </c>
      <c r="L21">
        <v>47</v>
      </c>
      <c r="M21">
        <v>47</v>
      </c>
      <c r="N21" t="str">
        <v xml:space="preserve"> </v>
      </c>
      <c r="O21">
        <f>SUM(L21:N21) / Capacity!$B$2</f>
        <v>13.428571428571429</v>
      </c>
    </row>
    <row r="22">
      <c r="B22" t="str">
        <v>CCESS</v>
      </c>
      <c r="E22" t="str">
        <v>Done</v>
      </c>
      <c r="F22" t="str">
        <v>Done</v>
      </c>
      <c r="G22" t="str">
        <v>Done</v>
      </c>
      <c r="H22" t="str">
        <v>Done</v>
      </c>
      <c r="I22" t="str">
        <v>Done</v>
      </c>
      <c r="J22" t="str">
        <v>Done</v>
      </c>
      <c r="K22" t="str">
        <v>VER10-6966</v>
      </c>
      <c r="L22">
        <v>5</v>
      </c>
      <c r="M22">
        <v>5</v>
      </c>
      <c r="N22" t="str">
        <v xml:space="preserve"> </v>
      </c>
      <c r="O22">
        <f>SUM(L22:N22) / Capacity!$B$2</f>
        <v>1.4285714285714286</v>
      </c>
    </row>
    <row r="23">
      <c r="L23">
        <f>SUM(L3:L22)</f>
        <v>2179</v>
      </c>
      <c r="M23">
        <f>SUM(M3:M22)</f>
        <v>1687</v>
      </c>
      <c r="O23">
        <f>SUM(O3:O22)</f>
        <v>552.2857142857143</v>
      </c>
    </row>
  </sheetData>
  <mergeCells count="1">
    <mergeCell ref="B1:O1"/>
  </mergeCells>
  <pageMargins left="0.7" right="0.7" top="0.75" bottom="0.75" header="0.3" footer="0.3"/>
  <ignoredErrors>
    <ignoredError numberStoredAsText="1" sqref="A1:P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C1" t="str">
        <v>per week</v>
      </c>
      <c r="D1" t="str">
        <v>whole team</v>
      </c>
    </row>
    <row r="2">
      <c r="A2" t="str">
        <v>Required per team per day</v>
      </c>
      <c r="B2">
        <v>7</v>
      </c>
      <c r="C2">
        <f>B2*5</f>
        <v>35</v>
      </c>
      <c r="D2">
        <f>C2*5</f>
        <v>175</v>
      </c>
    </row>
    <row r="3">
      <c r="A3" t="str">
        <v>Ideal per team per day</v>
      </c>
      <c r="B3">
        <v>8</v>
      </c>
      <c r="C3">
        <f>B3*5</f>
        <v>40</v>
      </c>
      <c r="D3">
        <f>C3*5</f>
        <v>200</v>
      </c>
    </row>
    <row r="4">
      <c r="A4" t="str">
        <v xml:space="preserve"> </v>
      </c>
    </row>
    <row r="5">
      <c r="A5" t="str">
        <v>per dev per day</v>
      </c>
      <c r="C5">
        <f>C3/28</f>
        <v>1.4285714285714286</v>
      </c>
    </row>
  </sheetData>
  <pageMargins left="0.7" right="0.7" top="0.75" bottom="0.75" header="0.3" footer="0.3"/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Q57"/>
  <sheetViews>
    <sheetView workbookViewId="0" rightToLeft="0"/>
  </sheetViews>
  <sheetData>
    <row r="1">
      <c r="C1" t="str">
        <v># points / week</v>
      </c>
      <c r="D1">
        <v>46013</v>
      </c>
      <c r="E1">
        <v>46020</v>
      </c>
      <c r="F1">
        <v>45662</v>
      </c>
      <c r="G1">
        <v>45669</v>
      </c>
      <c r="H1">
        <v>45676</v>
      </c>
      <c r="I1">
        <v>45683</v>
      </c>
      <c r="J1">
        <v>45690</v>
      </c>
      <c r="K1">
        <v>45697</v>
      </c>
      <c r="L1">
        <v>45704</v>
      </c>
      <c r="M1">
        <v>45711</v>
      </c>
      <c r="N1">
        <v>45718</v>
      </c>
      <c r="O1">
        <v>45725</v>
      </c>
      <c r="P1">
        <v>45732</v>
      </c>
      <c r="Q1">
        <v>45739</v>
      </c>
    </row>
    <row r="2" xml:space="preserve">
      <c r="B2" t="str" xml:space="preserve">
        <v xml:space="preserve">Team 1_x000d_
Venkatesh &amp; Sunjeet (3 devs)</v>
      </c>
      <c r="C2">
        <v>25</v>
      </c>
      <c r="P2" t="str">
        <v>Regression/UAT</v>
      </c>
      <c r="Q2" t="str">
        <v>UAT</v>
      </c>
    </row>
    <row r="3" xml:space="preserve">
      <c r="B3" t="str" xml:space="preserve">
        <v xml:space="preserve">Team 2_x000d_
Minas &amp; Manish (3 devs)</v>
      </c>
      <c r="C3">
        <v>25</v>
      </c>
    </row>
    <row r="4" xml:space="preserve">
      <c r="B4" t="str" xml:space="preserve">
        <v xml:space="preserve">Team 3_x000d_
Minas &amp; Vivek (2 devs)</v>
      </c>
      <c r="C4">
        <v>20</v>
      </c>
    </row>
    <row r="5" xml:space="preserve">
      <c r="B5" t="str" xml:space="preserve">
        <v xml:space="preserve">Team 4_x000d_
Venkatesh &amp; Amit (4 devs)</v>
      </c>
      <c r="C5">
        <v>30</v>
      </c>
    </row>
    <row r="6" xml:space="preserve">
      <c r="B6" t="str" xml:space="preserve">
        <v xml:space="preserve">Team 5_x000d_
Minas &amp; Laurence (2 devs)</v>
      </c>
      <c r="C6">
        <v>25</v>
      </c>
    </row>
    <row r="8">
      <c r="B8" t="str">
        <v>TOTAL</v>
      </c>
      <c r="C8">
        <f>SUM(C2:C6)</f>
        <v>125</v>
      </c>
    </row>
    <row r="9">
      <c r="B9" t="str">
        <v>To deliver 1500 points (weeks)</v>
      </c>
      <c r="C9">
        <f>1500/C8</f>
        <v>12</v>
      </c>
    </row>
    <row r="10">
      <c r="B10" t="str">
        <v>To deliver 1500 points in 9 weeks (SP per week)</v>
      </c>
      <c r="C10">
        <f>1500/9</f>
        <v>166.66666666666666</v>
      </c>
    </row>
    <row r="11">
      <c r="B11" t="str">
        <v>Team</v>
      </c>
      <c r="C11" t="str">
        <v>Epic</v>
      </c>
      <c r="D11" t="str">
        <v>Reduced Estimate</v>
      </c>
      <c r="E11" t="str">
        <v># weeks</v>
      </c>
      <c r="F11" t="str">
        <v>Dependent On</v>
      </c>
      <c r="G11" t="str">
        <v>Extra Weeks</v>
      </c>
    </row>
    <row r="12" xml:space="preserve">
      <c r="B12" t="str" xml:space="preserve">
        <v xml:space="preserve">Team 1_x000d_
Venkatesh &amp; Sunjeet</v>
      </c>
      <c r="C12" t="str">
        <v>Carbon (incl EPD, Auto Allocate)</v>
      </c>
      <c r="D12">
        <f>SUM(D13:D20)</f>
        <v>455</v>
      </c>
      <c r="E12">
        <f>D12/$C$2</f>
        <v>18.2</v>
      </c>
      <c r="G12">
        <f>SUM(E12)-COUNT($D$1:$O$1)</f>
        <v>6.199999999999999</v>
      </c>
    </row>
    <row r="13">
      <c r="C13" t="str">
        <v>Carbon Resource Library</v>
      </c>
      <c r="D13">
        <v>55</v>
      </c>
      <c r="E13">
        <f>D13/$C$2</f>
        <v>2.2</v>
      </c>
    </row>
    <row r="14">
      <c r="C14" t="str">
        <v>Carbon Item Library</v>
      </c>
      <c r="D14">
        <v>85</v>
      </c>
      <c r="E14">
        <f>D14/$C$2</f>
        <v>3.4</v>
      </c>
      <c r="F14" t="str">
        <v>Carbon Resource</v>
      </c>
    </row>
    <row r="15">
      <c r="C15" t="str">
        <v>WBS Carbon &amp; Calc</v>
      </c>
      <c r="D15">
        <v>75</v>
      </c>
      <c r="E15">
        <f>D15/$C$2</f>
        <v>3</v>
      </c>
      <c r="F15" t="str">
        <v>Carbon Libraries</v>
      </c>
    </row>
    <row r="16">
      <c r="C16" t="str">
        <v>Baseline Assumption</v>
      </c>
      <c r="D16">
        <v>40</v>
      </c>
      <c r="E16">
        <f>D16/$C$2</f>
        <v>1.6</v>
      </c>
    </row>
    <row r="17">
      <c r="C17" t="str">
        <v>EPD</v>
      </c>
      <c r="D17">
        <v>75</v>
      </c>
      <c r="E17">
        <f>D17/$C$2</f>
        <v>3</v>
      </c>
    </row>
    <row r="18">
      <c r="C18" t="str">
        <v>Cost to Carbon Library</v>
      </c>
      <c r="D18">
        <v>85</v>
      </c>
      <c r="E18">
        <f>D18/$C$2</f>
        <v>3.4</v>
      </c>
      <c r="F18" t="str">
        <v>Carbon WBS</v>
      </c>
    </row>
    <row r="19">
      <c r="C19" t="str">
        <v>Auto-Allocate</v>
      </c>
      <c r="D19">
        <v>40</v>
      </c>
      <c r="E19">
        <f>D19/$C$2</f>
        <v>1.6</v>
      </c>
      <c r="F19" t="str">
        <v>Carbon Libraries</v>
      </c>
    </row>
    <row r="20">
      <c r="C20" t="str">
        <v>Carbon Reports</v>
      </c>
      <c r="D20" t="str">
        <v>-</v>
      </c>
      <c r="E20" t="str">
        <v>-</v>
      </c>
    </row>
    <row r="22" xml:space="preserve">
      <c r="B22" t="str" xml:space="preserve">
        <v xml:space="preserve">Team 2_x000d_
Minas &amp; Manish</v>
      </c>
      <c r="C22" t="str">
        <v>Inflation</v>
      </c>
      <c r="D22">
        <v>41</v>
      </c>
      <c r="E22">
        <f>D22/$C$3</f>
        <v>1.64</v>
      </c>
      <c r="G22">
        <f>SUM(E22:E26)-COUNT($D$1:$O$1)</f>
        <v>2.4400000000000013</v>
      </c>
    </row>
    <row r="23">
      <c r="C23" t="str">
        <v>LTA</v>
      </c>
      <c r="D23">
        <v>180</v>
      </c>
      <c r="E23">
        <f>D23/$C$3</f>
        <v>7.2</v>
      </c>
      <c r="F23" t="str">
        <v>Carbon WBS</v>
      </c>
    </row>
    <row r="24">
      <c r="C24" t="str">
        <v>Star Rates</v>
      </c>
      <c r="D24">
        <v>60</v>
      </c>
      <c r="E24">
        <f>D24/$C$6</f>
        <v>2.4</v>
      </c>
    </row>
    <row r="25">
      <c r="C25" t="str">
        <v>Contractor Fee Library</v>
      </c>
      <c r="D25">
        <v>80</v>
      </c>
      <c r="E25">
        <f>D25/$C$6</f>
        <v>3.2</v>
      </c>
      <c r="F25" t="str">
        <v>IFT?</v>
      </c>
    </row>
    <row r="27" xml:space="preserve">
      <c r="B27" t="str" xml:space="preserve">
        <v xml:space="preserve">Team 3_x000d_
Minas &amp; Vivek</v>
      </c>
      <c r="C27" t="str">
        <v>Reporting Foundation Admin</v>
      </c>
      <c r="D27">
        <v>19</v>
      </c>
      <c r="E27">
        <f>D27/$C$4</f>
        <v>0.95</v>
      </c>
      <c r="G27">
        <f>SUM(E27:E33)-COUNT($D$1:$O$1)</f>
        <v>-1.6999999999999993</v>
      </c>
    </row>
    <row r="28">
      <c r="C28" t="str">
        <v>Portfolio/Programme Risk</v>
      </c>
      <c r="D28">
        <v>60</v>
      </c>
      <c r="E28">
        <f>D28/$C$4</f>
        <v>3</v>
      </c>
    </row>
    <row r="29">
      <c r="C29" t="str">
        <v>AR and O&amp;M fixed reports</v>
      </c>
      <c r="D29">
        <v>47</v>
      </c>
      <c r="E29">
        <f>D29/$C$4</f>
        <v>2.35</v>
      </c>
      <c r="F29" t="str">
        <v>Carbon &amp; Reporting Foundation Admin</v>
      </c>
    </row>
    <row r="30">
      <c r="C30" t="str">
        <v>CCESS</v>
      </c>
      <c r="D30">
        <v>5</v>
      </c>
      <c r="E30">
        <f>D30/$C$4</f>
        <v>0.25</v>
      </c>
      <c r="F30" t="str">
        <v>Carbon &amp; Reporting Foundation Admin</v>
      </c>
    </row>
    <row r="31">
      <c r="C31" t="str">
        <v>Carbon Reports</v>
      </c>
      <c r="D31">
        <v>40</v>
      </c>
      <c r="E31">
        <f>D31/$C$4</f>
        <v>2</v>
      </c>
      <c r="F31" t="str">
        <v>Carbon</v>
      </c>
    </row>
    <row r="32">
      <c r="C32" t="str">
        <v>Workflow</v>
      </c>
      <c r="D32">
        <v>35</v>
      </c>
      <c r="E32">
        <f>D32/$C$4</f>
        <v>1.75</v>
      </c>
    </row>
    <row r="34" xml:space="preserve">
      <c r="B34" t="str" xml:space="preserve">
        <v xml:space="preserve">Team 4_x000d_
Venkatesh &amp; Amit</v>
      </c>
      <c r="C34" t="str">
        <v>Supply Chain - Interim Forecasting Tool</v>
      </c>
      <c r="D34">
        <v>200</v>
      </c>
      <c r="E34">
        <f>D34/$C$5</f>
        <v>6.666666666666667</v>
      </c>
      <c r="F34" t="str">
        <v>Carbon WBS</v>
      </c>
      <c r="G34">
        <f>SUM(E34:E36)-COUNT($D$1:$O$1)</f>
        <v>1.833333333333334</v>
      </c>
    </row>
    <row r="35">
      <c r="C35" t="str">
        <v>TPE</v>
      </c>
      <c r="D35">
        <v>215</v>
      </c>
      <c r="E35">
        <f>D35/$C$5</f>
        <v>7.166666666666667</v>
      </c>
    </row>
    <row r="37" xml:space="preserve">
      <c r="B37" t="str" xml:space="preserve">
        <v xml:space="preserve">Team 5_x000d_
Minas &amp; Laurence</v>
      </c>
      <c r="C37" t="str">
        <v>Audit Log</v>
      </c>
      <c r="D37">
        <v>11</v>
      </c>
      <c r="E37">
        <f>D37/$C$6</f>
        <v>0.44</v>
      </c>
      <c r="G37">
        <f>SUM(E37:E41)-COUNT($D$1:$O$1)</f>
        <v>-0.35999999999999943</v>
      </c>
    </row>
    <row r="38">
      <c r="C38" t="str">
        <v>System Access</v>
      </c>
      <c r="D38">
        <v>40</v>
      </c>
      <c r="E38">
        <f>D38/$C$6</f>
        <v>1.6</v>
      </c>
    </row>
    <row r="39">
      <c r="C39" t="str">
        <v>Calculators/Cost Models</v>
      </c>
      <c r="D39">
        <v>20</v>
      </c>
      <c r="E39">
        <f>D39/$C$6</f>
        <v>0.8</v>
      </c>
    </row>
    <row r="40">
      <c r="C40" t="str">
        <v xml:space="preserve">Comparator </v>
      </c>
      <c r="D40">
        <v>120</v>
      </c>
      <c r="E40">
        <f>D40/$C$3</f>
        <v>4.8</v>
      </c>
      <c r="F40" t="str">
        <v>Carbon WBS</v>
      </c>
    </row>
    <row r="41">
      <c r="C41" t="str">
        <v>Scenario Analysis</v>
      </c>
      <c r="D41">
        <v>100</v>
      </c>
      <c r="E41">
        <f>D41/$C$3</f>
        <v>4</v>
      </c>
      <c r="F41" t="str">
        <v>Comparator</v>
      </c>
    </row>
    <row r="43">
      <c r="B43" t="str">
        <v>Work Streams</v>
      </c>
      <c r="D43" t="str">
        <v>Reduced Estimate</v>
      </c>
      <c r="E43" t="str">
        <v>Team</v>
      </c>
    </row>
    <row r="44">
      <c r="B44" t="str">
        <v>Dashboards (Power BI)</v>
      </c>
      <c r="D44">
        <v>40</v>
      </c>
      <c r="E44" t="str">
        <v>Jonny?</v>
      </c>
    </row>
    <row r="45">
      <c r="B45" t="str">
        <v>WBS Tags and Custom Fields</v>
      </c>
      <c r="D45" t="str">
        <v>Need Estimate</v>
      </c>
      <c r="E45" t="str">
        <v>?</v>
      </c>
    </row>
  </sheetData>
  <mergeCells count="5">
    <mergeCell ref="B12:B21"/>
    <mergeCell ref="B22:B26"/>
    <mergeCell ref="B27:B33"/>
    <mergeCell ref="B37:B41"/>
    <mergeCell ref="B34:B36"/>
  </mergeCells>
  <pageMargins left="0.7" right="0.7" top="0.75" bottom="0.75" header="0.3" footer="0.3"/>
  <ignoredErrors>
    <ignoredError numberStoredAsText="1" sqref="B1:Q57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G41"/>
  <sheetViews>
    <sheetView workbookViewId="0" rightToLeft="0"/>
  </sheetViews>
  <sheetData>
    <row r="1">
      <c r="B1" t="str">
        <v>Topic</v>
      </c>
      <c r="C1" t="str">
        <v>Owner</v>
      </c>
      <c r="D1" t="str">
        <v>Meeting (UK timezone)</v>
      </c>
      <c r="E1" t="str">
        <v>Meeting (AU timezone)</v>
      </c>
      <c r="F1" t="str">
        <v>Notes</v>
      </c>
    </row>
    <row r="2">
      <c r="B2" t="str">
        <v>EPD/Cost to Carbon Factor</v>
      </c>
      <c r="C2" t="str">
        <v>Venkatesh</v>
      </c>
      <c r="D2" t="str">
        <v>Tue 23rd Dec 10PM-11PM</v>
      </c>
      <c r="E2" t="str">
        <v>Wed 24th Dec 9AM-10AM</v>
      </c>
      <c r="F2" t="str">
        <v>Meeting done</v>
      </c>
    </row>
    <row r="3">
      <c r="B3" t="str">
        <v>LTA</v>
      </c>
      <c r="C3" t="str">
        <v>Minas</v>
      </c>
      <c r="D3" t="str">
        <v>Wed 24th Dec 8AM-9:30AM</v>
      </c>
      <c r="E3" t="str">
        <v>Wed24th Dec 7PM-8:30PM</v>
      </c>
      <c r="F3" t="str">
        <v>Meeting done</v>
      </c>
    </row>
    <row r="4">
      <c r="B4" t="str">
        <v>TPE &amp; Auto Allocate (Cost &amp; Carbon)</v>
      </c>
      <c r="C4" t="str">
        <v>Venkatesh</v>
      </c>
      <c r="D4" t="str">
        <v>Sun 28th Dec 10PM-11:30PM</v>
      </c>
      <c r="E4" t="str">
        <v>Mon 29th Dec 9AM-10:30AM</v>
      </c>
      <c r="F4" t="str">
        <v>Meeting done</v>
      </c>
    </row>
    <row r="5">
      <c r="B5" t="str">
        <v>Scenario Analysis (Chapter 7)</v>
      </c>
      <c r="C5" t="str">
        <v>Minas</v>
      </c>
      <c r="D5" t="str">
        <v>Mon 29th Dec 7AM-8:30AM</v>
      </c>
      <c r="E5" t="str">
        <v>Mon 29th Dec 6PM-7:30PM</v>
      </c>
    </row>
    <row r="6">
      <c r="B6" t="str">
        <v>Carbon Reports</v>
      </c>
      <c r="C6" t="str">
        <v>Minas</v>
      </c>
    </row>
    <row r="9">
      <c r="B9" t="str">
        <v>Supply Chain - Interim Forecasting Tool (incl EPD)</v>
      </c>
      <c r="C9" t="str">
        <v>Venkatesh</v>
      </c>
      <c r="D9" t="str">
        <v>N/A</v>
      </c>
      <c r="E9" t="str">
        <v>N/A</v>
      </c>
      <c r="F9" t="str">
        <v>Venkatesh needs meeting with NH</v>
      </c>
    </row>
    <row r="10">
      <c r="B10" t="str">
        <v>Dashboards (Power BI)</v>
      </c>
      <c r="C10" t="str">
        <v>Minas</v>
      </c>
    </row>
    <row r="11">
      <c r="B11" t="str">
        <v xml:space="preserve">Comparator </v>
      </c>
      <c r="C11" t="str">
        <v>Minas</v>
      </c>
    </row>
    <row r="12">
      <c r="B12" t="str">
        <v xml:space="preserve">Workflow </v>
      </c>
      <c r="C12" t="str">
        <v>Minas</v>
      </c>
    </row>
    <row r="13">
      <c r="B13" t="str">
        <v>Tasks</v>
      </c>
      <c r="C13" t="str">
        <v>Minas</v>
      </c>
    </row>
    <row r="14">
      <c r="B14" t="str">
        <v>Calculators/Cost Models (Chapter 10)</v>
      </c>
      <c r="C14" t="str">
        <v>Minas</v>
      </c>
    </row>
    <row r="15">
      <c r="B15" t="str">
        <v>Star Rates</v>
      </c>
      <c r="C15" t="str">
        <v>Minas</v>
      </c>
    </row>
    <row r="16">
      <c r="B16" t="str">
        <v>Contractor Fee Library</v>
      </c>
      <c r="C16" t="str">
        <v>Minas</v>
      </c>
    </row>
    <row r="18">
      <c r="D18" t="str">
        <v>UK</v>
      </c>
      <c r="E18" t="str">
        <v>AU</v>
      </c>
      <c r="F18" t="str">
        <v>Status</v>
      </c>
      <c r="G18" t="str">
        <v>Topic</v>
      </c>
    </row>
    <row r="19">
      <c r="B19" t="str">
        <v>Mark's avail.</v>
      </c>
      <c r="D19" t="str">
        <v>Wed 24th Dec UK morning</v>
      </c>
      <c r="E19" t="str">
        <v>Wed 24th AU evening</v>
      </c>
      <c r="F19" t="str">
        <v>Taken</v>
      </c>
      <c r="G19" t="str">
        <v>LTA</v>
      </c>
    </row>
    <row r="20">
      <c r="D20" t="str">
        <v>Sat 27th Dec 7AM-9AM</v>
      </c>
      <c r="E20" t="str">
        <v>Sat 27th Dec 6PM-8PM</v>
      </c>
      <c r="F20" t="str">
        <v>X</v>
      </c>
    </row>
    <row r="21">
      <c r="D21" t="str">
        <v>Sun 28th Dec 7AM-9AM</v>
      </c>
      <c r="E21" t="str">
        <v>Sun 28th Dec 6PM-8PM</v>
      </c>
      <c r="F21" t="str">
        <v>X</v>
      </c>
    </row>
    <row r="22">
      <c r="D22" t="str">
        <v>Sun 28th Dec 10PM-11:30PM</v>
      </c>
      <c r="E22" t="str">
        <v>Mon 29th Dec 9AM-10:30AM</v>
      </c>
      <c r="F22" t="str">
        <v>Taken</v>
      </c>
      <c r="G22" t="str">
        <v>TPE &amp; Auto Allocate (Cost &amp; Carbon)</v>
      </c>
    </row>
    <row r="23">
      <c r="D23" t="str">
        <v>Mon 29th Dec 7AM-9AM</v>
      </c>
      <c r="E23" t="str">
        <v>Mon 29th Dec 6PM-8PM</v>
      </c>
      <c r="F23" t="str">
        <v>Taken</v>
      </c>
      <c r="G23" t="str">
        <v>Scenario Analysis (Chapter 7)</v>
      </c>
    </row>
    <row r="24">
      <c r="D24" t="str">
        <v>Mon 29th Dec 10PM-11:30PM</v>
      </c>
      <c r="E24" t="str">
        <v>Tue 30th Dec 9AM-10:30AM</v>
      </c>
      <c r="F24" t="str">
        <v>After MVP deadline (Mon 29th)</v>
      </c>
    </row>
    <row r="25">
      <c r="D25" t="str">
        <v>Fri 2nd Jan UK morning</v>
      </c>
      <c r="E25" t="str">
        <v>Fri 2nd Jan AU evening</v>
      </c>
      <c r="F25" t="str">
        <v>After MVP deadline (Mon 29th)</v>
      </c>
    </row>
  </sheetData>
  <pageMargins left="0.7" right="0.7" top="0.75" bottom="0.75" header="0.3" footer="0.3"/>
  <ignoredErrors>
    <ignoredError numberStoredAsText="1" sqref="B1:G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ID</v>
      </c>
      <c r="B1" t="str">
        <v>Action</v>
      </c>
      <c r="C1" t="str">
        <v>Owner</v>
      </c>
      <c r="D1" t="str">
        <v>Raised Date</v>
      </c>
      <c r="E1" t="str">
        <v>Due Date / RAG</v>
      </c>
      <c r="F1" t="str">
        <v>Status</v>
      </c>
    </row>
    <row r="3">
      <c r="A3" t="str">
        <v>A06</v>
      </c>
      <c r="B3" t="str">
        <v>Finalise onboarding plan for 4 additional engineers chase profiles and shortlist</v>
      </c>
      <c r="C3" t="str">
        <v>Jerome</v>
      </c>
      <c r="D3">
        <v>46027</v>
      </c>
      <c r="E3">
        <v>46031</v>
      </c>
      <c r="F3" t="str">
        <v>In progress</v>
      </c>
    </row>
    <row r="5">
      <c r="A5" t="str">
        <v>A26</v>
      </c>
      <c r="B5" t="str">
        <v>Continue monitoring NH PRD sign-off behaviour and flag governance risk early</v>
      </c>
      <c r="C5" t="str">
        <v>Richard</v>
      </c>
      <c r="D5">
        <v>46029</v>
      </c>
      <c r="E5" t="str">
        <v>Ongoing</v>
      </c>
      <c r="F5" t="str">
        <v>Open</v>
      </c>
    </row>
    <row r="7">
      <c r="A7" t="str">
        <v>A32</v>
      </c>
      <c r="B7" t="str">
        <v>Risk around TPE and the amount if work to be done in the last Sprint</v>
      </c>
      <c r="C7" t="str">
        <v>Richard/Jerome</v>
      </c>
      <c r="D7">
        <v>46068</v>
      </c>
      <c r="E7">
        <v>46068</v>
      </c>
      <c r="F7" t="str">
        <v>In progress</v>
      </c>
    </row>
    <row r="9">
      <c r="A9" t="str">
        <v>A33</v>
      </c>
      <c r="B9" t="str">
        <v>Capacity / Velocity Concerns</v>
      </c>
      <c r="C9" t="str">
        <v>Richard/Jerome</v>
      </c>
      <c r="D9">
        <v>46068</v>
      </c>
      <c r="E9">
        <v>46068</v>
      </c>
      <c r="F9" t="str">
        <v>In progress</v>
      </c>
    </row>
  </sheetData>
  <pageMargins left="0.7" right="0.7" top="0.75" bottom="0.75" header="0.3" footer="0.3"/>
  <ignoredErrors>
    <ignoredError numberStoredAsText="1" sqref="A1:H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sheetData>
    <row r="1">
      <c r="A1" t="str">
        <v>Condition</v>
      </c>
      <c r="D1" t="str">
        <v>Status</v>
      </c>
    </row>
    <row r="2">
      <c r="A2" t="str">
        <v>P1 &gt; 0</v>
      </c>
      <c r="D2" t="str">
        <v>🔴 Escalation</v>
      </c>
    </row>
    <row r="3">
      <c r="A3" t="str">
        <v>P1 = 0 AND Open defects ↑ for 2+ days</v>
      </c>
      <c r="D3" t="str">
        <v>🟠 Watch</v>
      </c>
    </row>
    <row r="4">
      <c r="A4" t="str">
        <v>Open defects ↓ OR steady &amp; closures happening</v>
      </c>
      <c r="D4" t="str">
        <v>🟢 Stable</v>
      </c>
    </row>
    <row r="6">
      <c r="A6" t="str">
        <v>Release 1D</v>
      </c>
      <c r="H6" t="str">
        <v>Release 2A</v>
      </c>
    </row>
    <row r="7">
      <c r="A7" t="str">
        <v>Date</v>
      </c>
      <c r="B7" t="str">
        <v>Raised by NH</v>
      </c>
      <c r="C7" t="str">
        <v>No P1's</v>
      </c>
      <c r="D7" t="str">
        <v>Total Open Defects</v>
      </c>
      <c r="E7" t="str">
        <v>Total Closed Today</v>
      </c>
      <c r="F7" t="str">
        <v>Daily Status</v>
      </c>
      <c r="H7" t="str">
        <v>Date</v>
      </c>
      <c r="I7" t="str">
        <v>No P1's</v>
      </c>
      <c r="J7" t="str">
        <v>Total No Defects</v>
      </c>
      <c r="K7" t="str">
        <v>Total Closed Today</v>
      </c>
      <c r="L7" t="str">
        <v>Daily Status</v>
      </c>
    </row>
    <row r="8">
      <c r="A8" t="str">
        <v>14/01/2026</v>
      </c>
      <c r="B8">
        <v>0</v>
      </c>
      <c r="C8">
        <v>0</v>
      </c>
      <c r="D8">
        <v>27</v>
      </c>
      <c r="E8">
        <v>2</v>
      </c>
      <c r="F8" t="str">
        <v>🟢 Stable</v>
      </c>
      <c r="H8" t="str">
        <v>14/01/2026</v>
      </c>
    </row>
    <row r="9">
      <c r="A9" t="str">
        <v>15/01/2026</v>
      </c>
      <c r="B9">
        <v>0</v>
      </c>
      <c r="C9">
        <v>0</v>
      </c>
      <c r="D9">
        <v>27</v>
      </c>
      <c r="E9">
        <v>0</v>
      </c>
      <c r="F9" t="str">
        <v>🟢 Stable</v>
      </c>
      <c r="H9" t="str">
        <v>15/01/2026</v>
      </c>
      <c r="I9">
        <v>0</v>
      </c>
      <c r="J9">
        <v>0</v>
      </c>
      <c r="K9">
        <v>0</v>
      </c>
      <c r="L9" t="str">
        <v>🟢 Stable</v>
      </c>
    </row>
    <row r="10">
      <c r="A10" t="str">
        <v>16/01/2026</v>
      </c>
      <c r="B10">
        <v>0</v>
      </c>
      <c r="C10">
        <v>0</v>
      </c>
      <c r="D10">
        <v>24</v>
      </c>
      <c r="E10">
        <v>3</v>
      </c>
      <c r="F10" t="str">
        <v>🟢 Stable</v>
      </c>
      <c r="H10" t="str">
        <v>16/01/2026</v>
      </c>
      <c r="I10">
        <v>0</v>
      </c>
      <c r="J10">
        <v>0</v>
      </c>
      <c r="K10">
        <v>0</v>
      </c>
      <c r="L10" t="str">
        <v>🟢 Stable</v>
      </c>
    </row>
    <row r="11">
      <c r="A11" t="str">
        <v>17/01/2026</v>
      </c>
      <c r="H11" t="str">
        <v>17/01/2026</v>
      </c>
    </row>
    <row r="12">
      <c r="A12" t="str">
        <v>18/01/2026</v>
      </c>
      <c r="H12" t="str">
        <v>18/01/2026</v>
      </c>
    </row>
    <row r="13">
      <c r="A13" t="str">
        <v>19/01/2026</v>
      </c>
      <c r="B13">
        <v>0</v>
      </c>
      <c r="C13">
        <v>0</v>
      </c>
      <c r="D13">
        <v>23</v>
      </c>
      <c r="E13">
        <v>1</v>
      </c>
      <c r="F13" t="str">
        <v>🟢 Stable</v>
      </c>
      <c r="H13" t="str">
        <v>19/01/2026</v>
      </c>
      <c r="I13">
        <v>0</v>
      </c>
      <c r="J13">
        <v>0</v>
      </c>
      <c r="K13">
        <v>0</v>
      </c>
      <c r="L13" t="str">
        <v>🟢 Stable</v>
      </c>
    </row>
    <row r="14">
      <c r="A14" t="str">
        <v>20/01/2026</v>
      </c>
      <c r="B14">
        <v>0</v>
      </c>
      <c r="C14">
        <v>0</v>
      </c>
      <c r="D14">
        <v>18</v>
      </c>
      <c r="E14">
        <v>5</v>
      </c>
      <c r="F14" t="str">
        <v>🟢 Stable</v>
      </c>
      <c r="H14" t="str">
        <v>20/01/2026</v>
      </c>
      <c r="I14">
        <v>0</v>
      </c>
      <c r="J14">
        <v>0</v>
      </c>
      <c r="K14">
        <v>0</v>
      </c>
      <c r="L14" t="str">
        <v>🟢 Stable</v>
      </c>
    </row>
    <row r="15">
      <c r="A15" t="str">
        <v>21/01/2026</v>
      </c>
      <c r="B15">
        <v>0</v>
      </c>
      <c r="C15">
        <v>0</v>
      </c>
      <c r="D15">
        <v>16</v>
      </c>
      <c r="E15">
        <v>2</v>
      </c>
      <c r="F15" t="str">
        <v>🟢 Stable</v>
      </c>
      <c r="H15" t="str">
        <v>21/01/2026</v>
      </c>
      <c r="I15">
        <v>0</v>
      </c>
      <c r="J15">
        <v>0</v>
      </c>
      <c r="K15">
        <v>0</v>
      </c>
      <c r="L15" t="str">
        <v>🟢 Stable</v>
      </c>
    </row>
    <row r="16">
      <c r="A16" t="str">
        <v>22/01/2026</v>
      </c>
      <c r="B16">
        <v>0</v>
      </c>
      <c r="C16">
        <v>0</v>
      </c>
      <c r="D16">
        <v>15</v>
      </c>
      <c r="E16">
        <v>1</v>
      </c>
      <c r="F16" t="str">
        <v>🟢 Stable</v>
      </c>
      <c r="H16" t="str">
        <v>22/01/2026</v>
      </c>
      <c r="I16">
        <v>0</v>
      </c>
      <c r="J16">
        <v>0</v>
      </c>
      <c r="K16">
        <v>0</v>
      </c>
      <c r="L16" t="str">
        <v>🟢 Stable</v>
      </c>
    </row>
    <row r="17">
      <c r="A17" t="str">
        <v>23/01/2026</v>
      </c>
      <c r="B17">
        <v>0</v>
      </c>
      <c r="C17">
        <v>0</v>
      </c>
      <c r="D17">
        <v>13</v>
      </c>
      <c r="E17">
        <v>0</v>
      </c>
      <c r="F17" t="str">
        <v>🟢 Stable</v>
      </c>
      <c r="H17" t="str">
        <v>23/01/2026</v>
      </c>
      <c r="I17">
        <v>0</v>
      </c>
      <c r="J17">
        <v>0</v>
      </c>
      <c r="K17">
        <v>0</v>
      </c>
      <c r="L17" t="str">
        <v>🟢 Stable</v>
      </c>
    </row>
    <row r="18">
      <c r="A18" t="str">
        <v>24/01/2026</v>
      </c>
      <c r="H18" t="str">
        <v>24/01/2026</v>
      </c>
    </row>
    <row r="19">
      <c r="A19" t="str">
        <v>25/01/2026</v>
      </c>
      <c r="H19" t="str">
        <v>25/01/2026</v>
      </c>
    </row>
    <row r="20">
      <c r="A20" t="str">
        <v>26/01/2026</v>
      </c>
      <c r="B20">
        <v>0</v>
      </c>
      <c r="C20">
        <v>0</v>
      </c>
      <c r="D20">
        <v>13</v>
      </c>
      <c r="E20">
        <v>0</v>
      </c>
      <c r="F20" t="str">
        <v>🟢 Stable</v>
      </c>
      <c r="H20" t="str">
        <v>26/01/2026</v>
      </c>
      <c r="I20">
        <v>0</v>
      </c>
      <c r="J20">
        <v>0</v>
      </c>
      <c r="K20">
        <v>0</v>
      </c>
      <c r="L20" t="str">
        <v>🟢 Stable</v>
      </c>
    </row>
    <row r="21">
      <c r="A21" t="str">
        <v>27/01/2026</v>
      </c>
      <c r="B21" t="str">
        <v>TBC</v>
      </c>
      <c r="C21">
        <v>0</v>
      </c>
      <c r="D21">
        <v>11</v>
      </c>
      <c r="E21">
        <v>2</v>
      </c>
      <c r="F21" t="str">
        <v>🟢 Stable</v>
      </c>
      <c r="H21" t="str">
        <v>27/01/2026</v>
      </c>
      <c r="I21">
        <v>0</v>
      </c>
      <c r="J21">
        <v>0</v>
      </c>
      <c r="K21">
        <v>0</v>
      </c>
      <c r="L21" t="str">
        <v>🟢 Stable</v>
      </c>
    </row>
    <row r="22">
      <c r="A22" t="str">
        <v>28/01/2026</v>
      </c>
      <c r="H22" t="str">
        <v>28/01/2026</v>
      </c>
    </row>
    <row r="23">
      <c r="A23" t="str">
        <v>29/01/2026</v>
      </c>
      <c r="H23" t="str">
        <v>29/01/2026</v>
      </c>
    </row>
    <row r="24">
      <c r="A24" t="str">
        <v>30/01/2026</v>
      </c>
      <c r="H24" t="str">
        <v>30/01/2026</v>
      </c>
    </row>
    <row r="25">
      <c r="A25" t="str">
        <v>31/01/2026</v>
      </c>
      <c r="H25" t="str">
        <v>31/01/2026</v>
      </c>
    </row>
    <row r="26">
      <c r="A26" t="str">
        <v>01/02/2026</v>
      </c>
      <c r="H26" t="str">
        <v>01/02/2026</v>
      </c>
    </row>
    <row r="42">
      <c r="A42" t="str">
        <v>Master R1D Defect View - BMJIRA</v>
      </c>
    </row>
  </sheetData>
  <mergeCells count="6">
    <mergeCell ref="A1:C1"/>
    <mergeCell ref="A6:F6"/>
    <mergeCell ref="H6:L6"/>
    <mergeCell ref="A2:C2"/>
    <mergeCell ref="A3:C3"/>
    <mergeCell ref="A4:C4"/>
  </mergeCells>
  <hyperlinks>
    <hyperlink ref="A42" r:id="rId1"/>
  </hyperlinks>
  <pageMargins left="0.7" right="0.7" top="0.75" bottom="0.75" header="0.3" footer="0.3"/>
  <ignoredErrors>
    <ignoredError numberStoredAsText="1" sqref="A1:M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48576"/>
  <sheetViews>
    <sheetView workbookViewId="0" rightToLeft="0"/>
  </sheetViews>
  <sheetData>
    <row r="1">
      <c r="A1" t="str">
        <v>Gate</v>
      </c>
      <c r="B1" t="str">
        <v>Owner</v>
      </c>
      <c r="C1" t="str">
        <v>Rationale</v>
      </c>
      <c r="D1" t="str">
        <v>Pass Criteria (Evidence Required)</v>
      </c>
      <c r="E1" t="str">
        <v>sheet-col</v>
      </c>
    </row>
    <row r="3">
      <c r="A3" t="str">
        <v>SCOPE REFINEMENT</v>
      </c>
    </row>
    <row r="4">
      <c r="A4" t="str">
        <v>1. Individual PRDs Drafted</v>
      </c>
      <c r="B4" t="str">
        <v>Minas</v>
      </c>
      <c r="C4" t="str">
        <v>Ensures scope and requirements are explicit before design and build begin, avoiding downstream rework and ambiguity.</v>
      </c>
      <c r="E4" t="str">
        <v>F</v>
      </c>
    </row>
    <row r="5">
      <c r="D5" t="str">
        <v>• PRDs drafted for each of the MVP epics</v>
      </c>
      <c r="E5" t="str">
        <v>F</v>
      </c>
    </row>
    <row r="6">
      <c r="D6" t="str">
        <v>• Functional requirements prioritised (Must / Should / Deferred)</v>
      </c>
      <c r="E6" t="str">
        <v>F</v>
      </c>
    </row>
    <row r="7">
      <c r="D7" t="str">
        <v>• In-scope vs out-of-scope clearly defined</v>
      </c>
      <c r="E7" t="str">
        <v>F</v>
      </c>
    </row>
    <row r="8">
      <c r="D8" t="str">
        <v>• Dependencies and assumptions explicitly documented</v>
      </c>
      <c r="E8" t="str">
        <v>F</v>
      </c>
    </row>
    <row r="9">
      <c r="D9" t="str">
        <v xml:space="preserve">• Dates associated with each of the following Gates are confirmed and committed </v>
      </c>
      <c r="E9" t="str">
        <v>F</v>
      </c>
    </row>
    <row r="10">
      <c r="A10" t="str">
        <v>2A. PRDs Reviewed &amp; Signed Off (NH)</v>
      </c>
      <c r="B10" t="str">
        <v>Richard</v>
      </c>
      <c r="C10" t="str">
        <v>Confirms shared understanding and agreement with NH to prevent late scope disputes or rework.</v>
      </c>
      <c r="D10" t="str">
        <v>• NH review completed</v>
      </c>
      <c r="E10" t="str">
        <v>G</v>
      </c>
    </row>
    <row r="11">
      <c r="D11" t="str">
        <v>• Explicit NH sign-off received</v>
      </c>
      <c r="E11" t="str">
        <v>G</v>
      </c>
    </row>
    <row r="12">
      <c r="D12" t="str">
        <v>• No open scope alignment questions</v>
      </c>
      <c r="E12" t="str">
        <v>G</v>
      </c>
    </row>
    <row r="13">
      <c r="D13" t="str">
        <v>• Any gaps documented, escalated and resolved</v>
      </c>
      <c r="E13" t="str">
        <v>G</v>
      </c>
    </row>
    <row r="14" xml:space="preserve">
      <c r="A14" t="str">
        <v>2B - PRD Hand-off to SA</v>
      </c>
      <c r="B14" t="str">
        <v>Minas</v>
      </c>
      <c r="C14" t="str">
        <v xml:space="preserve">Ensure that the full scope and implications of the PRD are understood </v>
      </c>
      <c r="D14" t="str" xml:space="preserve">
        <v xml:space="preserve">All questions raised by Vigo/Design and SA are documented and formally resolved._x000d_
</v>
      </c>
      <c r="E14" t="str">
        <v>G</v>
      </c>
    </row>
    <row r="15" xml:space="preserve">
      <c r="D15" t="str" xml:space="preserve">
        <v xml:space="preserve">No 'to be clarified' items to remain open unless escalated and approved._x000d_
</v>
      </c>
      <c r="E15" t="str">
        <v>G</v>
      </c>
    </row>
    <row r="16" xml:space="preserve">
      <c r="D16" t="str" xml:space="preserve">
        <v xml:space="preserve">_x000d_
Vigo and SA have confirmed in writing that the solution is technically coherent and feasible_x000d_
</v>
      </c>
      <c r="E16" t="str">
        <v>G</v>
      </c>
    </row>
    <row r="17" xml:space="preserve">
      <c r="D17" t="str" xml:space="preserve">
        <v xml:space="preserve">_x000d_
Confirmation of the timeline</v>
      </c>
      <c r="E17" t="str">
        <v>G</v>
      </c>
    </row>
    <row r="18">
      <c r="A18" t="str">
        <v>DESIGN STAGES</v>
      </c>
    </row>
    <row r="19">
      <c r="A19" t="str">
        <v>3. UX/UI Designs Completed</v>
      </c>
      <c r="B19" t="str">
        <v>Richard (coordination)</v>
      </c>
      <c r="C19" t="str">
        <v>Prevents design churn during development and ensures build teams are working from stable designs.</v>
      </c>
      <c r="D19" t="str">
        <v>• UX/UI designs completed for all in-scope MVP flows</v>
      </c>
      <c r="E19" t="str">
        <v>H</v>
      </c>
    </row>
    <row r="20">
      <c r="D20" t="str">
        <v>• Designs reviewed and accepted internally</v>
      </c>
      <c r="E20" t="str">
        <v>H</v>
      </c>
    </row>
    <row r="21">
      <c r="D21" t="str">
        <v>• Ownership agreed (Vigo vs in-house)</v>
      </c>
      <c r="E21" t="str">
        <v>H</v>
      </c>
    </row>
    <row r="22">
      <c r="D22" t="str">
        <v>• No critical design work outstanding for sprint execution</v>
      </c>
      <c r="E22" t="str">
        <v>H</v>
      </c>
    </row>
    <row r="23">
      <c r="A23" t="str">
        <v>4. Solution Architectures (SAs) Drafted</v>
      </c>
      <c r="B23" t="str">
        <v>Richard (coordination)</v>
      </c>
      <c r="C23" t="str">
        <v>Grounds delivery commitments in technical reality and surfaces assumptions, risks, and trade-offs early.</v>
      </c>
      <c r="D23" t="str">
        <v>• SAs drafted for each epic</v>
      </c>
      <c r="E23" t="str">
        <v>I</v>
      </c>
    </row>
    <row r="24">
      <c r="D24" t="str">
        <v>• Architecture simplified to MVP</v>
      </c>
      <c r="E24" t="str">
        <v>I</v>
      </c>
    </row>
    <row r="25">
      <c r="D25" t="str">
        <v>• Technical assumptions and risks explicit</v>
      </c>
      <c r="E25" t="str">
        <v>I</v>
      </c>
    </row>
    <row r="26">
      <c r="D26" t="str">
        <v>• Key trade-offs documented</v>
      </c>
      <c r="E26" t="str">
        <v>I</v>
      </c>
    </row>
    <row r="27">
      <c r="A27" t="str">
        <v>5. SAs Reviewed &amp; Approved</v>
      </c>
      <c r="B27" t="str">
        <v>Jerome</v>
      </c>
      <c r="C27" t="str">
        <v>Locks technical feasibility before commitments are made and avoids late architectural rework.</v>
      </c>
      <c r="D27" t="str">
        <v>• SAs reviewed and approved</v>
      </c>
      <c r="E27" t="str">
        <v>J</v>
      </c>
    </row>
    <row r="28">
      <c r="D28" t="str">
        <v>• Risks accepted or mitigated</v>
      </c>
      <c r="E28" t="str">
        <v>J</v>
      </c>
    </row>
    <row r="29">
      <c r="D29" t="str">
        <v>• No unresolved feasibility questions</v>
      </c>
      <c r="E29" t="str">
        <v>J</v>
      </c>
    </row>
    <row r="30">
      <c r="D30" t="str">
        <v>• Delivery implications understood by Delivery Manager</v>
      </c>
      <c r="E30" t="str">
        <v>J</v>
      </c>
    </row>
    <row r="31" xml:space="preserve">
      <c r="D31" t="str" xml:space="preserve">
        <v xml:space="preserve">• All the required Jira tickets have been reviewed and align with the SA_x000d_
The dates committed, as well as assumptions and effort estimate made in Gate 1, remain valid  </v>
      </c>
      <c r="E31" t="str">
        <v>J</v>
      </c>
    </row>
    <row r="32">
      <c r="A32" t="str">
        <v>6. Performance-Aware Design Approved</v>
      </c>
      <c r="B32" t="str">
        <v>Yoong</v>
      </c>
      <c r="C32" t="str">
        <v>Ensures design and architectural decisions do not inherently introduce performance, scalability, or data-related risk.</v>
      </c>
      <c r="D32" t="str">
        <v>• NFR defined (SLOs, throughput, user capacity)</v>
      </c>
    </row>
    <row r="33">
      <c r="D33" t="str">
        <v>• Scalability expectations, complexity and data volume projections documented</v>
      </c>
    </row>
    <row r="34">
      <c r="D34" t="str">
        <v xml:space="preserve">• Database schema optimised with indexing strategy </v>
      </c>
    </row>
    <row r="35">
      <c r="D35" t="str">
        <v>• APIs follows performance best practices</v>
      </c>
    </row>
    <row r="36">
      <c r="A36" t="str">
        <v>SPRINT SCHEDULING</v>
      </c>
    </row>
    <row r="37">
      <c r="A37">
        <v>5</v>
      </c>
      <c r="B37" t="str">
        <v>Richard</v>
      </c>
      <c r="C37" t="str">
        <v>Ensures execution commitments are realistic, capacity-aligned, and dependency-aware before development starts.</v>
      </c>
      <c r="D37" t="str">
        <v>• Sprint plan complete by epic</v>
      </c>
    </row>
    <row r="38">
      <c r="D38" t="str">
        <v>• Scope aligned to PRDs, UX/UI, and SAs</v>
      </c>
    </row>
    <row r="39">
      <c r="D39" t="str">
        <v>• Dependencies explicit</v>
      </c>
    </row>
    <row r="40">
      <c r="D40" t="str">
        <v>• Capacity and story points validated</v>
      </c>
    </row>
    <row r="41">
      <c r="A41" t="str">
        <v>EXECUTION / DELIVERY</v>
      </c>
    </row>
    <row r="42">
      <c r="A42" t="str">
        <v>8. Development Complete &amp; Code Integrated</v>
      </c>
      <c r="B42" t="str">
        <v>Richard</v>
      </c>
      <c r="C42" t="str">
        <v>Confirms committed sprint scope is fully built and integrated into the shared codebase, ready for formal QA/system testing.</v>
      </c>
      <c r="D42" t="str">
        <v>• All committed stories meet Definition of Done</v>
      </c>
    </row>
    <row r="43">
      <c r="D43" t="str">
        <v>• Code merged to agreed branch with peer reviews completed</v>
      </c>
    </row>
    <row r="44">
      <c r="D44" t="str">
        <v>• Sprint review completed and recorded</v>
      </c>
    </row>
    <row r="45">
      <c r="D45" t="str">
        <v>• Integration complete across in-scope components</v>
      </c>
    </row>
    <row r="46">
      <c r="D46" t="str">
        <v>• No gating integration issues preventing QA execution</v>
      </c>
    </row>
    <row r="47" xml:space="preserve">
      <c r="A47" t="str">
        <v>9. System/QA Testing Completed</v>
      </c>
      <c r="B47" t="str" xml:space="preserve">
        <v xml:space="preserve">Owner: Hema_x000d_
Oversight: Caroline</v>
      </c>
      <c r="C47" t="str" xml:space="preserve">
        <v xml:space="preserve">Purpose:_x000d_
Validates functional correctness, system stability, and regression safety prior to Internal and NH UAT._x000d_
_x000d_
Exit Evidence: QA summary report, defect status, QA sign-off</v>
      </c>
      <c r="D47" t="str">
        <v>• Unit testing completed for all in-scope BE/FE components</v>
      </c>
    </row>
    <row r="48" xml:space="preserve">
      <c r="D48" t="str" xml:space="preserve">
        <v xml:space="preserve">• Full regression testing executed:_x000d_
   •  All epics deployed to Regression_x000d_
   •  End-to-end regression pass completed (≈ 5 days)_x000d_
   • Deployment approach confirmed with Dev teams (Yoong)</v>
      </c>
    </row>
    <row r="49" xml:space="preserve">
      <c r="D49" t="str" xml:space="preserve">
        <v xml:space="preserve">• Defect position agreed:_x000d_
   • Critical / High defects resolved, or_x000d_
   • Explicitly accepted with documented risk and approval</v>
      </c>
    </row>
    <row r="50">
      <c r="D50" t="str">
        <v>• QA Test Summary Report completed and shared (Hema)</v>
      </c>
    </row>
    <row r="51">
      <c r="D51" t="str">
        <v>• Formal QA sign-off provided (Hema, with Caroline review)</v>
      </c>
    </row>
    <row r="52" xml:space="preserve">
      <c r="A52" t="str" xml:space="preserve">
        <v xml:space="preserve">10. Platform Performance &amp; System Readiness Approved_x000d_
_x000d_
Dependencies / risks: Observability capability requires build-out</v>
      </c>
      <c r="B52" t="str">
        <v>Yoong</v>
      </c>
      <c r="C52" t="str" xml:space="preserve">
        <v xml:space="preserve">Purpose:_x000d_
Confirms the system can safely operate at expected scale without unacceptable performance, stability, or reliability risk._x000d_
_x000d_
Exit Evidence: Performance results, monitoring confirmation, readiness sign-off</v>
      </c>
      <c r="D52" t="str" xml:space="preserve">
        <v xml:space="preserve">• Data Load &amp; Scale_x000d_
– Performance and load tests executed_x000d_
– Results conform to agreed thresholds (capacity headroom, error rate)_x000d_
– Estimated duration: 2–3 days</v>
      </c>
    </row>
    <row r="53" xml:space="preserve">
      <c r="D53" t="str" xml:space="preserve">
        <v xml:space="preserve">• Regression Protection_x000d_
– No performance degradation beyond agreed threshold (≤5%)</v>
      </c>
    </row>
    <row r="54" xml:space="preserve">
      <c r="D54" t="str" xml:space="preserve">
        <v xml:space="preserve">• Observability &amp; Recovery_x000d_
– Monitoring and alerting operational_x000d_
– Logging and diagnostics available to support UAT defect triage_x000d_
– Recovery / rollback approach defined</v>
      </c>
    </row>
    <row r="55" xml:space="preserve">
      <c r="A55" t="str">
        <v>11. DevOps Deployment to UAT</v>
      </c>
      <c r="B55" t="str">
        <v>Jerome</v>
      </c>
      <c r="C55" t="str" xml:space="preserve">
        <v xml:space="preserve">Ensures the solution is correctly deployed, configured, and stable in the UAT environment._x000d_
_x000d_
QA sign-off (Stage 9)_x000d_
Platform readiness approval (Stage 10)</v>
      </c>
      <c r="D55" t="str" xml:space="preserve">
        <v xml:space="preserve">• Successful deployment to UAT completed_x000d_
– Deployment executed from approved code baseline_x000d_
– Known risk: data-related challenges (tracked and communicated)</v>
      </c>
    </row>
    <row r="56" xml:space="preserve">
      <c r="D56" t="str" xml:space="preserve">
        <v xml:space="preserve">• Environment configuration validated_x000d_
– Feature flags, config values, integrations aligned to release scope</v>
      </c>
    </row>
    <row r="57">
      <c r="D57" t="str">
        <v>• Monitoring, logging, and rollback in place</v>
      </c>
    </row>
    <row r="58">
      <c r="D58" t="str">
        <v>• Release notes shared with Internal UAT</v>
      </c>
    </row>
    <row r="59" xml:space="preserve">
      <c r="A59" t="str">
        <v>12. Internal UAT</v>
      </c>
      <c r="B59" t="str">
        <v>Caroline</v>
      </c>
      <c r="C59" t="str" xml:space="preserve">
        <v xml:space="preserve">Validates end-to-end functionality, stability, and UAT readiness through internal scenario execution, defect triage, and stakeholder artefact preparation prior to NH business testing._x000d_
_x000d_
Exit evidence: Internal UAT status, defect summary, readiness confirmation</v>
      </c>
      <c r="D59" t="str">
        <v>• Internal UAT execution completed for all in-scope scenarios</v>
      </c>
    </row>
    <row r="60">
      <c r="D60" t="str">
        <v>• Defects triaged and dispositioned (fix / defer / accept)</v>
      </c>
    </row>
    <row r="61">
      <c r="D61" t="str">
        <v>• External UAT environment confirmed ready</v>
      </c>
    </row>
    <row r="62">
      <c r="D62" t="str">
        <v>• Demo recording completed for NH</v>
      </c>
    </row>
    <row r="63">
      <c r="D63" t="str">
        <v>• Training documentation completed and internally reviewed for NH</v>
      </c>
    </row>
    <row r="64">
      <c r="D64" t="str">
        <v>• Release notes, training docs and demo shared with NH UAT stakeholders</v>
      </c>
    </row>
    <row r="65" xml:space="preserve">
      <c r="A65" t="str">
        <v>13. NH UAT Completed &amp; Accepted</v>
      </c>
      <c r="B65" t="str">
        <v>Caroline</v>
      </c>
      <c r="C65" t="str" xml:space="preserve">
        <v xml:space="preserve">Confirms solution meets business needs and is approved for production readiness._x000d_
_x000d_
Outcome: Release approved for onward promotion (subject to programme governance)</v>
      </c>
      <c r="D65" t="str">
        <v>• UAT scenarios executed for all in-scope flows</v>
      </c>
    </row>
    <row r="66">
      <c r="D66" t="str">
        <v>• Business acceptance criteria met</v>
      </c>
    </row>
    <row r="67">
      <c r="D67" t="str">
        <v>• No unresolved critical/high UAT defects</v>
      </c>
    </row>
    <row r="68">
      <c r="D68" t="str">
        <v>• Formal UAT sign-off received</v>
      </c>
    </row>
  </sheetData>
  <mergeCells count="42">
    <mergeCell ref="A59:A64"/>
    <mergeCell ref="B59:B64"/>
    <mergeCell ref="C59:C64"/>
    <mergeCell ref="A65:A68"/>
    <mergeCell ref="B65:B68"/>
    <mergeCell ref="C65:C68"/>
    <mergeCell ref="A52:A54"/>
    <mergeCell ref="B52:B54"/>
    <mergeCell ref="C52:C54"/>
    <mergeCell ref="A55:A58"/>
    <mergeCell ref="B55:B58"/>
    <mergeCell ref="C55:C58"/>
    <mergeCell ref="A42:A46"/>
    <mergeCell ref="B42:B46"/>
    <mergeCell ref="C42:C46"/>
    <mergeCell ref="A47:A51"/>
    <mergeCell ref="B47:B51"/>
    <mergeCell ref="C47:C51"/>
    <mergeCell ref="A32:A35"/>
    <mergeCell ref="B32:B35"/>
    <mergeCell ref="C32:C35"/>
    <mergeCell ref="A37:A40"/>
    <mergeCell ref="B37:B40"/>
    <mergeCell ref="C37:C40"/>
    <mergeCell ref="A23:A26"/>
    <mergeCell ref="B23:B26"/>
    <mergeCell ref="C23:C26"/>
    <mergeCell ref="A27:A31"/>
    <mergeCell ref="B27:B31"/>
    <mergeCell ref="C27:C31"/>
    <mergeCell ref="A14:A17"/>
    <mergeCell ref="B14:B17"/>
    <mergeCell ref="C14:C17"/>
    <mergeCell ref="A19:A22"/>
    <mergeCell ref="B19:B22"/>
    <mergeCell ref="C19:C22"/>
    <mergeCell ref="A4:A9"/>
    <mergeCell ref="B4:B9"/>
    <mergeCell ref="C4:C9"/>
    <mergeCell ref="A10:A13"/>
    <mergeCell ref="B10:B13"/>
    <mergeCell ref="C10:C13"/>
  </mergeCells>
  <pageMargins left="0.7" right="0.7" top="0.75" bottom="0.75" header="0.3" footer="0.3"/>
  <ignoredErrors>
    <ignoredError numberStoredAsText="1" sqref="A1:E1048576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T1015"/>
  <sheetViews>
    <sheetView workbookViewId="0" rightToLeft="0"/>
  </sheetViews>
  <sheetData>
    <row r="1">
      <c r="F1" t="str">
        <v>Design Due Dates</v>
      </c>
      <c r="BK1" t="str">
        <v>Sprint 36</v>
      </c>
      <c r="BY1" t="str">
        <v>Sprint 37</v>
      </c>
      <c r="CM1" t="str">
        <v>Sprint 38</v>
      </c>
    </row>
    <row r="2">
      <c r="B2" t="str">
        <v xml:space="preserve">  Workstream</v>
      </c>
      <c r="C2" t="str">
        <v>Epics</v>
      </c>
      <c r="D2" t="str">
        <v>Owner</v>
      </c>
      <c r="E2" t="str">
        <v>NH upfront clarifcation needed?</v>
      </c>
      <c r="F2" t="str">
        <v xml:space="preserve">PRD (sent to NH for review)   </v>
      </c>
      <c r="G2" t="str">
        <v>NH Sign Off</v>
      </c>
      <c r="H2" t="str">
        <v>VIGO: UI/UX Design</v>
      </c>
      <c r="I2" t="str">
        <v>Internal: UI/UX Design</v>
      </c>
      <c r="J2" t="str">
        <v>SA (Technical Solution Design)</v>
      </c>
      <c r="K2" t="str">
        <v>All Design Activities Complete and Tickets Ready</v>
      </c>
      <c r="L2" t="str">
        <v>Dev Start</v>
      </c>
      <c r="M2" t="str">
        <v>Dev Finish</v>
      </c>
      <c r="N2" t="str">
        <v>SG1</v>
      </c>
      <c r="O2" t="str">
        <v>SG2</v>
      </c>
      <c r="P2" t="str">
        <v>SG3</v>
      </c>
      <c r="Q2" t="str">
        <v>SG4</v>
      </c>
      <c r="R2" t="str">
        <v>SG5</v>
      </c>
      <c r="S2" t="str">
        <v>SG6</v>
      </c>
      <c r="T2" t="str">
        <v>SG7</v>
      </c>
      <c r="U2" t="str">
        <v>SG8</v>
      </c>
      <c r="V2" t="str">
        <v>SG9</v>
      </c>
      <c r="W2" t="str">
        <v>SG10</v>
      </c>
      <c r="X2" t="str">
        <v>SG11</v>
      </c>
      <c r="Y2" t="str">
        <v>SG12</v>
      </c>
      <c r="Z2" t="str">
        <v>Original Estimate</v>
      </c>
      <c r="AA2" t="str">
        <v>Updated Estimate</v>
      </c>
      <c r="AB2" t="str">
        <v>Priority</v>
      </c>
      <c r="AC2" t="str">
        <v>Allocated Team</v>
      </c>
      <c r="AD2" t="str">
        <v>Team Work Days (7 SP pd)</v>
      </c>
      <c r="AE2" t="str">
        <v>Team Work Days (8 SP pd)</v>
      </c>
      <c r="AF2">
        <v>46024</v>
      </c>
      <c r="AG2">
        <f>AF2+1</f>
        <v>46025</v>
      </c>
      <c r="AH2">
        <f>AG2+1</f>
        <v>46026</v>
      </c>
      <c r="AI2">
        <f>AH2+1</f>
        <v>46027</v>
      </c>
      <c r="AJ2">
        <f>AI2+1</f>
        <v>46028</v>
      </c>
      <c r="AK2">
        <f>AJ2+1</f>
        <v>46029</v>
      </c>
      <c r="AL2">
        <f>AK2+1</f>
        <v>46030</v>
      </c>
      <c r="AM2">
        <f>AL2+1</f>
        <v>46031</v>
      </c>
      <c r="AN2">
        <f>AM2+1</f>
        <v>46032</v>
      </c>
      <c r="AO2">
        <f>AN2+1</f>
        <v>46033</v>
      </c>
      <c r="AP2">
        <f>AO2+1</f>
        <v>46034</v>
      </c>
      <c r="AQ2">
        <f>AP2+1</f>
        <v>46035</v>
      </c>
      <c r="AR2">
        <f>AQ2+1</f>
        <v>46036</v>
      </c>
      <c r="AS2">
        <f>AR2+1</f>
        <v>46037</v>
      </c>
      <c r="AT2">
        <v>46038</v>
      </c>
      <c r="AU2">
        <f>AT2+1</f>
        <v>46039</v>
      </c>
      <c r="AV2">
        <f>AU2+1</f>
        <v>46040</v>
      </c>
      <c r="AW2">
        <f>AV2+1</f>
        <v>46041</v>
      </c>
      <c r="AX2">
        <f>AW2+1</f>
        <v>46042</v>
      </c>
      <c r="AY2">
        <f>AX2+1</f>
        <v>46043</v>
      </c>
      <c r="AZ2">
        <f>AY2+1</f>
        <v>46044</v>
      </c>
      <c r="BA2">
        <f>AZ2+1</f>
        <v>46045</v>
      </c>
      <c r="BB2">
        <f>BA2+1</f>
        <v>46046</v>
      </c>
      <c r="BC2">
        <f>BB2+1</f>
        <v>46047</v>
      </c>
      <c r="BD2">
        <f>BC2+1</f>
        <v>46048</v>
      </c>
      <c r="BE2">
        <f>BD2+1</f>
        <v>46049</v>
      </c>
      <c r="BF2">
        <f>BE2+1</f>
        <v>46050</v>
      </c>
      <c r="BG2">
        <f>BF2+1</f>
        <v>46051</v>
      </c>
      <c r="BH2">
        <f>BG2+1</f>
        <v>46052</v>
      </c>
      <c r="BI2">
        <f>BH2+1</f>
        <v>46053</v>
      </c>
      <c r="BJ2">
        <f>BI2+1</f>
        <v>46054</v>
      </c>
      <c r="BK2">
        <f>BJ2+1</f>
        <v>46055</v>
      </c>
      <c r="BL2">
        <f>BK2+1</f>
        <v>46056</v>
      </c>
      <c r="BM2">
        <f>BL2+1</f>
        <v>46057</v>
      </c>
      <c r="BN2">
        <f>BM2+1</f>
        <v>46058</v>
      </c>
      <c r="BO2">
        <f>BN2+1</f>
        <v>46059</v>
      </c>
      <c r="BP2">
        <f>BO2+1</f>
        <v>46060</v>
      </c>
      <c r="BQ2">
        <f>BP2+1</f>
        <v>46061</v>
      </c>
      <c r="BR2">
        <f>BQ2+1</f>
        <v>46062</v>
      </c>
      <c r="BS2">
        <f>BR2+1</f>
        <v>46063</v>
      </c>
      <c r="BT2">
        <f>BS2+1</f>
        <v>46064</v>
      </c>
      <c r="BU2">
        <f>BT2+1</f>
        <v>46065</v>
      </c>
      <c r="BV2">
        <f>BU2+1</f>
        <v>46066</v>
      </c>
      <c r="BW2">
        <f>BV2+1</f>
        <v>46067</v>
      </c>
      <c r="BX2">
        <f>BW2+1</f>
        <v>46068</v>
      </c>
      <c r="BY2">
        <f>BX2+1</f>
        <v>46069</v>
      </c>
      <c r="BZ2">
        <f>BY2+1</f>
        <v>46070</v>
      </c>
      <c r="CA2">
        <f>BZ2+1</f>
        <v>46071</v>
      </c>
      <c r="CB2">
        <f>CA2+1</f>
        <v>46072</v>
      </c>
      <c r="CC2">
        <f>CB2+1</f>
        <v>46073</v>
      </c>
      <c r="CD2">
        <f>CC2+1</f>
        <v>46074</v>
      </c>
      <c r="CE2">
        <f>CD2+1</f>
        <v>46075</v>
      </c>
      <c r="CF2">
        <f>CE2+1</f>
        <v>46076</v>
      </c>
      <c r="CG2">
        <f>CF2+1</f>
        <v>46077</v>
      </c>
      <c r="CH2">
        <f>CG2+1</f>
        <v>46078</v>
      </c>
      <c r="CI2">
        <f>CH2+1</f>
        <v>46079</v>
      </c>
      <c r="CJ2">
        <f>CI2+1</f>
        <v>46080</v>
      </c>
      <c r="CK2">
        <f>CJ2+1</f>
        <v>46081</v>
      </c>
      <c r="CL2">
        <f>CK2+1</f>
        <v>46082</v>
      </c>
      <c r="CM2">
        <f>CL2+1</f>
        <v>46083</v>
      </c>
      <c r="CN2">
        <f>CM2+1</f>
        <v>46084</v>
      </c>
      <c r="CO2">
        <f>CN2+1</f>
        <v>46085</v>
      </c>
      <c r="CP2">
        <f>CO2+1</f>
        <v>46086</v>
      </c>
      <c r="CQ2">
        <f>CP2+1</f>
        <v>46087</v>
      </c>
      <c r="CR2">
        <f>CQ2+1</f>
        <v>46088</v>
      </c>
      <c r="CS2">
        <f>CR2+1</f>
        <v>46089</v>
      </c>
      <c r="CT2">
        <f>CS2+1</f>
        <v>46090</v>
      </c>
      <c r="CU2">
        <f>CT2+1</f>
        <v>46091</v>
      </c>
      <c r="CV2">
        <f>CU2+1</f>
        <v>46092</v>
      </c>
      <c r="CW2">
        <f>CV2+1</f>
        <v>46093</v>
      </c>
      <c r="CX2">
        <f>CW2+1</f>
        <v>46094</v>
      </c>
      <c r="CY2">
        <f>CX2+1</f>
        <v>46095</v>
      </c>
      <c r="CZ2">
        <f>CY2+1</f>
        <v>46096</v>
      </c>
      <c r="DA2">
        <f>CZ2+1</f>
        <v>46097</v>
      </c>
      <c r="DB2">
        <f>DA2+1</f>
        <v>46098</v>
      </c>
      <c r="DC2">
        <f>DB2+1</f>
        <v>46099</v>
      </c>
      <c r="DD2">
        <f>DC2+1</f>
        <v>46100</v>
      </c>
      <c r="DE2">
        <f>DD2+1</f>
        <v>46101</v>
      </c>
      <c r="DF2">
        <f>DE2+1</f>
        <v>46102</v>
      </c>
      <c r="DG2">
        <f>DF2+1</f>
        <v>46103</v>
      </c>
      <c r="DH2">
        <f>DG2+1</f>
        <v>46104</v>
      </c>
      <c r="DI2">
        <f>DH2+1</f>
        <v>46105</v>
      </c>
      <c r="DJ2">
        <f>DI2+1</f>
        <v>46106</v>
      </c>
      <c r="DK2">
        <f>DJ2+1</f>
        <v>46107</v>
      </c>
      <c r="DL2">
        <f>DK2+1</f>
        <v>46108</v>
      </c>
      <c r="DM2">
        <f>DL2+1</f>
        <v>46109</v>
      </c>
      <c r="DN2">
        <f>DL2+1</f>
        <v>46109</v>
      </c>
      <c r="DO2">
        <f>DN2+1</f>
        <v>46110</v>
      </c>
      <c r="DP2">
        <f>DO2+1</f>
        <v>46111</v>
      </c>
      <c r="DQ2">
        <f>DP2+1</f>
        <v>46112</v>
      </c>
      <c r="DR2">
        <f>DQ2+1</f>
        <v>46113</v>
      </c>
      <c r="DS2">
        <f>DR2+1</f>
        <v>46114</v>
      </c>
      <c r="DT2" t="str">
        <v>Total</v>
      </c>
    </row>
    <row r="3">
      <c r="B3" t="str">
        <v>Carbon Resource Library</v>
      </c>
      <c r="C3" t="str">
        <v xml:space="preserve">VER10-9428, VER10-9464, </v>
      </c>
      <c r="D3" t="str">
        <v>Venkatesh / Sanjeet</v>
      </c>
      <c r="F3">
        <v>46015</v>
      </c>
      <c r="G3">
        <v>46029</v>
      </c>
      <c r="H3">
        <f>G3+2</f>
        <v>46031</v>
      </c>
      <c r="I3" t="str">
        <v>N/A</v>
      </c>
      <c r="J3">
        <f>H3+7</f>
        <v>46038</v>
      </c>
      <c r="K3">
        <f>J3</f>
        <v>46038</v>
      </c>
      <c r="L3" t="str">
        <v>Sprint 35</v>
      </c>
      <c r="M3" t="str">
        <v>Sprint 36</v>
      </c>
      <c r="N3" t="str">
        <v>√</v>
      </c>
      <c r="O3" t="str">
        <v>√</v>
      </c>
      <c r="P3" t="str">
        <v>√</v>
      </c>
      <c r="Q3" t="str">
        <v>√</v>
      </c>
      <c r="R3" t="str">
        <v>√</v>
      </c>
      <c r="S3" t="str">
        <v>√</v>
      </c>
      <c r="T3" t="str">
        <v>√</v>
      </c>
      <c r="Z3">
        <v>575</v>
      </c>
      <c r="AA3">
        <v>55</v>
      </c>
      <c r="AB3">
        <v>1</v>
      </c>
      <c r="AC3" t="str">
        <v xml:space="preserve">Team 1  </v>
      </c>
      <c r="AD3">
        <v>7.857142857142857</v>
      </c>
      <c r="AE3">
        <v>6.875</v>
      </c>
      <c r="AT3" t="str">
        <v>X</v>
      </c>
      <c r="AW3" t="str">
        <v>X</v>
      </c>
      <c r="AX3" t="str">
        <v>X</v>
      </c>
      <c r="AY3" t="str">
        <v>X</v>
      </c>
      <c r="AZ3" t="str">
        <v>X</v>
      </c>
      <c r="BA3" t="str">
        <v>X</v>
      </c>
      <c r="BD3" t="str">
        <v>X</v>
      </c>
      <c r="BE3" t="str">
        <v>X</v>
      </c>
      <c r="BF3" t="str">
        <v>X</v>
      </c>
      <c r="DT3">
        <f>COUNTIF(AF3:DS3,"X")</f>
        <v>9</v>
      </c>
    </row>
    <row r="4">
      <c r="B4" t="str">
        <v>Carbon Item Library</v>
      </c>
      <c r="C4" t="str">
        <v>VER10-9373, VER10-9826, VER10-9830, VER10-9834</v>
      </c>
      <c r="D4" t="str">
        <v>Venkatesh /  Amit S.</v>
      </c>
      <c r="F4">
        <v>46015</v>
      </c>
      <c r="G4">
        <v>46029</v>
      </c>
      <c r="H4">
        <f>G4+2</f>
        <v>46031</v>
      </c>
      <c r="I4" t="str">
        <v>N/A</v>
      </c>
      <c r="J4">
        <f>H4+7</f>
        <v>46038</v>
      </c>
      <c r="K4">
        <f>J4</f>
        <v>46038</v>
      </c>
      <c r="L4" t="str">
        <v>Sprint 35</v>
      </c>
      <c r="M4" t="str">
        <v>Sprint 35</v>
      </c>
      <c r="N4" t="str">
        <v>√</v>
      </c>
      <c r="O4" t="str">
        <v>√</v>
      </c>
      <c r="P4" t="str">
        <v>√</v>
      </c>
      <c r="Q4" t="str">
        <v>√</v>
      </c>
      <c r="R4" t="str">
        <v>√</v>
      </c>
      <c r="S4" t="str">
        <v>√</v>
      </c>
      <c r="T4" t="str">
        <v>√</v>
      </c>
      <c r="AA4">
        <v>85</v>
      </c>
      <c r="AB4">
        <v>2</v>
      </c>
      <c r="AC4" t="str">
        <v>Team 4</v>
      </c>
      <c r="AD4">
        <v>12.142857142857142</v>
      </c>
      <c r="AE4">
        <v>10.625</v>
      </c>
      <c r="AT4" t="str">
        <v>X</v>
      </c>
      <c r="AW4" t="str">
        <v>X</v>
      </c>
      <c r="AX4" t="str">
        <v>X</v>
      </c>
      <c r="AY4" t="str">
        <v>X</v>
      </c>
      <c r="AZ4" t="str">
        <v>X</v>
      </c>
      <c r="BA4" t="str">
        <v>X</v>
      </c>
      <c r="BD4" t="str">
        <v>X</v>
      </c>
      <c r="BE4" t="str">
        <v>X</v>
      </c>
      <c r="BF4" t="str">
        <v>X</v>
      </c>
      <c r="BG4" t="str">
        <v>X</v>
      </c>
      <c r="BH4" t="str">
        <v>X</v>
      </c>
      <c r="BK4" t="str">
        <v>F</v>
      </c>
      <c r="DT4">
        <f>COUNTIF(AF4:DS4,"X")</f>
        <v>11</v>
      </c>
    </row>
    <row r="5">
      <c r="B5" t="str">
        <v>Import / Export</v>
      </c>
      <c r="C5" t="str">
        <v>VER10-9874,VER10-9885,VER10-9890, VER10-9893</v>
      </c>
      <c r="D5" t="str">
        <v>Venkatesh / Vivek</v>
      </c>
      <c r="F5">
        <v>46015</v>
      </c>
      <c r="G5">
        <v>46029</v>
      </c>
      <c r="H5">
        <f>G5+2</f>
        <v>46031</v>
      </c>
      <c r="I5" t="str">
        <v>N/A</v>
      </c>
      <c r="J5">
        <f>H5+7</f>
        <v>46038</v>
      </c>
      <c r="K5">
        <f>J5</f>
        <v>46038</v>
      </c>
      <c r="L5" t="str">
        <v>Sprint 35</v>
      </c>
      <c r="M5" t="str">
        <v>Sprint 35</v>
      </c>
      <c r="N5" t="str">
        <v>√</v>
      </c>
      <c r="O5" t="str">
        <v>√</v>
      </c>
      <c r="P5" t="str">
        <v>√</v>
      </c>
      <c r="Q5" t="str">
        <v>√</v>
      </c>
      <c r="R5" t="str">
        <v>√</v>
      </c>
      <c r="S5" t="str">
        <v>√</v>
      </c>
      <c r="T5" t="str">
        <v>√</v>
      </c>
      <c r="AC5" t="str">
        <v>Team 3</v>
      </c>
      <c r="AT5" t="str">
        <v>X</v>
      </c>
      <c r="AW5" t="str">
        <v>X</v>
      </c>
      <c r="AX5" t="str">
        <v>X</v>
      </c>
      <c r="AY5" t="str">
        <v>X</v>
      </c>
      <c r="AZ5" t="str">
        <v>X</v>
      </c>
      <c r="BA5" t="str">
        <v>X</v>
      </c>
      <c r="BD5" t="str">
        <v>X</v>
      </c>
      <c r="BE5" t="str">
        <v>X</v>
      </c>
      <c r="BF5" t="str">
        <v>X</v>
      </c>
      <c r="BG5" t="str">
        <v>X</v>
      </c>
      <c r="BH5" t="str">
        <v>X</v>
      </c>
      <c r="BK5" t="str">
        <v>F</v>
      </c>
    </row>
    <row r="6" xml:space="preserve">
      <c r="B6" t="str">
        <v>WBS Carbon &amp; Calc</v>
      </c>
      <c r="C6" t="str">
        <v>VER10-9523, VER10-10103, VER10-10106,</v>
      </c>
      <c r="D6" t="str" xml:space="preserve">
        <v xml:space="preserve">Venkatesh / Amit S._x000d_
Yoong</v>
      </c>
      <c r="F6">
        <v>46015</v>
      </c>
      <c r="G6">
        <v>46031</v>
      </c>
      <c r="H6">
        <v>46052</v>
      </c>
      <c r="I6" t="str">
        <v>N/A</v>
      </c>
      <c r="J6">
        <v>46066</v>
      </c>
      <c r="K6">
        <v>46069</v>
      </c>
      <c r="L6" t="str">
        <v>Sprint 37</v>
      </c>
      <c r="M6" t="str">
        <v>Sprint 37</v>
      </c>
      <c r="N6" t="str">
        <v>√</v>
      </c>
      <c r="O6" t="str">
        <v>√</v>
      </c>
      <c r="P6" t="str">
        <v>√</v>
      </c>
      <c r="AA6">
        <v>75</v>
      </c>
      <c r="AB6">
        <v>4</v>
      </c>
      <c r="AC6" t="str">
        <v>Team 4</v>
      </c>
      <c r="AD6">
        <v>10.714285714285714</v>
      </c>
      <c r="AE6">
        <v>9.375</v>
      </c>
      <c r="BH6" t="str">
        <v>X</v>
      </c>
      <c r="BK6" t="str">
        <v>X</v>
      </c>
      <c r="BL6" t="str">
        <v>X</v>
      </c>
      <c r="BM6" t="str">
        <v>X</v>
      </c>
      <c r="BN6" t="str">
        <v>X</v>
      </c>
      <c r="BO6" t="str">
        <v>X</v>
      </c>
      <c r="BR6" t="str">
        <v>X</v>
      </c>
      <c r="BS6" t="str">
        <v>X</v>
      </c>
      <c r="BT6" t="str">
        <v>X</v>
      </c>
      <c r="BU6" t="str">
        <v>X</v>
      </c>
      <c r="BV6" t="str">
        <v>X</v>
      </c>
      <c r="BY6" t="str">
        <v>F</v>
      </c>
      <c r="DT6">
        <f>COUNTIF(AF6:DS6,"X")</f>
        <v>11</v>
      </c>
    </row>
    <row r="7" xml:space="preserve">
      <c r="B7" t="str">
        <v>EPD</v>
      </c>
      <c r="C7" t="str">
        <v>VER10-8959</v>
      </c>
      <c r="D7" t="str" xml:space="preserve">
        <v xml:space="preserve">Venkatesh / Sanjeet_x000d_
Amit D. / Yoong</v>
      </c>
      <c r="F7">
        <v>46015</v>
      </c>
      <c r="G7">
        <v>46045</v>
      </c>
      <c r="H7">
        <v>46064</v>
      </c>
      <c r="I7" t="str">
        <v>N/A</v>
      </c>
      <c r="J7">
        <v>46070</v>
      </c>
      <c r="K7">
        <v>46072</v>
      </c>
      <c r="L7" t="str">
        <v>Sprint 37</v>
      </c>
      <c r="M7" t="str">
        <v>Sprint 37</v>
      </c>
      <c r="N7" t="str">
        <v>√</v>
      </c>
      <c r="AA7">
        <v>75</v>
      </c>
      <c r="AB7">
        <v>5</v>
      </c>
      <c r="AC7" t="str">
        <v>Team 1</v>
      </c>
      <c r="AD7">
        <v>10.714285714285714</v>
      </c>
      <c r="AE7">
        <v>9.375</v>
      </c>
      <c r="BG7" t="str">
        <v xml:space="preserve"> </v>
      </c>
      <c r="BH7" t="str">
        <v xml:space="preserve"> </v>
      </c>
      <c r="BK7" t="str">
        <v xml:space="preserve"> </v>
      </c>
      <c r="BV7" t="str">
        <v>X</v>
      </c>
      <c r="BY7" t="str">
        <v>X</v>
      </c>
      <c r="BZ7" t="str">
        <v>X</v>
      </c>
      <c r="CA7" t="str">
        <v>X</v>
      </c>
      <c r="CB7" t="str">
        <v>X</v>
      </c>
      <c r="CC7" t="str">
        <v>X</v>
      </c>
      <c r="CF7" t="str">
        <v>X</v>
      </c>
      <c r="CG7" t="str">
        <v>X</v>
      </c>
      <c r="CH7" t="str">
        <v>X</v>
      </c>
      <c r="CI7" t="str">
        <v>X</v>
      </c>
      <c r="CJ7" t="str">
        <v>X</v>
      </c>
      <c r="CM7" t="str">
        <v>X</v>
      </c>
      <c r="CN7" t="str">
        <v>X</v>
      </c>
      <c r="CO7" t="str">
        <v>X</v>
      </c>
      <c r="CP7" t="str">
        <v>F</v>
      </c>
      <c r="DT7">
        <f>COUNTIF(AF7:DS7,"X")</f>
        <v>14</v>
      </c>
    </row>
    <row r="8">
      <c r="B8" t="str">
        <v>Cost to Carbon Library</v>
      </c>
      <c r="C8" t="str">
        <v>VER10-9527, VER10-10135, VER10-10139, VER10-10144</v>
      </c>
      <c r="D8" t="str">
        <v>Venkatesh / Sanjeet</v>
      </c>
      <c r="F8">
        <v>46015</v>
      </c>
      <c r="G8">
        <v>46045</v>
      </c>
      <c r="H8">
        <v>46046</v>
      </c>
      <c r="I8" t="str">
        <v>N/A</v>
      </c>
      <c r="J8">
        <v>46069</v>
      </c>
      <c r="K8">
        <v>46069</v>
      </c>
      <c r="L8" t="str">
        <v>Sprint 37</v>
      </c>
      <c r="M8" t="str">
        <v>Sprint 38</v>
      </c>
      <c r="N8" t="str">
        <v>√</v>
      </c>
      <c r="O8" t="str">
        <v>√</v>
      </c>
      <c r="AA8">
        <v>85</v>
      </c>
      <c r="AB8">
        <v>7</v>
      </c>
      <c r="AC8" t="str">
        <v>Team 1</v>
      </c>
      <c r="AD8">
        <v>12.142857142857142</v>
      </c>
      <c r="AE8">
        <v>10.625</v>
      </c>
      <c r="BH8" t="str">
        <v>X</v>
      </c>
      <c r="BK8" t="str">
        <v>X</v>
      </c>
      <c r="BL8" t="str">
        <v>X</v>
      </c>
      <c r="BM8" t="str">
        <v>X</v>
      </c>
      <c r="BN8" t="str">
        <v>X</v>
      </c>
      <c r="BO8" t="str">
        <v>X</v>
      </c>
      <c r="BR8" t="str">
        <v>X</v>
      </c>
      <c r="BS8" t="str">
        <v>X</v>
      </c>
      <c r="BT8" t="str">
        <v>X</v>
      </c>
      <c r="BU8" t="str">
        <v>X</v>
      </c>
      <c r="BV8" t="str">
        <v>X</v>
      </c>
      <c r="BY8" t="str">
        <v>F</v>
      </c>
      <c r="DT8">
        <f>COUNTIF(AF8:DS8,"X")</f>
        <v>11</v>
      </c>
    </row>
    <row r="9">
      <c r="B9" t="str">
        <v>Auto-Allocate</v>
      </c>
      <c r="C9" t="str">
        <v>NOT NEEDED</v>
      </c>
      <c r="D9" t="str">
        <v>Venkatesh / Amit S</v>
      </c>
      <c r="F9">
        <v>46015</v>
      </c>
      <c r="G9">
        <v>46045</v>
      </c>
      <c r="H9">
        <v>46064</v>
      </c>
      <c r="I9" t="str">
        <v>N/A</v>
      </c>
      <c r="J9">
        <v>46066</v>
      </c>
      <c r="K9">
        <v>46066</v>
      </c>
      <c r="L9" t="str">
        <v>Sprint 37</v>
      </c>
      <c r="M9" t="str">
        <v>Sprint 37</v>
      </c>
      <c r="N9" t="str">
        <v>√</v>
      </c>
      <c r="AA9">
        <v>40</v>
      </c>
      <c r="AB9">
        <v>6</v>
      </c>
      <c r="AC9" t="str">
        <v>Team 4</v>
      </c>
      <c r="AD9">
        <v>5.714285714285714</v>
      </c>
      <c r="AE9">
        <v>5</v>
      </c>
      <c r="BH9" t="str">
        <v>X</v>
      </c>
      <c r="BK9" t="str">
        <v>X</v>
      </c>
      <c r="BL9" t="str">
        <v>X</v>
      </c>
      <c r="BM9" t="str">
        <v>X</v>
      </c>
      <c r="BN9" t="str">
        <v>X</v>
      </c>
      <c r="BO9" t="str">
        <v>X</v>
      </c>
      <c r="BR9" t="str">
        <v>X</v>
      </c>
      <c r="BS9" t="str">
        <v>X</v>
      </c>
      <c r="BT9" t="str">
        <v>X</v>
      </c>
      <c r="BU9" t="str">
        <v>X</v>
      </c>
      <c r="BV9" t="str">
        <v>X</v>
      </c>
      <c r="BY9" t="str">
        <v>F</v>
      </c>
      <c r="BZ9" t="str">
        <v xml:space="preserve"> </v>
      </c>
      <c r="CA9" t="str">
        <v xml:space="preserve"> </v>
      </c>
      <c r="CB9" t="str">
        <v xml:space="preserve"> </v>
      </c>
      <c r="CC9" t="str">
        <v xml:space="preserve"> </v>
      </c>
      <c r="DT9">
        <f>COUNTIF(AF9:DS9,"X")</f>
        <v>11</v>
      </c>
    </row>
    <row r="10">
      <c r="B10" t="str">
        <v xml:space="preserve"> IFT - Dynamic Library</v>
      </c>
      <c r="C10" t="str">
        <v>VER10-8678, VER10-8680, VER10-8682, VER10-8858, VER10-8679, VER10-8921, VER10-9049, VER10-9128</v>
      </c>
      <c r="D10" t="str">
        <v>Venkatesh  / Amit S / David</v>
      </c>
      <c r="F10" t="str">
        <v xml:space="preserve">Fri 12 Dec 2025 </v>
      </c>
      <c r="G10">
        <v>46045</v>
      </c>
      <c r="H10">
        <v>46064</v>
      </c>
      <c r="I10" t="str">
        <v>N/A</v>
      </c>
      <c r="J10">
        <v>46078</v>
      </c>
      <c r="K10">
        <v>46080</v>
      </c>
      <c r="L10" t="str">
        <v>Sprint 35</v>
      </c>
      <c r="M10" t="str">
        <v>Sprint 39</v>
      </c>
      <c r="N10" t="str">
        <v>√</v>
      </c>
      <c r="O10" t="str">
        <v>√</v>
      </c>
      <c r="P10" t="str">
        <v>√</v>
      </c>
      <c r="Q10" t="str">
        <v>√</v>
      </c>
      <c r="R10" t="str">
        <v>√</v>
      </c>
      <c r="S10" t="str">
        <v>√</v>
      </c>
      <c r="T10" t="str">
        <v>√</v>
      </c>
      <c r="Z10">
        <v>177</v>
      </c>
      <c r="AA10">
        <v>200</v>
      </c>
      <c r="AB10">
        <v>1</v>
      </c>
      <c r="AC10" t="str">
        <v>Team 4</v>
      </c>
      <c r="AD10">
        <v>28.571428571428573</v>
      </c>
      <c r="AE10">
        <v>25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P10" t="str">
        <v>X</v>
      </c>
      <c r="AQ10" t="str">
        <v>X</v>
      </c>
      <c r="AR10" t="str">
        <v>X</v>
      </c>
      <c r="AS10" t="str">
        <v>X</v>
      </c>
      <c r="AT10" t="str">
        <v>X</v>
      </c>
      <c r="AW10" t="str">
        <v>X</v>
      </c>
      <c r="AX10" t="str">
        <v>X</v>
      </c>
      <c r="AY10" t="str">
        <v>X</v>
      </c>
      <c r="AZ10" t="str">
        <v>X</v>
      </c>
      <c r="BA10" t="str">
        <v>X</v>
      </c>
      <c r="BD10" t="str">
        <v>X</v>
      </c>
      <c r="BE10" t="str">
        <v>X</v>
      </c>
      <c r="BF10" t="str">
        <v>X</v>
      </c>
      <c r="BG10" t="str">
        <v>X</v>
      </c>
      <c r="BH10" t="str">
        <v>X</v>
      </c>
      <c r="BK10" t="str">
        <v>X</v>
      </c>
      <c r="BL10" t="str">
        <v>X</v>
      </c>
      <c r="BM10" t="str">
        <v>X</v>
      </c>
      <c r="BN10" t="str">
        <v>X</v>
      </c>
      <c r="BO10" t="str">
        <v>X</v>
      </c>
      <c r="BR10" t="str">
        <v>X</v>
      </c>
      <c r="BS10" t="str">
        <v>X</v>
      </c>
      <c r="BT10" t="str">
        <v>X</v>
      </c>
      <c r="BU10" t="str">
        <v>X</v>
      </c>
      <c r="BV10" t="str">
        <v>X</v>
      </c>
      <c r="BY10" t="str">
        <v>X</v>
      </c>
      <c r="BZ10" t="str">
        <v>X</v>
      </c>
      <c r="CA10" t="str">
        <v>X</v>
      </c>
      <c r="CB10" t="str">
        <v>X</v>
      </c>
      <c r="CC10" t="str">
        <v>X</v>
      </c>
      <c r="CF10" t="str">
        <v>X</v>
      </c>
      <c r="CG10" t="str">
        <v>X</v>
      </c>
      <c r="CH10" t="str">
        <v>X</v>
      </c>
      <c r="CI10" t="str">
        <v>X</v>
      </c>
      <c r="CJ10" t="str">
        <v>X</v>
      </c>
      <c r="CM10" t="str">
        <v>F</v>
      </c>
      <c r="DT10">
        <f>COUNTIF(AF10:DS10,"X")</f>
        <v>40</v>
      </c>
    </row>
    <row r="11">
      <c r="B11" t="str">
        <v xml:space="preserve"> IFT - Project Specific Library</v>
      </c>
      <c r="C11" t="str">
        <v>VER10-8678, VER10-8680, VER10-8682, VER10-8858, VER10-8679, VER10-8921, VER10-9049, VER10-9128</v>
      </c>
      <c r="D11" t="str">
        <v>Venkatesh  / Amit S / David</v>
      </c>
      <c r="F11" t="str">
        <v xml:space="preserve">Fri 12 Dec 2025 </v>
      </c>
      <c r="G11">
        <v>46045</v>
      </c>
      <c r="H11">
        <v>46073</v>
      </c>
      <c r="I11" t="str">
        <v>N/A</v>
      </c>
      <c r="J11">
        <v>46076</v>
      </c>
      <c r="K11">
        <v>46079</v>
      </c>
      <c r="L11" t="str">
        <v>Sprint 35</v>
      </c>
      <c r="M11" t="str">
        <v>Sprint 39</v>
      </c>
      <c r="N11" t="str">
        <v>√</v>
      </c>
      <c r="O11" t="str">
        <v>√</v>
      </c>
      <c r="P11" t="str">
        <v>√</v>
      </c>
      <c r="Q11" t="str">
        <v>√</v>
      </c>
      <c r="R11" t="str">
        <v>√</v>
      </c>
      <c r="S11" t="str">
        <v>√</v>
      </c>
      <c r="T11" t="str">
        <v>√</v>
      </c>
      <c r="Z11">
        <v>177</v>
      </c>
      <c r="AA11">
        <v>200</v>
      </c>
      <c r="AB11">
        <v>1</v>
      </c>
      <c r="AC11" t="str">
        <v>Team 4</v>
      </c>
      <c r="AD11">
        <v>28.571428571428573</v>
      </c>
      <c r="AE11">
        <v>25</v>
      </c>
      <c r="AI11" t="str">
        <v>X</v>
      </c>
      <c r="AJ11" t="str">
        <v>X</v>
      </c>
      <c r="AK11" t="str">
        <v>X</v>
      </c>
      <c r="AL11" t="str">
        <v>X</v>
      </c>
      <c r="AM11" t="str">
        <v>X</v>
      </c>
      <c r="AP11" t="str">
        <v>X</v>
      </c>
      <c r="AQ11" t="str">
        <v>X</v>
      </c>
      <c r="AR11" t="str">
        <v>X</v>
      </c>
      <c r="AS11" t="str">
        <v>X</v>
      </c>
      <c r="AT11" t="str">
        <v>X</v>
      </c>
      <c r="AW11" t="str">
        <v>X</v>
      </c>
      <c r="AX11" t="str">
        <v>X</v>
      </c>
      <c r="AY11" t="str">
        <v>X</v>
      </c>
      <c r="AZ11" t="str">
        <v>X</v>
      </c>
      <c r="BA11" t="str">
        <v>X</v>
      </c>
      <c r="BD11" t="str">
        <v>X</v>
      </c>
      <c r="BE11" t="str">
        <v>X</v>
      </c>
      <c r="BF11" t="str">
        <v>X</v>
      </c>
      <c r="BG11" t="str">
        <v>X</v>
      </c>
      <c r="BH11" t="str">
        <v>X</v>
      </c>
      <c r="BK11" t="str">
        <v>X</v>
      </c>
      <c r="BL11" t="str">
        <v>X</v>
      </c>
      <c r="BM11" t="str">
        <v>X</v>
      </c>
      <c r="BN11" t="str">
        <v>X</v>
      </c>
      <c r="BO11" t="str">
        <v>X</v>
      </c>
      <c r="BR11" t="str">
        <v>X</v>
      </c>
      <c r="BS11" t="str">
        <v>X</v>
      </c>
      <c r="BT11" t="str">
        <v>X</v>
      </c>
      <c r="BU11" t="str">
        <v>X</v>
      </c>
      <c r="BV11" t="str">
        <v>X</v>
      </c>
      <c r="BY11" t="str">
        <v>X</v>
      </c>
      <c r="BZ11" t="str">
        <v>X</v>
      </c>
      <c r="CA11" t="str">
        <v>X</v>
      </c>
      <c r="CB11" t="str">
        <v>X</v>
      </c>
      <c r="CC11" t="str">
        <v>X</v>
      </c>
      <c r="CF11" t="str">
        <v>X</v>
      </c>
      <c r="CG11" t="str">
        <v>X</v>
      </c>
      <c r="CH11" t="str">
        <v>X</v>
      </c>
      <c r="CI11" t="str">
        <v>X</v>
      </c>
      <c r="CJ11" t="str">
        <v>X</v>
      </c>
      <c r="CM11" t="str">
        <v>F</v>
      </c>
      <c r="DT11">
        <f>COUNTIF(AF11:DS11,"X")</f>
        <v>40</v>
      </c>
    </row>
    <row r="12" xml:space="preserve">
      <c r="B12" t="str">
        <v>LTA - Epic 1/2 - RfE + Shell (Entry Point)</v>
      </c>
      <c r="C12" t="str">
        <v>VER10-9697, VER10-9698, VER10-9699, VER10-9700, VER10-9701, VER10-9702</v>
      </c>
      <c r="D12" t="str" xml:space="preserve">
        <v xml:space="preserve">Minas / Manish_x000d_
Ram / David</v>
      </c>
      <c r="F12" t="str">
        <v xml:space="preserve">Fri 12 Dec 2025 </v>
      </c>
      <c r="G12">
        <v>46045</v>
      </c>
      <c r="H12">
        <v>46057</v>
      </c>
      <c r="I12" t="str">
        <v>N/A</v>
      </c>
      <c r="J12">
        <v>46073</v>
      </c>
      <c r="K12">
        <v>46069</v>
      </c>
      <c r="L12" t="str">
        <v>Sprint 37</v>
      </c>
      <c r="M12" t="str">
        <v>Sprint 37</v>
      </c>
      <c r="N12" t="str">
        <v>√</v>
      </c>
      <c r="O12" t="str">
        <v>√</v>
      </c>
      <c r="Z12">
        <v>260</v>
      </c>
      <c r="AA12">
        <v>180</v>
      </c>
      <c r="AB12">
        <v>4</v>
      </c>
      <c r="AC12" t="str">
        <v>Team 2</v>
      </c>
      <c r="AD12">
        <v>25.714285714285715</v>
      </c>
      <c r="AE12">
        <v>22.5</v>
      </c>
      <c r="BG12" t="str">
        <v>X</v>
      </c>
      <c r="BH12" t="str">
        <v>X</v>
      </c>
      <c r="BK12" t="str">
        <v>X</v>
      </c>
      <c r="BL12" t="str">
        <v>X</v>
      </c>
      <c r="BM12" t="str">
        <v>X</v>
      </c>
      <c r="BN12" t="str">
        <v>X</v>
      </c>
      <c r="BO12" t="str">
        <v>X</v>
      </c>
      <c r="BR12" t="str">
        <v>X</v>
      </c>
      <c r="BS12" t="str">
        <v>X</v>
      </c>
      <c r="BT12" t="str">
        <v>X</v>
      </c>
      <c r="BU12" t="str">
        <v>X</v>
      </c>
      <c r="BV12" t="str">
        <v>X</v>
      </c>
      <c r="BY12" t="str">
        <v>X</v>
      </c>
      <c r="BZ12" t="str">
        <v>X</v>
      </c>
      <c r="CA12" t="str">
        <v>X</v>
      </c>
      <c r="CB12" t="str">
        <v>X</v>
      </c>
      <c r="CC12" t="str">
        <v>X</v>
      </c>
      <c r="CF12" t="str">
        <v>X</v>
      </c>
      <c r="CG12" t="str">
        <v>X</v>
      </c>
      <c r="CH12" t="str">
        <v>F</v>
      </c>
      <c r="DT12">
        <f>COUNTIF(AF12:DS12,"X")</f>
        <v>19</v>
      </c>
    </row>
    <row r="13" xml:space="preserve">
      <c r="B13" t="str">
        <v>LTA - Epic 3 - Asset Library</v>
      </c>
      <c r="C13" t="str">
        <v>VER10-9697, VER10-9698, VER10-9699, VER10-9700, VER10-9701, VER10-9702</v>
      </c>
      <c r="D13" t="str" xml:space="preserve">
        <v xml:space="preserve">Minas / Manish_x000d_
Ram / David</v>
      </c>
      <c r="F13" t="str">
        <v xml:space="preserve">Fri 12 Dec 2025 </v>
      </c>
      <c r="G13">
        <v>46045</v>
      </c>
      <c r="H13">
        <v>46057</v>
      </c>
      <c r="I13" t="str">
        <v>N/A</v>
      </c>
      <c r="J13">
        <v>46069</v>
      </c>
      <c r="K13">
        <v>46069</v>
      </c>
      <c r="L13" t="str">
        <v>Sprint 38</v>
      </c>
      <c r="M13" t="str">
        <v>Sprint 38</v>
      </c>
      <c r="N13" t="str">
        <v>√</v>
      </c>
      <c r="O13" t="str">
        <v>√</v>
      </c>
      <c r="Z13">
        <v>260</v>
      </c>
      <c r="AA13">
        <v>180</v>
      </c>
      <c r="AB13">
        <v>4</v>
      </c>
      <c r="AC13" t="str">
        <v>Team 2</v>
      </c>
      <c r="AD13">
        <v>25.714285714285715</v>
      </c>
      <c r="AE13">
        <v>22.5</v>
      </c>
      <c r="BG13" t="str">
        <v>X</v>
      </c>
      <c r="BH13" t="str">
        <v>X</v>
      </c>
      <c r="BK13" t="str">
        <v>X</v>
      </c>
      <c r="BL13" t="str">
        <v>X</v>
      </c>
      <c r="BM13" t="str">
        <v>X</v>
      </c>
      <c r="BN13" t="str">
        <v>X</v>
      </c>
      <c r="BO13" t="str">
        <v>X</v>
      </c>
      <c r="BR13" t="str">
        <v>X</v>
      </c>
      <c r="BS13" t="str">
        <v>X</v>
      </c>
      <c r="BT13" t="str">
        <v>X</v>
      </c>
      <c r="BU13" t="str">
        <v>X</v>
      </c>
      <c r="BV13" t="str">
        <v>X</v>
      </c>
      <c r="BY13" t="str">
        <v>X</v>
      </c>
      <c r="BZ13" t="str">
        <v>X</v>
      </c>
      <c r="CA13" t="str">
        <v>X</v>
      </c>
      <c r="CB13" t="str">
        <v>X</v>
      </c>
      <c r="CC13" t="str">
        <v>X</v>
      </c>
      <c r="CF13" t="str">
        <v>X</v>
      </c>
      <c r="CG13" t="str">
        <v>X</v>
      </c>
      <c r="CH13" t="str">
        <v>F</v>
      </c>
      <c r="DT13">
        <f>COUNTIF(AF13:DS13,"X")</f>
        <v>19</v>
      </c>
    </row>
    <row r="14" xml:space="preserve">
      <c r="B14" t="str">
        <v>LTA - Epic 4/6 - Data Entry &amp; WBS</v>
      </c>
      <c r="C14" t="str">
        <v>VER10-9697, VER10-9698, VER10-9699, VER10-9700, VER10-9701, VER10-9702</v>
      </c>
      <c r="D14" t="str" xml:space="preserve">
        <v xml:space="preserve">Minas / Manish_x000d_
Ram / David</v>
      </c>
      <c r="F14" t="str">
        <v xml:space="preserve">Fri 12 Dec 2025 </v>
      </c>
      <c r="G14">
        <v>46045</v>
      </c>
      <c r="H14">
        <v>46057</v>
      </c>
      <c r="I14" t="str">
        <v>N/A</v>
      </c>
      <c r="J14">
        <v>46073</v>
      </c>
      <c r="K14">
        <v>46076</v>
      </c>
      <c r="L14" t="str">
        <v>Sprint 38</v>
      </c>
      <c r="M14" t="str">
        <v>Sprint 38</v>
      </c>
      <c r="N14" t="str">
        <v>√</v>
      </c>
      <c r="O14" t="str">
        <v>√</v>
      </c>
      <c r="Z14">
        <v>260</v>
      </c>
      <c r="AA14">
        <v>180</v>
      </c>
      <c r="AB14">
        <v>4</v>
      </c>
      <c r="AC14" t="str">
        <v>Team 2</v>
      </c>
      <c r="AD14">
        <v>25.714285714285715</v>
      </c>
      <c r="AE14">
        <v>22.5</v>
      </c>
      <c r="BG14" t="str">
        <v>X</v>
      </c>
      <c r="BH14" t="str">
        <v>X</v>
      </c>
      <c r="BK14" t="str">
        <v>X</v>
      </c>
      <c r="BL14" t="str">
        <v>X</v>
      </c>
      <c r="BM14" t="str">
        <v>X</v>
      </c>
      <c r="BN14" t="str">
        <v>X</v>
      </c>
      <c r="BO14" t="str">
        <v>X</v>
      </c>
      <c r="BR14" t="str">
        <v>X</v>
      </c>
      <c r="BS14" t="str">
        <v>X</v>
      </c>
      <c r="BT14" t="str">
        <v>X</v>
      </c>
      <c r="BU14" t="str">
        <v>X</v>
      </c>
      <c r="BV14" t="str">
        <v>X</v>
      </c>
      <c r="BY14" t="str">
        <v>X</v>
      </c>
      <c r="BZ14" t="str">
        <v>X</v>
      </c>
      <c r="CA14" t="str">
        <v>X</v>
      </c>
      <c r="CB14" t="str">
        <v>X</v>
      </c>
      <c r="CC14" t="str">
        <v>X</v>
      </c>
      <c r="CF14" t="str">
        <v>X</v>
      </c>
      <c r="CG14" t="str">
        <v>X</v>
      </c>
      <c r="CH14" t="str">
        <v>F</v>
      </c>
      <c r="DT14">
        <f>COUNTIF(AF14:DS14,"X")</f>
        <v>19</v>
      </c>
    </row>
    <row r="15" xml:space="preserve">
      <c r="B15" t="str">
        <v>LTA - Epic 5  Annual Profiling</v>
      </c>
      <c r="C15" t="str">
        <v>VER10-9697, VER10-9698, VER10-9699, VER10-9700, VER10-9701, VER10-9702</v>
      </c>
      <c r="D15" t="str" xml:space="preserve">
        <v xml:space="preserve">Minas / Manish_x000d_
Ram / David</v>
      </c>
      <c r="F15" t="str">
        <v xml:space="preserve">Fri 12 Dec 2025 </v>
      </c>
      <c r="G15">
        <v>46045</v>
      </c>
      <c r="H15">
        <v>46057</v>
      </c>
      <c r="I15" t="str">
        <v>N/A</v>
      </c>
      <c r="J15">
        <v>46073</v>
      </c>
      <c r="K15">
        <v>46076</v>
      </c>
      <c r="L15" t="str">
        <v>Sprint 37</v>
      </c>
      <c r="M15" t="str">
        <v>Sprint 37</v>
      </c>
      <c r="N15" t="str">
        <v>√</v>
      </c>
      <c r="O15" t="str">
        <v>√</v>
      </c>
      <c r="Z15">
        <v>260</v>
      </c>
      <c r="AA15">
        <v>180</v>
      </c>
      <c r="AB15">
        <v>4</v>
      </c>
      <c r="AC15" t="str">
        <v>Team 2</v>
      </c>
      <c r="AD15">
        <v>25.714285714285715</v>
      </c>
      <c r="AE15">
        <v>22.5</v>
      </c>
      <c r="BG15" t="str">
        <v>X</v>
      </c>
      <c r="BH15" t="str">
        <v>X</v>
      </c>
      <c r="BK15" t="str">
        <v>X</v>
      </c>
      <c r="BL15" t="str">
        <v>X</v>
      </c>
      <c r="BM15" t="str">
        <v>X</v>
      </c>
      <c r="BN15" t="str">
        <v>X</v>
      </c>
      <c r="BO15" t="str">
        <v>X</v>
      </c>
      <c r="BR15" t="str">
        <v>X</v>
      </c>
      <c r="BS15" t="str">
        <v>X</v>
      </c>
      <c r="BT15" t="str">
        <v>X</v>
      </c>
      <c r="BU15" t="str">
        <v>X</v>
      </c>
      <c r="BV15" t="str">
        <v>X</v>
      </c>
      <c r="BY15" t="str">
        <v>X</v>
      </c>
      <c r="BZ15" t="str">
        <v>X</v>
      </c>
      <c r="CA15" t="str">
        <v>X</v>
      </c>
      <c r="CB15" t="str">
        <v>X</v>
      </c>
      <c r="CC15" t="str">
        <v>X</v>
      </c>
      <c r="CF15" t="str">
        <v>X</v>
      </c>
      <c r="CG15" t="str">
        <v>X</v>
      </c>
      <c r="CH15" t="str">
        <v>F</v>
      </c>
      <c r="DT15">
        <f>COUNTIF(AF15:DS15,"X")</f>
        <v>19</v>
      </c>
    </row>
    <row r="16" xml:space="preserve">
      <c r="B16" t="str">
        <v xml:space="preserve">Comparator </v>
      </c>
      <c r="C16" t="str">
        <v>VER10-8953</v>
      </c>
      <c r="D16" t="str" xml:space="preserve">
        <v xml:space="preserve">Minas / Laurence_x000d_
David</v>
      </c>
      <c r="E16" t="str">
        <v>Y</v>
      </c>
      <c r="F16" t="str">
        <v xml:space="preserve">Fri 12 Dec 2025 </v>
      </c>
      <c r="G16">
        <v>46041</v>
      </c>
      <c r="H16">
        <v>46062</v>
      </c>
      <c r="I16" t="str">
        <v>N/A</v>
      </c>
      <c r="J16">
        <v>46066</v>
      </c>
      <c r="K16">
        <v>46069</v>
      </c>
      <c r="L16" t="str">
        <v>Sprint 37</v>
      </c>
      <c r="M16" t="str">
        <v>Sprint 38</v>
      </c>
      <c r="N16" t="str">
        <v>√</v>
      </c>
      <c r="O16" t="str">
        <v>√</v>
      </c>
      <c r="Z16">
        <v>120</v>
      </c>
      <c r="AA16">
        <v>120</v>
      </c>
      <c r="AB16">
        <v>4</v>
      </c>
      <c r="AC16" t="str">
        <v>Team 5</v>
      </c>
      <c r="AD16">
        <v>17.142857142857142</v>
      </c>
      <c r="AE16">
        <v>15</v>
      </c>
      <c r="BK16" t="str">
        <v>X</v>
      </c>
      <c r="BL16" t="str">
        <v>X</v>
      </c>
      <c r="BM16" t="str">
        <v>X</v>
      </c>
      <c r="BN16" t="str">
        <v>X</v>
      </c>
      <c r="BO16" t="str">
        <v>X</v>
      </c>
      <c r="BR16" t="str">
        <v>X</v>
      </c>
      <c r="BS16" t="str">
        <v>X</v>
      </c>
      <c r="BT16" t="str">
        <v>X</v>
      </c>
      <c r="BU16" t="str">
        <v>X</v>
      </c>
      <c r="BV16" t="str">
        <v>X</v>
      </c>
      <c r="BY16" t="str">
        <v>X</v>
      </c>
      <c r="BZ16" t="str">
        <v>X</v>
      </c>
      <c r="CA16" t="str">
        <v>X</v>
      </c>
      <c r="CB16" t="str">
        <v>X</v>
      </c>
      <c r="CC16" t="str">
        <v>X</v>
      </c>
      <c r="CF16" t="str">
        <v>X</v>
      </c>
      <c r="CG16" t="str">
        <v>X</v>
      </c>
      <c r="CH16" t="str">
        <v>X</v>
      </c>
      <c r="CI16" t="str">
        <v>X</v>
      </c>
      <c r="CJ16" t="str">
        <v>F</v>
      </c>
      <c r="DT16">
        <f>COUNTIF(AF16:DS16,"X")</f>
        <v>19</v>
      </c>
    </row>
    <row r="17" xml:space="preserve">
      <c r="B17" t="str">
        <v>Carbon Reports</v>
      </c>
      <c r="D17" t="str" xml:space="preserve">
        <v xml:space="preserve">Minas / Vivek_x000d_
/ Yoong</v>
      </c>
      <c r="F17">
        <v>46031</v>
      </c>
      <c r="G17">
        <f>F17+7</f>
        <v>46038</v>
      </c>
      <c r="H17" t="str">
        <v>N/A</v>
      </c>
      <c r="I17" t="str">
        <v>N/A</v>
      </c>
      <c r="J17">
        <v>46073</v>
      </c>
      <c r="K17">
        <v>46077</v>
      </c>
      <c r="L17" t="str">
        <v>Sprint 37</v>
      </c>
      <c r="M17" t="str">
        <v>Sprint 38</v>
      </c>
      <c r="AA17">
        <v>40</v>
      </c>
      <c r="AC17" t="str">
        <v>Team 3</v>
      </c>
      <c r="AD17">
        <v>5.714285714285714</v>
      </c>
      <c r="AE17">
        <v>5</v>
      </c>
      <c r="BU17" t="str">
        <v xml:space="preserve"> </v>
      </c>
      <c r="BV17" t="str">
        <v>X</v>
      </c>
      <c r="BY17" t="str">
        <v>X</v>
      </c>
      <c r="BZ17" t="str">
        <v>X</v>
      </c>
      <c r="CA17" t="str">
        <v>X</v>
      </c>
      <c r="CB17" t="str">
        <v>X</v>
      </c>
      <c r="CC17" t="str">
        <v>X</v>
      </c>
      <c r="CF17" t="str">
        <v>X</v>
      </c>
      <c r="CG17" t="str">
        <v>X</v>
      </c>
      <c r="CH17" t="str">
        <v>X</v>
      </c>
      <c r="CI17" t="str">
        <v>X</v>
      </c>
      <c r="CJ17" t="str">
        <v>F</v>
      </c>
      <c r="DT17">
        <f>COUNTIF(AF17:DS17,"X")</f>
        <v>10</v>
      </c>
    </row>
    <row r="18">
      <c r="B18" t="str">
        <v>Estimate Workflow (Reviewal, Approval, Issuing)</v>
      </c>
      <c r="C18" t="str">
        <v>VER10-9028</v>
      </c>
      <c r="D18" t="str">
        <v>Minas / Vivek</v>
      </c>
      <c r="E18" t="str">
        <v>Y</v>
      </c>
      <c r="F18" t="str">
        <v>Fri 12 Dec 2025</v>
      </c>
      <c r="G18">
        <v>46052</v>
      </c>
      <c r="H18">
        <v>46069</v>
      </c>
      <c r="I18" t="str">
        <v>N/A</v>
      </c>
      <c r="J18">
        <f>H18+7</f>
        <v>46076</v>
      </c>
      <c r="K18">
        <f>J18</f>
        <v>46076</v>
      </c>
      <c r="L18" t="str">
        <v>Sprint 38</v>
      </c>
      <c r="M18" t="str">
        <v>Sprint 38</v>
      </c>
      <c r="N18" t="str">
        <v>√</v>
      </c>
      <c r="Z18">
        <v>35</v>
      </c>
      <c r="AA18">
        <v>35</v>
      </c>
      <c r="AB18">
        <v>5</v>
      </c>
      <c r="AC18" t="str">
        <v>Team 3</v>
      </c>
      <c r="AD18">
        <v>5</v>
      </c>
      <c r="AE18">
        <v>4.375</v>
      </c>
      <c r="AF18" t="str">
        <v xml:space="preserve"> </v>
      </c>
      <c r="BV18" t="str">
        <v>X</v>
      </c>
      <c r="BY18" t="str">
        <v>X</v>
      </c>
      <c r="BZ18" t="str">
        <v>X</v>
      </c>
      <c r="CA18" t="str">
        <v>X</v>
      </c>
      <c r="CB18" t="str">
        <v>X</v>
      </c>
      <c r="CC18" t="str">
        <v>X</v>
      </c>
      <c r="CF18" t="str">
        <v>X</v>
      </c>
      <c r="CG18" t="str">
        <v>X</v>
      </c>
      <c r="CH18" t="str">
        <v>X</v>
      </c>
      <c r="CI18" t="str">
        <v>X</v>
      </c>
      <c r="CJ18" t="str">
        <v>X</v>
      </c>
      <c r="CM18" t="str">
        <v>F</v>
      </c>
      <c r="DT18">
        <f>COUNTIF(AF18:DS18,"X")</f>
        <v>11</v>
      </c>
    </row>
    <row r="19" xml:space="preserve">
      <c r="B19" t="str">
        <v>Portfolio/Programme Risk (Risk Profile)</v>
      </c>
      <c r="C19" t="str">
        <v>VER10-9494</v>
      </c>
      <c r="D19" t="str" xml:space="preserve">
        <v xml:space="preserve">Minas / Vivek_x000d_
Yoong</v>
      </c>
      <c r="F19" t="str">
        <v>Fri 12 Dec 2025</v>
      </c>
      <c r="G19" t="str">
        <v>Mon 22 Dec 2025</v>
      </c>
      <c r="H19" t="str">
        <v>N/A</v>
      </c>
      <c r="I19" t="str">
        <v>N/A</v>
      </c>
      <c r="J19">
        <v>46070</v>
      </c>
      <c r="K19">
        <v>46070</v>
      </c>
      <c r="L19" t="str">
        <v>Sprint 37</v>
      </c>
      <c r="M19" t="str">
        <v>Sprint 38</v>
      </c>
      <c r="N19" t="str">
        <v>√</v>
      </c>
      <c r="O19" t="str">
        <v>√</v>
      </c>
      <c r="P19" t="str">
        <v>√</v>
      </c>
      <c r="Z19">
        <v>80</v>
      </c>
      <c r="AA19">
        <v>60</v>
      </c>
      <c r="AB19">
        <v>5</v>
      </c>
      <c r="AC19" t="str">
        <v>Team 3</v>
      </c>
      <c r="AD19">
        <v>8.571428571428571</v>
      </c>
      <c r="AE19">
        <v>7.5</v>
      </c>
      <c r="AZ19" t="str">
        <v xml:space="preserve"> </v>
      </c>
      <c r="BA19" t="str">
        <v xml:space="preserve"> </v>
      </c>
      <c r="BH19" t="str">
        <v>X</v>
      </c>
      <c r="BK19" t="str">
        <v>X</v>
      </c>
      <c r="BL19" t="str">
        <v>X</v>
      </c>
      <c r="BM19" t="str">
        <v>X</v>
      </c>
      <c r="BN19" t="str">
        <v>X</v>
      </c>
      <c r="BO19" t="str">
        <v>X</v>
      </c>
      <c r="BR19" t="str">
        <v>X</v>
      </c>
      <c r="BS19" t="str">
        <v>X</v>
      </c>
      <c r="BT19" t="str">
        <v>X</v>
      </c>
      <c r="BU19" t="str">
        <v>X</v>
      </c>
      <c r="BV19" t="str">
        <v>X</v>
      </c>
      <c r="BY19" t="str">
        <v>F</v>
      </c>
      <c r="DT19">
        <f>COUNTIF(AF19:DS19,"X")</f>
        <v>11</v>
      </c>
    </row>
    <row r="20" xml:space="preserve">
      <c r="B20" t="str">
        <v>Portfolio/Programme Risk (Remaining)</v>
      </c>
      <c r="C20" t="str">
        <v xml:space="preserve"> </v>
      </c>
      <c r="D20" t="str" xml:space="preserve">
        <v xml:space="preserve">Minas / Vivek_x000d_
Yoong</v>
      </c>
      <c r="F20" t="str">
        <v>Fri 12 Dec 2025</v>
      </c>
      <c r="G20" t="str">
        <v>Mon 22 Dec 2025</v>
      </c>
      <c r="H20" t="str">
        <v>N/A</v>
      </c>
      <c r="I20" t="str">
        <v>N/A</v>
      </c>
      <c r="J20">
        <v>46070</v>
      </c>
      <c r="K20">
        <v>46073</v>
      </c>
      <c r="L20" t="str">
        <v>Sprint 38</v>
      </c>
      <c r="M20" t="str">
        <v>Sprint 39</v>
      </c>
      <c r="N20" t="str">
        <v>√</v>
      </c>
      <c r="O20" t="str">
        <v>√</v>
      </c>
      <c r="P20" t="str">
        <v>√</v>
      </c>
      <c r="Z20">
        <v>80</v>
      </c>
      <c r="AA20">
        <v>60</v>
      </c>
      <c r="AB20">
        <v>5</v>
      </c>
      <c r="AC20" t="str">
        <v>Team 3</v>
      </c>
      <c r="AD20">
        <v>8.571428571428571</v>
      </c>
      <c r="AE20">
        <v>7.5</v>
      </c>
      <c r="AZ20" t="str">
        <v xml:space="preserve"> </v>
      </c>
      <c r="BA20" t="str">
        <v xml:space="preserve"> </v>
      </c>
      <c r="BH20" t="str">
        <v>X</v>
      </c>
      <c r="BK20" t="str">
        <v>X</v>
      </c>
      <c r="BL20" t="str">
        <v>X</v>
      </c>
      <c r="BM20" t="str">
        <v>X</v>
      </c>
      <c r="BN20" t="str">
        <v>X</v>
      </c>
      <c r="BO20" t="str">
        <v>X</v>
      </c>
      <c r="BR20" t="str">
        <v>X</v>
      </c>
      <c r="BS20" t="str">
        <v>X</v>
      </c>
      <c r="BT20" t="str">
        <v>X</v>
      </c>
      <c r="BU20" t="str">
        <v>X</v>
      </c>
      <c r="BV20" t="str">
        <v>X</v>
      </c>
      <c r="BY20" t="str">
        <v>F</v>
      </c>
      <c r="DT20">
        <f>COUNTIF(AF20:DS20,"X")</f>
        <v>11</v>
      </c>
    </row>
    <row r="21">
      <c r="B21" t="str">
        <v>Calculators/Cost Models (Chapter 10)</v>
      </c>
      <c r="D21" t="str">
        <v>Minas / Laurence</v>
      </c>
      <c r="F21" t="str">
        <v>Thu 18 Dec 2025</v>
      </c>
      <c r="G21" t="str">
        <v>Fri 9 Jan 2025</v>
      </c>
      <c r="H21" t="str">
        <v>N/A</v>
      </c>
      <c r="I21" t="str">
        <v>N/A</v>
      </c>
      <c r="J21">
        <v>46045</v>
      </c>
      <c r="K21">
        <f>J21</f>
        <v>46045</v>
      </c>
      <c r="L21" t="str">
        <v>Sprint 35</v>
      </c>
      <c r="M21" t="str">
        <v>Sprint 35</v>
      </c>
      <c r="N21" t="str">
        <v>√</v>
      </c>
      <c r="O21" t="str">
        <v>√</v>
      </c>
      <c r="P21" t="str">
        <v>√</v>
      </c>
      <c r="Z21">
        <v>20</v>
      </c>
      <c r="AA21">
        <v>20</v>
      </c>
      <c r="AB21">
        <v>6</v>
      </c>
      <c r="AC21" t="str">
        <v>Team 5</v>
      </c>
      <c r="AD21">
        <v>2.857142857142857</v>
      </c>
      <c r="AE21">
        <v>2.5</v>
      </c>
      <c r="AT21" t="str">
        <v>X</v>
      </c>
      <c r="AW21" t="str">
        <v>X</v>
      </c>
      <c r="AX21" t="str">
        <v>X</v>
      </c>
      <c r="AY21" t="str">
        <v>X</v>
      </c>
      <c r="AZ21" t="str">
        <v>X</v>
      </c>
      <c r="BA21" t="str">
        <v>X</v>
      </c>
      <c r="BD21" t="str">
        <v>X</v>
      </c>
      <c r="BE21" t="str">
        <v>X</v>
      </c>
      <c r="BF21" t="str">
        <v>X</v>
      </c>
      <c r="BG21" t="str">
        <v>X</v>
      </c>
      <c r="BH21" t="str">
        <v>X</v>
      </c>
      <c r="BK21" t="str">
        <v>F</v>
      </c>
      <c r="DT21">
        <f>COUNTIF(AF21:DS21,"X")</f>
        <v>11</v>
      </c>
    </row>
    <row r="22">
      <c r="B22" t="str">
        <v>Scenario Analysis (Chapter 7)</v>
      </c>
      <c r="C22" t="str">
        <v>VER10-8958</v>
      </c>
      <c r="D22" t="str">
        <v>Minas? (TBC)</v>
      </c>
      <c r="F22">
        <v>46045</v>
      </c>
      <c r="G22">
        <v>46050</v>
      </c>
      <c r="H22">
        <v>46073</v>
      </c>
      <c r="I22" t="str">
        <v>N/A</v>
      </c>
      <c r="J22">
        <v>46080</v>
      </c>
      <c r="K22">
        <f>J22</f>
        <v>46080</v>
      </c>
      <c r="L22" t="str">
        <v>Sprint 39</v>
      </c>
      <c r="M22" t="str">
        <v>Sprint 40</v>
      </c>
      <c r="N22" t="str">
        <v>√</v>
      </c>
      <c r="Z22">
        <v>140</v>
      </c>
      <c r="AA22">
        <v>100</v>
      </c>
      <c r="AB22">
        <v>5</v>
      </c>
      <c r="AC22" t="str">
        <v>Team 3</v>
      </c>
      <c r="AD22">
        <v>14.285714285714286</v>
      </c>
      <c r="AE22">
        <v>12.5</v>
      </c>
      <c r="CJ22" t="str">
        <v>X</v>
      </c>
      <c r="CM22" t="str">
        <v>X</v>
      </c>
      <c r="CN22" t="str">
        <v>X</v>
      </c>
      <c r="CO22" t="str">
        <v>X</v>
      </c>
      <c r="CP22" t="str">
        <v>X</v>
      </c>
      <c r="CQ22" t="str">
        <v>X</v>
      </c>
      <c r="CT22" t="str">
        <v>X</v>
      </c>
      <c r="CU22" t="str">
        <v>X</v>
      </c>
      <c r="CV22" t="str">
        <v>X</v>
      </c>
      <c r="CW22" t="str">
        <v>X</v>
      </c>
      <c r="CX22" t="str">
        <v>F</v>
      </c>
      <c r="DT22">
        <f>COUNTIF(AF22:DS22,"X")</f>
        <v>10</v>
      </c>
    </row>
    <row r="23">
      <c r="B23" t="str">
        <v>Star Rates</v>
      </c>
      <c r="D23" t="str">
        <v>Minas? (TBC)</v>
      </c>
      <c r="F23">
        <v>46059</v>
      </c>
      <c r="G23">
        <v>46066</v>
      </c>
      <c r="H23" t="str">
        <v>N/A</v>
      </c>
      <c r="I23">
        <v>46066</v>
      </c>
      <c r="J23">
        <v>46078</v>
      </c>
      <c r="K23">
        <v>46080</v>
      </c>
      <c r="L23" t="str">
        <v>Sprint 37</v>
      </c>
      <c r="M23" t="str">
        <v>Sprint 37</v>
      </c>
      <c r="Z23">
        <v>90</v>
      </c>
      <c r="AA23">
        <v>60</v>
      </c>
      <c r="AB23" t="str">
        <v xml:space="preserve"> </v>
      </c>
      <c r="AC23" t="str">
        <v>Team 2</v>
      </c>
      <c r="AD23">
        <v>8.571428571428571</v>
      </c>
      <c r="AE23">
        <v>7.5</v>
      </c>
      <c r="AI23" t="str">
        <v xml:space="preserve"> </v>
      </c>
      <c r="AJ23" t="str">
        <v xml:space="preserve"> </v>
      </c>
      <c r="BV23" t="str">
        <v>X</v>
      </c>
      <c r="BY23" t="str">
        <v>X</v>
      </c>
      <c r="BZ23" t="str">
        <v>X</v>
      </c>
      <c r="CA23" t="str">
        <v>X</v>
      </c>
      <c r="CB23" t="str">
        <v>X</v>
      </c>
      <c r="CC23" t="str">
        <v>X</v>
      </c>
      <c r="CF23" t="str">
        <v>X</v>
      </c>
      <c r="CG23" t="str">
        <v>X</v>
      </c>
      <c r="CH23" t="str">
        <v>X</v>
      </c>
      <c r="CI23" t="str">
        <v>X</v>
      </c>
      <c r="CJ23" t="str">
        <v>X</v>
      </c>
      <c r="CM23" t="str">
        <v>F</v>
      </c>
      <c r="DT23">
        <f>COUNTIF(AF23:DS23,"X")</f>
        <v>11</v>
      </c>
    </row>
    <row r="24">
      <c r="B24" t="str">
        <v>TPE (Input Screen) (1)</v>
      </c>
      <c r="C24" t="str">
        <v>VER10-9184</v>
      </c>
      <c r="D24" t="str">
        <v>Venkatesh</v>
      </c>
      <c r="F24">
        <v>46069</v>
      </c>
      <c r="G24">
        <v>46073</v>
      </c>
      <c r="H24">
        <v>46080</v>
      </c>
      <c r="I24" t="str">
        <v>N/A</v>
      </c>
      <c r="J24">
        <v>46080</v>
      </c>
      <c r="K24">
        <v>46080</v>
      </c>
      <c r="L24" t="str">
        <v>Sprint 38</v>
      </c>
      <c r="M24" t="str">
        <v>Sprint 39</v>
      </c>
      <c r="Z24">
        <v>350</v>
      </c>
      <c r="AA24">
        <v>215</v>
      </c>
      <c r="AB24">
        <v>4</v>
      </c>
      <c r="AC24" t="str">
        <v>Team 5</v>
      </c>
      <c r="AD24">
        <v>30.714285714285715</v>
      </c>
      <c r="AE24">
        <v>26.875</v>
      </c>
      <c r="BR24" t="str">
        <v xml:space="preserve"> </v>
      </c>
      <c r="BS24" t="str">
        <v xml:space="preserve"> </v>
      </c>
      <c r="BT24" t="str">
        <v xml:space="preserve"> </v>
      </c>
      <c r="CJ24" t="str">
        <v>X</v>
      </c>
      <c r="CM24" t="str">
        <v>X</v>
      </c>
      <c r="CN24" t="str">
        <v>X</v>
      </c>
      <c r="CO24" t="str">
        <v>X</v>
      </c>
      <c r="CP24" t="str">
        <v>X</v>
      </c>
      <c r="CQ24" t="str">
        <v>X</v>
      </c>
      <c r="CT24" t="str">
        <v>X</v>
      </c>
      <c r="CU24" t="str">
        <v>X</v>
      </c>
      <c r="CV24" t="str">
        <v>X</v>
      </c>
      <c r="CW24" t="str">
        <v>X</v>
      </c>
      <c r="CX24" t="str">
        <v>X</v>
      </c>
      <c r="DA24" t="str">
        <v>X</v>
      </c>
      <c r="DB24" t="str">
        <v>X</v>
      </c>
      <c r="DC24" t="str">
        <v>X</v>
      </c>
      <c r="DD24" t="str">
        <v>X</v>
      </c>
      <c r="DE24" t="str">
        <v>X</v>
      </c>
      <c r="DH24" t="str">
        <v>X</v>
      </c>
      <c r="DI24" t="str">
        <v>X</v>
      </c>
      <c r="DJ24" t="str">
        <v>X</v>
      </c>
      <c r="DK24" t="str">
        <v>X</v>
      </c>
      <c r="DL24" t="str">
        <v>F</v>
      </c>
      <c r="DR24" t="str">
        <v xml:space="preserve"> </v>
      </c>
      <c r="DS24" t="str">
        <v xml:space="preserve"> </v>
      </c>
      <c r="DT24">
        <f>COUNTIF(AF24:DS24,"X")</f>
        <v>20</v>
      </c>
    </row>
    <row r="25">
      <c r="B25" t="str">
        <v>TPE (Simulation Eng + Worksheet)</v>
      </c>
      <c r="D25" t="str">
        <v>Venkatesh</v>
      </c>
      <c r="F25">
        <v>46071</v>
      </c>
      <c r="G25">
        <v>46073</v>
      </c>
      <c r="H25">
        <v>46080</v>
      </c>
      <c r="I25" t="str">
        <v>N/A</v>
      </c>
      <c r="J25">
        <v>46080</v>
      </c>
      <c r="K25">
        <v>46080</v>
      </c>
      <c r="L25" t="str">
        <v>Sprint 38</v>
      </c>
      <c r="M25" t="str">
        <v>Sprint 39</v>
      </c>
    </row>
    <row r="26">
      <c r="B26" t="str">
        <v>TPE (Schedule/Risk) (3)</v>
      </c>
      <c r="D26" t="str">
        <v>Venkatesh</v>
      </c>
      <c r="F26">
        <v>46073</v>
      </c>
      <c r="G26">
        <v>46073</v>
      </c>
      <c r="H26">
        <v>46080</v>
      </c>
      <c r="J26">
        <v>46080</v>
      </c>
      <c r="K26">
        <v>46080</v>
      </c>
      <c r="L26" t="str">
        <v>Sprint 38</v>
      </c>
      <c r="M26" t="str">
        <v>Sprint 39</v>
      </c>
    </row>
    <row r="27">
      <c r="B27" t="str">
        <v>TPE (Inflation) (6)</v>
      </c>
      <c r="D27" t="str">
        <v>Venkatesh</v>
      </c>
      <c r="F27">
        <v>46078</v>
      </c>
      <c r="G27">
        <v>46078</v>
      </c>
      <c r="H27">
        <v>46080</v>
      </c>
      <c r="J27">
        <v>46085</v>
      </c>
      <c r="K27">
        <v>46085</v>
      </c>
      <c r="L27" t="str">
        <v>Sprint 39</v>
      </c>
      <c r="M27" t="str">
        <v>Sprint 39</v>
      </c>
    </row>
    <row r="28">
      <c r="B28" t="str">
        <v>TPE (Output) (7)</v>
      </c>
      <c r="D28" t="str">
        <v>Venkatesh</v>
      </c>
      <c r="F28">
        <v>46080</v>
      </c>
      <c r="G28">
        <v>46085</v>
      </c>
      <c r="H28">
        <v>46087</v>
      </c>
      <c r="J28">
        <v>46092</v>
      </c>
      <c r="K28">
        <v>46092</v>
      </c>
      <c r="L28" t="str">
        <v>Sprint 40</v>
      </c>
      <c r="M28" t="str">
        <v>Sprint 40</v>
      </c>
    </row>
    <row r="29">
      <c r="B29" t="str">
        <v>TPE (Output) (8)</v>
      </c>
      <c r="D29" t="str">
        <v>Venkatesh</v>
      </c>
      <c r="F29">
        <v>46080</v>
      </c>
      <c r="G29">
        <v>46085</v>
      </c>
      <c r="H29">
        <v>46087</v>
      </c>
      <c r="J29">
        <v>46064</v>
      </c>
      <c r="K29">
        <v>46092</v>
      </c>
      <c r="L29" t="str">
        <v>Sprint 41</v>
      </c>
      <c r="M29" t="str">
        <v>Sprint 41</v>
      </c>
    </row>
    <row r="30">
      <c r="B30" t="str">
        <v>Dashboards (Power BI)</v>
      </c>
      <c r="D30" t="str">
        <v>Minas</v>
      </c>
      <c r="F30">
        <v>46031</v>
      </c>
      <c r="G30" t="str">
        <v>N/A</v>
      </c>
      <c r="H30" t="str">
        <v>N/A</v>
      </c>
      <c r="I30" t="str">
        <v>N/A</v>
      </c>
      <c r="J30" t="str">
        <v>N/A</v>
      </c>
      <c r="K30" t="str">
        <v>N/A</v>
      </c>
      <c r="L30" t="str">
        <v>Sprint 39</v>
      </c>
      <c r="M30" t="str">
        <v>Sprint 40</v>
      </c>
      <c r="N30" t="str">
        <v>√</v>
      </c>
      <c r="Z30">
        <v>40</v>
      </c>
      <c r="AA30">
        <v>40</v>
      </c>
      <c r="AB30">
        <v>2</v>
      </c>
      <c r="AC30" t="str">
        <v>Dashboard Team</v>
      </c>
      <c r="AD30">
        <v>5.714285714285714</v>
      </c>
      <c r="AE30">
        <v>5</v>
      </c>
      <c r="BV30" t="str">
        <v>X</v>
      </c>
      <c r="BY30" t="str">
        <v>X</v>
      </c>
      <c r="BZ30" t="str">
        <v>X</v>
      </c>
      <c r="CA30" t="str">
        <v>X</v>
      </c>
      <c r="CB30" t="str">
        <v>X</v>
      </c>
      <c r="CC30" t="str">
        <v>X</v>
      </c>
      <c r="CF30" t="str">
        <v>X</v>
      </c>
      <c r="CG30" t="str">
        <v>X</v>
      </c>
      <c r="CH30" t="str">
        <v>X</v>
      </c>
      <c r="CI30" t="str">
        <v>X</v>
      </c>
      <c r="CJ30" t="str">
        <v>X</v>
      </c>
      <c r="CM30" t="str">
        <v>F</v>
      </c>
      <c r="DT30">
        <f>COUNTIF(AF30:DS30,"X")</f>
        <v>11</v>
      </c>
    </row>
    <row r="31">
      <c r="B31" t="str">
        <v>Contractor Fee Library</v>
      </c>
      <c r="C31" t="str">
        <v>VER10-9271</v>
      </c>
      <c r="D31" t="str">
        <v>Minas</v>
      </c>
      <c r="F31">
        <v>46066</v>
      </c>
      <c r="G31">
        <v>46071</v>
      </c>
      <c r="H31" t="str">
        <v>N/A</v>
      </c>
      <c r="I31">
        <v>46080</v>
      </c>
      <c r="J31">
        <v>46108</v>
      </c>
      <c r="K31">
        <f>J31</f>
        <v>46108</v>
      </c>
      <c r="L31" t="str">
        <v>Sprint 38</v>
      </c>
      <c r="M31" t="str">
        <v>Sprint 38</v>
      </c>
      <c r="Z31">
        <v>90</v>
      </c>
      <c r="AA31">
        <v>80</v>
      </c>
      <c r="AB31">
        <v>3</v>
      </c>
      <c r="AC31" t="str">
        <v>Team 2</v>
      </c>
      <c r="AD31">
        <v>11.428571428571429</v>
      </c>
      <c r="AE31">
        <v>10</v>
      </c>
      <c r="AI31" t="str">
        <v xml:space="preserve"> </v>
      </c>
      <c r="AJ31" t="str">
        <v xml:space="preserve"> </v>
      </c>
      <c r="CJ31" t="str">
        <v>X</v>
      </c>
      <c r="CM31" t="str">
        <v>X</v>
      </c>
      <c r="CN31" t="str">
        <v>X</v>
      </c>
      <c r="CO31" t="str">
        <v>X</v>
      </c>
      <c r="CP31" t="str">
        <v>X</v>
      </c>
      <c r="CQ31" t="str">
        <v>X</v>
      </c>
      <c r="CT31" t="str">
        <v>X</v>
      </c>
      <c r="CU31" t="str">
        <v>X</v>
      </c>
      <c r="CV31" t="str">
        <v>X</v>
      </c>
      <c r="CW31" t="str">
        <v>X</v>
      </c>
      <c r="CX31" t="str">
        <v>F</v>
      </c>
      <c r="DA31" t="str">
        <v xml:space="preserve"> </v>
      </c>
      <c r="DB31" t="str">
        <v xml:space="preserve"> </v>
      </c>
      <c r="DC31" t="str">
        <v xml:space="preserve"> </v>
      </c>
      <c r="DD31" t="str">
        <v xml:space="preserve"> </v>
      </c>
      <c r="DE31" t="str">
        <v xml:space="preserve"> </v>
      </c>
      <c r="DT31">
        <f>COUNTIF(AF31:DS31,"X")</f>
        <v>10</v>
      </c>
    </row>
    <row r="32">
      <c r="B32" t="str">
        <v>System Access</v>
      </c>
      <c r="C32" t="str">
        <v>VER10-8452</v>
      </c>
      <c r="D32" t="str">
        <v>Minas</v>
      </c>
      <c r="F32">
        <v>46031</v>
      </c>
      <c r="G32">
        <f>F32+7</f>
        <v>46038</v>
      </c>
      <c r="H32" t="str">
        <v>N/A</v>
      </c>
      <c r="I32">
        <f>G32+7</f>
        <v>46045</v>
      </c>
      <c r="J32">
        <v>46045</v>
      </c>
      <c r="K32">
        <f>J32</f>
        <v>46045</v>
      </c>
      <c r="L32" t="str">
        <v>Sprint 35</v>
      </c>
      <c r="M32" t="str">
        <v>Sprint 35</v>
      </c>
      <c r="Z32">
        <v>40</v>
      </c>
      <c r="AA32">
        <v>40</v>
      </c>
      <c r="AB32">
        <v>3</v>
      </c>
      <c r="AC32" t="str">
        <v>Team 5</v>
      </c>
      <c r="AD32">
        <v>5.714285714285714</v>
      </c>
      <c r="AE32">
        <v>5</v>
      </c>
      <c r="AI32" t="str">
        <v>X</v>
      </c>
      <c r="AJ32" t="str">
        <v>X</v>
      </c>
      <c r="AK32" t="str">
        <v>X</v>
      </c>
      <c r="AL32" t="str">
        <v>X</v>
      </c>
      <c r="AM32" t="str">
        <v>X</v>
      </c>
      <c r="AP32" t="str">
        <v>X</v>
      </c>
      <c r="AQ32" t="str">
        <v>X</v>
      </c>
      <c r="AR32" t="str">
        <v>X</v>
      </c>
      <c r="AS32" t="str">
        <v>X</v>
      </c>
      <c r="AT32" t="str">
        <v>X</v>
      </c>
      <c r="AW32" t="str">
        <v>X</v>
      </c>
      <c r="AX32" t="str">
        <v>X</v>
      </c>
      <c r="AY32" t="str">
        <v>X</v>
      </c>
      <c r="AZ32" t="str">
        <v>X</v>
      </c>
      <c r="BA32" t="str">
        <v>X</v>
      </c>
      <c r="BD32" t="str">
        <v>X</v>
      </c>
      <c r="BE32" t="str">
        <v>X</v>
      </c>
      <c r="BF32" t="str">
        <v>X</v>
      </c>
      <c r="BG32" t="str">
        <v>X</v>
      </c>
      <c r="BH32" t="str">
        <v>X</v>
      </c>
      <c r="BK32" t="str">
        <v>F</v>
      </c>
      <c r="CM32" t="str">
        <v xml:space="preserve"> </v>
      </c>
      <c r="CN32" t="str">
        <v xml:space="preserve"> </v>
      </c>
      <c r="CO32" t="str">
        <v xml:space="preserve"> </v>
      </c>
      <c r="CP32" t="str">
        <v xml:space="preserve"> </v>
      </c>
      <c r="CQ32" t="str">
        <v xml:space="preserve"> </v>
      </c>
      <c r="CT32" t="str">
        <v xml:space="preserve"> </v>
      </c>
      <c r="CU32" t="str">
        <v xml:space="preserve"> </v>
      </c>
      <c r="CV32" t="str">
        <v xml:space="preserve"> </v>
      </c>
      <c r="CW32" t="str">
        <v xml:space="preserve"> </v>
      </c>
      <c r="CX32" t="str">
        <v xml:space="preserve"> </v>
      </c>
      <c r="DT32">
        <f>COUNTIF(AF32:DS32,"X")</f>
        <v>20</v>
      </c>
    </row>
    <row r="33">
      <c r="B33" t="str">
        <v>Audit Log</v>
      </c>
      <c r="C33" t="str">
        <v>VER10-8955, VER10-6972</v>
      </c>
      <c r="D33" t="str">
        <v>Minas</v>
      </c>
      <c r="F33" t="str">
        <v>Done</v>
      </c>
      <c r="G33" t="str">
        <v>Done</v>
      </c>
      <c r="H33" t="str">
        <v>Done</v>
      </c>
      <c r="I33">
        <v>46045</v>
      </c>
      <c r="J33">
        <f>I33+6</f>
        <v>46051</v>
      </c>
      <c r="K33">
        <f>J33</f>
        <v>46051</v>
      </c>
      <c r="L33" t="str">
        <v>Sprint 35</v>
      </c>
      <c r="M33" t="str">
        <v>Sprint 35</v>
      </c>
      <c r="N33" t="str">
        <v>√</v>
      </c>
      <c r="O33" t="str">
        <v>√</v>
      </c>
      <c r="P33" t="str">
        <v>√</v>
      </c>
      <c r="Q33" t="str">
        <v>√</v>
      </c>
      <c r="R33" t="str">
        <v>√</v>
      </c>
      <c r="S33" t="str">
        <v>√</v>
      </c>
      <c r="T33" t="str">
        <v>√</v>
      </c>
      <c r="Z33">
        <v>10</v>
      </c>
      <c r="AA33">
        <v>11</v>
      </c>
      <c r="AB33" t="str">
        <v xml:space="preserve"> </v>
      </c>
      <c r="AC33" t="str">
        <v>Team 5</v>
      </c>
      <c r="AD33">
        <v>1.5714285714285714</v>
      </c>
      <c r="AE33">
        <v>1.375</v>
      </c>
      <c r="AT33" t="str">
        <v>X</v>
      </c>
      <c r="AW33" t="str">
        <v>X</v>
      </c>
      <c r="AX33" t="str">
        <v>X</v>
      </c>
      <c r="AY33" t="str">
        <v>X</v>
      </c>
      <c r="AZ33" t="str">
        <v>X</v>
      </c>
      <c r="BA33" t="str">
        <v>X</v>
      </c>
      <c r="BD33" t="str">
        <v>X</v>
      </c>
      <c r="BE33" t="str">
        <v>X</v>
      </c>
      <c r="BF33" t="str">
        <v>X</v>
      </c>
      <c r="BG33" t="str">
        <v>X</v>
      </c>
      <c r="BH33" t="str">
        <v>X</v>
      </c>
      <c r="BK33" t="str">
        <v>F</v>
      </c>
      <c r="CF33" t="str">
        <v xml:space="preserve"> </v>
      </c>
      <c r="DT33">
        <f>COUNTIF(AF33:DS33,"X")</f>
        <v>11</v>
      </c>
    </row>
    <row r="34">
      <c r="B34" t="str">
        <v>WBS Tags and Custom Fields</v>
      </c>
      <c r="C34" t="str">
        <v>VER10-8916, VER10-8268</v>
      </c>
      <c r="D34" t="str">
        <v>Minas / Manish</v>
      </c>
      <c r="F34" t="str">
        <v>Done</v>
      </c>
      <c r="G34" t="str">
        <v>Done</v>
      </c>
      <c r="H34" t="str">
        <v>Done</v>
      </c>
      <c r="I34" t="str">
        <v>Done</v>
      </c>
      <c r="J34" t="str">
        <v>Done</v>
      </c>
      <c r="K34" t="str">
        <v>Done</v>
      </c>
      <c r="L34" t="str">
        <v>Sprint 36</v>
      </c>
      <c r="M34" t="str">
        <v>Sprint 36</v>
      </c>
      <c r="N34" t="str">
        <v>√</v>
      </c>
      <c r="O34" t="str">
        <v>√</v>
      </c>
      <c r="P34" t="str">
        <v>√</v>
      </c>
      <c r="Q34" t="str">
        <v>√</v>
      </c>
      <c r="R34" t="str">
        <v>√</v>
      </c>
      <c r="S34" t="str">
        <v>√</v>
      </c>
      <c r="T34" t="str">
        <v>√</v>
      </c>
      <c r="Z34">
        <v>10</v>
      </c>
      <c r="AA34">
        <v>10</v>
      </c>
      <c r="AB34" t="str">
        <v xml:space="preserve"> </v>
      </c>
      <c r="AC34" t="str">
        <v>Team 2</v>
      </c>
      <c r="AD34">
        <v>1.4285714285714286</v>
      </c>
      <c r="AE34">
        <v>1.25</v>
      </c>
      <c r="AL34" t="str">
        <v>X</v>
      </c>
      <c r="AM34" t="str">
        <v>F</v>
      </c>
      <c r="AT34" t="str">
        <v>X</v>
      </c>
      <c r="AW34" t="str">
        <v>X</v>
      </c>
      <c r="AX34" t="str">
        <v>X</v>
      </c>
      <c r="AY34" t="str">
        <v>X</v>
      </c>
      <c r="AZ34" t="str">
        <v>X</v>
      </c>
      <c r="BA34" t="str">
        <v>X</v>
      </c>
      <c r="BD34" t="str">
        <v>X</v>
      </c>
      <c r="BE34" t="str">
        <v>X</v>
      </c>
      <c r="BF34" t="str">
        <v>X</v>
      </c>
      <c r="BG34" t="str">
        <v>X</v>
      </c>
      <c r="BH34" t="str">
        <v>X</v>
      </c>
      <c r="BK34" t="str">
        <v>F</v>
      </c>
      <c r="CG34" t="str">
        <v xml:space="preserve"> </v>
      </c>
      <c r="DT34">
        <f>COUNTIF(AF34:DS34,"X")</f>
        <v>12</v>
      </c>
    </row>
    <row r="35">
      <c r="B35" t="str">
        <v xml:space="preserve">Custom Field Filtering </v>
      </c>
      <c r="D35" t="str">
        <v>Minas / Manish</v>
      </c>
      <c r="F35" t="str">
        <v>Done</v>
      </c>
      <c r="G35" t="str">
        <v>Done</v>
      </c>
      <c r="H35" t="str">
        <v>Done</v>
      </c>
      <c r="I35" t="str">
        <v>Done</v>
      </c>
      <c r="J35" t="str">
        <v>Done</v>
      </c>
      <c r="K35" t="str">
        <v>Done</v>
      </c>
      <c r="L35" t="str">
        <v>Sprint 35</v>
      </c>
      <c r="M35" t="str">
        <v>Sprint 35</v>
      </c>
      <c r="N35" t="str">
        <v>√</v>
      </c>
      <c r="O35" t="str">
        <v>√</v>
      </c>
      <c r="P35" t="str">
        <v>√</v>
      </c>
      <c r="Q35" t="str">
        <v>√</v>
      </c>
      <c r="R35" t="str">
        <v>√</v>
      </c>
      <c r="S35" t="str">
        <v>√</v>
      </c>
      <c r="T35" t="str">
        <v>√</v>
      </c>
      <c r="AC35" t="str">
        <v>Team 2</v>
      </c>
      <c r="BH35" t="str">
        <v>X</v>
      </c>
      <c r="BK35" t="str">
        <v>X</v>
      </c>
      <c r="BL35" t="str">
        <v>X</v>
      </c>
      <c r="BM35" t="str">
        <v>X</v>
      </c>
      <c r="BN35" t="str">
        <v>X</v>
      </c>
      <c r="BO35" t="str">
        <v>X</v>
      </c>
      <c r="BR35" t="str">
        <v>X</v>
      </c>
      <c r="BS35" t="str">
        <v>X</v>
      </c>
      <c r="BT35" t="str">
        <v>X</v>
      </c>
      <c r="BU35" t="str">
        <v>X</v>
      </c>
      <c r="BV35" t="str">
        <v>X</v>
      </c>
      <c r="BY35" t="str">
        <v>F</v>
      </c>
    </row>
    <row r="36">
      <c r="B36" t="str">
        <v>Reporting Foundation Admin</v>
      </c>
      <c r="C36" t="str">
        <v>VER10-8476</v>
      </c>
      <c r="D36" t="str">
        <v>Minas / Vivek</v>
      </c>
      <c r="F36" t="str">
        <v>Done</v>
      </c>
      <c r="G36" t="str">
        <v>Done</v>
      </c>
      <c r="H36" t="str">
        <v>Done</v>
      </c>
      <c r="I36" t="str">
        <v>Done</v>
      </c>
      <c r="J36" t="str">
        <v>Done</v>
      </c>
      <c r="K36" t="str">
        <v>Done</v>
      </c>
      <c r="L36" t="str">
        <v>Sprint 36</v>
      </c>
      <c r="M36" t="str">
        <v>Sprint 36</v>
      </c>
      <c r="N36" t="str">
        <v>√</v>
      </c>
      <c r="O36" t="str">
        <v>√</v>
      </c>
      <c r="P36" t="str">
        <v>√</v>
      </c>
      <c r="Q36" t="str">
        <v>√</v>
      </c>
      <c r="R36" t="str">
        <v>√</v>
      </c>
      <c r="S36" t="str">
        <v>√</v>
      </c>
      <c r="T36" t="str">
        <v>√</v>
      </c>
      <c r="Z36">
        <v>19</v>
      </c>
      <c r="AA36">
        <v>19</v>
      </c>
      <c r="AB36" t="str">
        <v xml:space="preserve"> </v>
      </c>
      <c r="AC36" t="str">
        <v>Team 3</v>
      </c>
      <c r="AD36">
        <v>2.7142857142857144</v>
      </c>
      <c r="AE36">
        <v>2.375</v>
      </c>
      <c r="AJ36" t="str">
        <v>X</v>
      </c>
      <c r="AK36" t="str">
        <v>X</v>
      </c>
      <c r="AL36" t="str">
        <v>X</v>
      </c>
      <c r="AM36" t="str">
        <v>F</v>
      </c>
      <c r="AT36" t="str">
        <v>X</v>
      </c>
      <c r="AW36" t="str">
        <v>X</v>
      </c>
      <c r="AX36" t="str">
        <v>X</v>
      </c>
      <c r="AY36" t="str">
        <v>X</v>
      </c>
      <c r="AZ36" t="str">
        <v>X</v>
      </c>
      <c r="BA36" t="str">
        <v>X</v>
      </c>
      <c r="BD36" t="str">
        <v>X</v>
      </c>
      <c r="BE36" t="str">
        <v>X</v>
      </c>
      <c r="BF36" t="str">
        <v>X</v>
      </c>
      <c r="BG36" t="str">
        <v>X</v>
      </c>
      <c r="BH36" t="str">
        <v>X</v>
      </c>
      <c r="BK36" t="str">
        <v>F</v>
      </c>
      <c r="CF36" t="str">
        <v xml:space="preserve"> </v>
      </c>
      <c r="CH36" t="str">
        <v xml:space="preserve"> </v>
      </c>
      <c r="CI36" t="str">
        <v xml:space="preserve"> </v>
      </c>
      <c r="DT36">
        <f>COUNTIF(AF36:DS36,"X")</f>
        <v>14</v>
      </c>
    </row>
    <row r="37">
      <c r="B37" t="str">
        <v>Inflation</v>
      </c>
      <c r="C37" t="str">
        <v>VER10-8903, VER10-8570</v>
      </c>
      <c r="D37" t="str">
        <v>Minas / Vivek</v>
      </c>
      <c r="F37" t="str">
        <v>Done</v>
      </c>
      <c r="G37" t="str">
        <v>Done</v>
      </c>
      <c r="H37" t="str">
        <v>Done</v>
      </c>
      <c r="I37" t="str">
        <v>Done</v>
      </c>
      <c r="J37" t="str">
        <v>Done</v>
      </c>
      <c r="K37" t="str">
        <v>Done</v>
      </c>
      <c r="L37" t="str">
        <v>Sprint 37</v>
      </c>
      <c r="M37" t="str">
        <v>Sprint 37</v>
      </c>
      <c r="N37" t="str">
        <v>√</v>
      </c>
      <c r="O37" t="str">
        <v>√</v>
      </c>
      <c r="P37" t="str">
        <v>√</v>
      </c>
      <c r="Q37" t="str">
        <v>√</v>
      </c>
      <c r="R37" t="str">
        <v>√</v>
      </c>
      <c r="S37" t="str">
        <v>√</v>
      </c>
      <c r="Z37">
        <v>41</v>
      </c>
      <c r="AA37">
        <v>41</v>
      </c>
      <c r="AB37" t="str">
        <v xml:space="preserve"> </v>
      </c>
      <c r="AC37" t="str">
        <v>Team 3</v>
      </c>
      <c r="AD37">
        <v>5.857142857142857</v>
      </c>
      <c r="AE37">
        <v>5.125</v>
      </c>
      <c r="AP37" t="str">
        <v>X</v>
      </c>
      <c r="AQ37" t="str">
        <v>X</v>
      </c>
      <c r="AR37" t="str">
        <v>X</v>
      </c>
      <c r="AS37" t="str">
        <v>X</v>
      </c>
      <c r="AT37" t="str">
        <v xml:space="preserve"> </v>
      </c>
      <c r="BH37" t="str">
        <v>X</v>
      </c>
      <c r="BK37" t="str">
        <v>X</v>
      </c>
      <c r="BL37" t="str">
        <v>X</v>
      </c>
      <c r="BM37" t="str">
        <v>X</v>
      </c>
      <c r="BN37" t="str">
        <v>X</v>
      </c>
      <c r="BO37" t="str">
        <v>X</v>
      </c>
      <c r="BR37" t="str">
        <v>X</v>
      </c>
      <c r="BS37" t="str">
        <v>X</v>
      </c>
      <c r="BT37" t="str">
        <v>X</v>
      </c>
      <c r="BU37" t="str">
        <v>X</v>
      </c>
      <c r="BV37" t="str">
        <v>X</v>
      </c>
      <c r="BY37" t="str">
        <v>F</v>
      </c>
      <c r="CG37" t="str">
        <v xml:space="preserve"> </v>
      </c>
      <c r="CH37" t="str">
        <v xml:space="preserve"> </v>
      </c>
      <c r="CJ37" t="str">
        <v xml:space="preserve"> </v>
      </c>
      <c r="DT37">
        <f>COUNTIF(AF37:DS37,"X")</f>
        <v>15</v>
      </c>
    </row>
    <row r="38">
      <c r="B38" t="str">
        <v>AR and O&amp;M fixed reports</v>
      </c>
      <c r="C38" t="str">
        <v>VER10-7878, VER10-7879</v>
      </c>
      <c r="D38" t="str">
        <v>Minas / Vivek</v>
      </c>
      <c r="F38" t="str">
        <v>Done</v>
      </c>
      <c r="G38" t="str">
        <v>Done</v>
      </c>
      <c r="H38" t="str">
        <v>Done</v>
      </c>
      <c r="I38" t="str">
        <v>Done</v>
      </c>
      <c r="J38" t="str">
        <v>Done</v>
      </c>
      <c r="K38" t="str">
        <v>Done</v>
      </c>
      <c r="L38" t="str">
        <v>Sprint 38</v>
      </c>
      <c r="M38" t="str">
        <v>Sprint 39</v>
      </c>
      <c r="N38" t="str">
        <v>√</v>
      </c>
      <c r="O38" t="str">
        <v>√</v>
      </c>
      <c r="P38" t="str">
        <v>√</v>
      </c>
      <c r="Q38" t="str">
        <v>√</v>
      </c>
      <c r="R38" t="str">
        <v>√</v>
      </c>
      <c r="S38" t="str">
        <v>√</v>
      </c>
      <c r="Z38">
        <v>47</v>
      </c>
      <c r="AA38">
        <v>47</v>
      </c>
      <c r="AB38" t="str">
        <v xml:space="preserve"> </v>
      </c>
      <c r="AC38" t="str">
        <v>Team 3</v>
      </c>
      <c r="AD38">
        <v>6.714285714285714</v>
      </c>
      <c r="AE38">
        <v>5.875</v>
      </c>
      <c r="AM38" t="str">
        <v>X</v>
      </c>
      <c r="AP38" t="str">
        <v>X</v>
      </c>
      <c r="AQ38" t="str">
        <v>X</v>
      </c>
      <c r="AR38" t="str">
        <v>X</v>
      </c>
      <c r="AS38" t="str">
        <v>X</v>
      </c>
      <c r="AT38" t="str">
        <v xml:space="preserve"> </v>
      </c>
      <c r="BV38" t="str">
        <v>X</v>
      </c>
      <c r="BY38" t="str">
        <v>X</v>
      </c>
      <c r="BZ38" t="str">
        <v>X</v>
      </c>
      <c r="CA38" t="str">
        <v>X</v>
      </c>
      <c r="CB38" t="str">
        <v>X</v>
      </c>
      <c r="CC38" t="str">
        <v>X</v>
      </c>
      <c r="CF38" t="str">
        <v>X</v>
      </c>
      <c r="CG38" t="str">
        <v>X</v>
      </c>
      <c r="CH38" t="str">
        <v>X</v>
      </c>
      <c r="CI38" t="str">
        <v>X</v>
      </c>
      <c r="CJ38" t="str">
        <v>X</v>
      </c>
      <c r="CM38" t="str">
        <v>F</v>
      </c>
      <c r="DT38">
        <f>COUNTIF(AF38:DS38,"X")</f>
        <v>16</v>
      </c>
    </row>
    <row r="39">
      <c r="B39" t="str">
        <v>CCESS</v>
      </c>
      <c r="C39" t="str">
        <v>VER10-6966</v>
      </c>
      <c r="D39" t="str">
        <v>Minas / Vivek</v>
      </c>
      <c r="F39" t="str">
        <v>Done</v>
      </c>
      <c r="G39" t="str">
        <v>Done</v>
      </c>
      <c r="H39" t="str">
        <v>Done</v>
      </c>
      <c r="I39" t="str">
        <v>Done</v>
      </c>
      <c r="J39" t="str">
        <v>Done</v>
      </c>
      <c r="K39" t="str">
        <v>Done</v>
      </c>
      <c r="L39" t="str">
        <v>Sprint 37</v>
      </c>
      <c r="M39" t="str">
        <v>Sprint 37</v>
      </c>
      <c r="N39" t="str">
        <v>√</v>
      </c>
      <c r="O39" t="str">
        <v>√</v>
      </c>
      <c r="P39" t="str">
        <v>√</v>
      </c>
      <c r="Q39" t="str">
        <v>√</v>
      </c>
      <c r="Z39">
        <v>5</v>
      </c>
      <c r="AA39">
        <v>5</v>
      </c>
      <c r="AB39" t="str">
        <v xml:space="preserve"> </v>
      </c>
      <c r="AC39" t="str">
        <v>Team 3</v>
      </c>
      <c r="AD39">
        <v>0.7142857142857143</v>
      </c>
      <c r="AE39">
        <v>0.625</v>
      </c>
      <c r="BV39" t="str">
        <v>X</v>
      </c>
      <c r="BY39" t="str">
        <v>X</v>
      </c>
      <c r="BZ39" t="str">
        <v>X</v>
      </c>
      <c r="CA39" t="str">
        <v>X</v>
      </c>
      <c r="CB39" t="str">
        <v>X</v>
      </c>
      <c r="CC39" t="str">
        <v>X</v>
      </c>
      <c r="CF39" t="str">
        <v>X</v>
      </c>
      <c r="CG39" t="str">
        <v>X</v>
      </c>
      <c r="CH39" t="str">
        <v>X</v>
      </c>
      <c r="CI39" t="str">
        <v>X</v>
      </c>
      <c r="CJ39" t="str">
        <v>X</v>
      </c>
      <c r="CM39" t="str">
        <v>F</v>
      </c>
      <c r="DT39">
        <f>COUNTIF(AF39:DS39,"X")</f>
        <v>11</v>
      </c>
    </row>
    <row r="40">
      <c r="Z40">
        <f>SUM(Z3:Z39)</f>
        <v>3186</v>
      </c>
      <c r="AA40">
        <f>SUM(AA3:AA39)</f>
        <v>2538</v>
      </c>
      <c r="AB40">
        <f>SUM(AA3:AB39)</f>
        <v>2623</v>
      </c>
      <c r="AD40">
        <f>SUM(AD3:AD39)</f>
        <v>362.5714285714286</v>
      </c>
      <c r="AE40">
        <f>SUM(AE3:AE39)</f>
        <v>317.25</v>
      </c>
      <c r="AF40">
        <f>COUNTIF(AF3:AF39, "X")</f>
        <v>0</v>
      </c>
      <c r="AG40">
        <f>COUNTIF(AG3:AG39, "X")</f>
        <v>0</v>
      </c>
      <c r="AH40">
        <f>COUNTIF(AH3:AH39, "X")</f>
        <v>0</v>
      </c>
      <c r="AI40">
        <f>COUNTIF(AI3:AI39, "X")</f>
        <v>3</v>
      </c>
      <c r="AJ40">
        <f>COUNTIF(AJ3:AJ39, "X")</f>
        <v>4</v>
      </c>
      <c r="AK40">
        <f>COUNTIF(AK3:AK39, "X")</f>
        <v>4</v>
      </c>
      <c r="AL40">
        <f>COUNTIF(AL3:AL39, "X")</f>
        <v>5</v>
      </c>
      <c r="AM40">
        <f>COUNTIF(AM3:AM39, "X")</f>
        <v>4</v>
      </c>
      <c r="AN40">
        <f>COUNTIF(AN3:AN39, "X")</f>
        <v>0</v>
      </c>
      <c r="AO40">
        <f>COUNTIF(AO3:AO39, "X")</f>
        <v>0</v>
      </c>
      <c r="AP40">
        <f>COUNTIF(AP3:AP39, "X")</f>
        <v>5</v>
      </c>
      <c r="AQ40">
        <f>COUNTIF(AQ3:AQ39, "X")</f>
        <v>5</v>
      </c>
      <c r="AR40">
        <f>COUNTIF(AR3:AR39, "X")</f>
        <v>5</v>
      </c>
      <c r="AS40">
        <f>COUNTIF(AS3:AS39, "X")</f>
        <v>5</v>
      </c>
      <c r="AT40">
        <f>COUNTIF(AT3:AT39, "X")</f>
        <v>10</v>
      </c>
      <c r="AU40">
        <f>COUNTIF(AU3:AU39, "X")</f>
        <v>0</v>
      </c>
      <c r="AV40">
        <f>COUNTIF(AV3:AV39, "X")</f>
        <v>0</v>
      </c>
      <c r="AW40">
        <f>COUNTIF(AW3:AW39, "X")</f>
        <v>10</v>
      </c>
      <c r="AX40">
        <f>COUNTIF(AX3:AX39, "X")</f>
        <v>10</v>
      </c>
      <c r="AY40">
        <f>COUNTIF(AY3:AY39, "X")</f>
        <v>10</v>
      </c>
      <c r="AZ40">
        <f>COUNTIF(AZ3:AZ39, "X")</f>
        <v>10</v>
      </c>
      <c r="BA40">
        <f>COUNTIF(BA3:BA39, "X")</f>
        <v>10</v>
      </c>
      <c r="BB40">
        <f>COUNTIF(BB3:BB39, "X")</f>
        <v>0</v>
      </c>
      <c r="BC40">
        <f>COUNTIF(BC3:BC39, "X")</f>
        <v>0</v>
      </c>
      <c r="BD40">
        <f>COUNTIF(BD3:BD39, "X")</f>
        <v>10</v>
      </c>
      <c r="BE40">
        <f>COUNTIF(BE3:BE39, "X")</f>
        <v>10</v>
      </c>
      <c r="BF40">
        <f>COUNTIF(BF3:BF39, "X")</f>
        <v>10</v>
      </c>
      <c r="BG40">
        <f>COUNTIF(BG3:BG39, "X")</f>
        <v>13</v>
      </c>
      <c r="BH40">
        <f>COUNTIF(BH3:BH39, "X")</f>
        <v>20</v>
      </c>
      <c r="BI40">
        <f>COUNTIF(BI3:BI39, "X")</f>
        <v>0</v>
      </c>
      <c r="BJ40">
        <f>COUNTIF(BJ3:BJ39, "X")</f>
        <v>0</v>
      </c>
      <c r="BK40">
        <f>COUNTIF(BK3:BK39, "X")</f>
        <v>14</v>
      </c>
      <c r="BL40">
        <f>COUNTIF(BL3:BL39, "X")</f>
        <v>14</v>
      </c>
      <c r="BM40">
        <f>COUNTIF(BM3:BM39, "X")</f>
        <v>14</v>
      </c>
      <c r="BN40">
        <f>COUNTIF(BN3:BN39, "X")</f>
        <v>14</v>
      </c>
      <c r="BO40">
        <f>COUNTIF(BO3:BO39, "X")</f>
        <v>14</v>
      </c>
      <c r="BP40">
        <f>COUNTIF(BP3:BP39, "X")</f>
        <v>0</v>
      </c>
      <c r="BQ40">
        <f>COUNTIF(BQ3:BQ39, "X")</f>
        <v>0</v>
      </c>
      <c r="BR40">
        <f>COUNTIF(BR3:BR39, "X")</f>
        <v>14</v>
      </c>
      <c r="BS40">
        <f>COUNTIF(BS3:BS39, "X")</f>
        <v>14</v>
      </c>
      <c r="BT40">
        <f>COUNTIF(BT3:BT39, "X")</f>
        <v>14</v>
      </c>
      <c r="BU40">
        <f>COUNTIF(BU3:BU39, "X")</f>
        <v>14</v>
      </c>
      <c r="BV40">
        <f>COUNTIF(BV3:BV39, "X")</f>
        <v>21</v>
      </c>
      <c r="BW40">
        <f>COUNTIF(BW3:BW39, "X")</f>
        <v>0</v>
      </c>
      <c r="BX40">
        <f>COUNTIF(BX3:BX39, "X")</f>
        <v>0</v>
      </c>
      <c r="BY40">
        <f>COUNTIF(BY3:BY39, "X")</f>
        <v>14</v>
      </c>
      <c r="BZ40">
        <f>COUNTIF(BZ3:BZ39, "X")</f>
        <v>14</v>
      </c>
      <c r="CA40">
        <f>COUNTIF(CA3:CA39, "X")</f>
        <v>14</v>
      </c>
      <c r="CB40">
        <f>COUNTIF(CB3:CB39, "X")</f>
        <v>14</v>
      </c>
      <c r="CC40">
        <f>COUNTIF(CC3:CC39, "X")</f>
        <v>14</v>
      </c>
      <c r="CD40">
        <f>COUNTIF(CD3:CD39, "X")</f>
        <v>0</v>
      </c>
      <c r="CE40">
        <f>COUNTIF(CE3:CE39, "X")</f>
        <v>0</v>
      </c>
      <c r="CF40">
        <f>COUNTIF(CF3:CF39, "X")</f>
        <v>14</v>
      </c>
      <c r="CG40">
        <f>COUNTIF(CG3:CG39, "X")</f>
        <v>14</v>
      </c>
      <c r="CH40">
        <f>COUNTIF(CH3:CH39, "X")</f>
        <v>10</v>
      </c>
      <c r="CI40">
        <f>COUNTIF(CI3:CI39, "X")</f>
        <v>10</v>
      </c>
      <c r="CJ40">
        <f>COUNTIF(CJ3:CJ39, "X")</f>
        <v>11</v>
      </c>
      <c r="CK40">
        <f>COUNTIF(CK3:CK39, "X")</f>
        <v>0</v>
      </c>
      <c r="CL40">
        <f>COUNTIF(CL3:CL39, "X")</f>
        <v>0</v>
      </c>
      <c r="CM40">
        <f>COUNTIF(CM3:CM39, "X")</f>
        <v>4</v>
      </c>
      <c r="CN40">
        <f>COUNTIF(CN3:CN39, "X")</f>
        <v>4</v>
      </c>
      <c r="CO40">
        <f>COUNTIF(CO3:CO39, "X")</f>
        <v>4</v>
      </c>
      <c r="CP40">
        <f>COUNTIF(CP3:CP39, "X")</f>
        <v>3</v>
      </c>
      <c r="CQ40">
        <f>COUNTIF(CQ3:CQ39, "X")</f>
        <v>3</v>
      </c>
      <c r="CR40">
        <f>COUNTIF(CR3:CR39, "X")</f>
        <v>0</v>
      </c>
      <c r="CS40">
        <f>COUNTIF(CS3:CS39, "X")</f>
        <v>0</v>
      </c>
      <c r="CT40">
        <f>COUNTIF(CT3:CT39, "X")</f>
        <v>3</v>
      </c>
      <c r="CU40">
        <f>COUNTIF(CU3:CU39, "X")</f>
        <v>3</v>
      </c>
      <c r="CV40">
        <f>COUNTIF(CV3:CV39, "X")</f>
        <v>3</v>
      </c>
      <c r="CW40">
        <f>COUNTIF(CW3:CW39, "X")</f>
        <v>3</v>
      </c>
      <c r="CX40">
        <f>COUNTIF(CX3:CX39, "X")</f>
        <v>1</v>
      </c>
      <c r="CY40">
        <f>COUNTIF(CY3:CY39, "X")</f>
        <v>0</v>
      </c>
      <c r="CZ40">
        <f>COUNTIF(CZ3:CZ39, "X")</f>
        <v>0</v>
      </c>
      <c r="DA40">
        <f>COUNTIF(DA3:DA39, "X")</f>
        <v>1</v>
      </c>
      <c r="DB40">
        <f>COUNTIF(DB3:DB39, "X")</f>
        <v>1</v>
      </c>
      <c r="DC40">
        <f>COUNTIF(DC3:DC39, "X")</f>
        <v>1</v>
      </c>
      <c r="DD40">
        <f>COUNTIF(DD3:DD39, "X")</f>
        <v>1</v>
      </c>
      <c r="DE40">
        <f>COUNTIF(DE3:DE39, "X")</f>
        <v>1</v>
      </c>
      <c r="DF40">
        <f>COUNTIF(DF3:DF39, "X")</f>
        <v>0</v>
      </c>
      <c r="DG40">
        <f>COUNTIF(DG3:DG39, "X")</f>
        <v>0</v>
      </c>
      <c r="DH40">
        <f>COUNTIF(DH3:DH39, "X")</f>
        <v>1</v>
      </c>
      <c r="DI40">
        <f>COUNTIF(DI3:DI39, "X")</f>
        <v>1</v>
      </c>
      <c r="DJ40">
        <f>COUNTIF(DJ3:DJ39, "X")</f>
        <v>1</v>
      </c>
      <c r="DK40">
        <f>COUNTIF(DK3:DK39, "X")</f>
        <v>1</v>
      </c>
      <c r="DL40">
        <f>COUNTIF(DL3:DL39, "X")</f>
        <v>0</v>
      </c>
      <c r="DM40">
        <f>COUNTIF(DM3:DM39, "X")</f>
        <v>0</v>
      </c>
      <c r="DN40">
        <f>COUNTIF(DN3:DN39, "X")</f>
        <v>0</v>
      </c>
      <c r="DO40">
        <f>COUNTIF(DO3:DO39, "X")</f>
        <v>0</v>
      </c>
      <c r="DP40">
        <f>COUNTIF(DP3:DP39, "X")</f>
        <v>0</v>
      </c>
      <c r="DQ40">
        <f>COUNTIF(DQ3:DQ39, "X")</f>
        <v>0</v>
      </c>
      <c r="DR40">
        <f>COUNTIF(DR3:DR39, "X")</f>
        <v>0</v>
      </c>
      <c r="DS40">
        <f>COUNTIF(DS3:DS39, "X")</f>
        <v>0</v>
      </c>
      <c r="DT40">
        <f>SUM(DT3:DT39)</f>
        <v>457</v>
      </c>
    </row>
    <row r="42">
      <c r="B42" t="str">
        <v>Key</v>
      </c>
      <c r="D42" t="str">
        <v>For this week</v>
      </c>
      <c r="AC42" t="str">
        <v>Team 1</v>
      </c>
      <c r="AF42">
        <f>COUNTIFS($AC$3:$AC$39, $AC42, AF$3:AF$39,"X")</f>
        <v>0</v>
      </c>
      <c r="AG42">
        <f>COUNTIFS($AC$3:$AC$39, $AC42, AG$3:AG$39,"X")</f>
        <v>0</v>
      </c>
      <c r="AH42">
        <f>COUNTIFS($AC$3:$AC$39, $AC42, AH$3:AH$39,"X")</f>
        <v>0</v>
      </c>
      <c r="AI42">
        <f>COUNTIFS($AC$3:$AC$39, $AC42, AI$3:AI$39,"X")</f>
        <v>0</v>
      </c>
      <c r="AJ42">
        <f>COUNTIFS($AC$3:$AC$39, $AC42, AJ$3:AJ$39,"X")</f>
        <v>0</v>
      </c>
      <c r="AK42">
        <f>COUNTIFS($AC$3:$AC$39, $AC42, AK$3:AK$39,"X")</f>
        <v>0</v>
      </c>
      <c r="AL42">
        <f>COUNTIFS($AC$3:$AC$39, $AC42, AL$3:AL$39,"X")</f>
        <v>0</v>
      </c>
      <c r="AM42">
        <f>COUNTIFS($AC$3:$AC$39, $AC42, AM$3:AM$39,"X")</f>
        <v>0</v>
      </c>
      <c r="AN42">
        <f>COUNTIFS($AC$3:$AC$39, $AC42, AN$3:AN$39,"X")</f>
        <v>0</v>
      </c>
      <c r="AO42">
        <f>COUNTIFS($AC$3:$AC$39, $AC42, AO$3:AO$39,"X")</f>
        <v>0</v>
      </c>
      <c r="AP42">
        <f>COUNTIFS($AC$3:$AC$39, $AC42, AP$3:AP$39,"X")</f>
        <v>0</v>
      </c>
      <c r="AQ42">
        <f>COUNTIFS($AC$3:$AC$39, $AC42, AQ$3:AQ$39,"X")</f>
        <v>0</v>
      </c>
      <c r="AR42">
        <f>COUNTIFS($AC$3:$AC$39, $AC42, AR$3:AR$39,"X")</f>
        <v>0</v>
      </c>
      <c r="AS42">
        <f>COUNTIFS($AC$3:$AC$39, $AC42, AS$3:AS$39,"X")</f>
        <v>0</v>
      </c>
      <c r="AT42">
        <f>COUNTIFS($AC$3:$AC$39, $AC42, AT$3:AT$39,"X")</f>
        <v>0</v>
      </c>
      <c r="AU42">
        <f>COUNTIFS($AC$3:$AC$39, $AC42, AU$3:AU$39,"X")</f>
        <v>0</v>
      </c>
      <c r="AV42">
        <f>COUNTIFS($AC$3:$AC$39, $AC42, AV$3:AV$39,"X")</f>
        <v>0</v>
      </c>
      <c r="AW42">
        <f>COUNTIFS($AC$3:$AC$39, $AC42, AW$3:AW$39,"X")</f>
        <v>0</v>
      </c>
      <c r="AX42">
        <f>COUNTIFS($AC$3:$AC$39, $AC42, AX$3:AX$39,"X")</f>
        <v>0</v>
      </c>
      <c r="AY42">
        <f>COUNTIFS($AC$3:$AC$39, $AC42, AY$3:AY$39,"X")</f>
        <v>0</v>
      </c>
      <c r="AZ42">
        <f>COUNTIFS($AC$3:$AC$39, $AC42, AZ$3:AZ$39,"X")</f>
        <v>0</v>
      </c>
      <c r="BA42">
        <f>COUNTIFS($AC$3:$AC$39, $AC42, BA$3:BA$39,"X")</f>
        <v>0</v>
      </c>
      <c r="BB42">
        <f>COUNTIFS($AC$3:$AC$39, $AC42, BB$3:BB$39,"X")</f>
        <v>0</v>
      </c>
      <c r="BC42">
        <f>COUNTIFS($AC$3:$AC$39, $AC42, BC$3:BC$39,"X")</f>
        <v>0</v>
      </c>
      <c r="BD42">
        <f>COUNTIFS($AC$3:$AC$39, $AC42, BD$3:BD$39,"X")</f>
        <v>0</v>
      </c>
      <c r="BE42">
        <f>COUNTIFS($AC$3:$AC$39, $AC42, BE$3:BE$39,"X")</f>
        <v>0</v>
      </c>
      <c r="BF42">
        <f>COUNTIFS($AC$3:$AC$39, $AC42, BF$3:BF$39,"X")</f>
        <v>0</v>
      </c>
      <c r="BG42">
        <f>COUNTIFS($AC$3:$AC$39, $AC42, BG$3:BG$39,"X")</f>
        <v>0</v>
      </c>
      <c r="BH42">
        <f>COUNTIFS($AC$3:$AC$39, $AC42, BH$3:BH$39,"X")</f>
        <v>1</v>
      </c>
      <c r="BI42">
        <f>COUNTIFS($AC$3:$AC$39, $AC42, BI$3:BI$39,"X")</f>
        <v>0</v>
      </c>
      <c r="BJ42">
        <f>COUNTIFS($AC$3:$AC$39, $AC42, BJ$3:BJ$39,"X")</f>
        <v>0</v>
      </c>
      <c r="BK42">
        <f>COUNTIFS($AC$3:$AC$39, $AC42, BK$3:BK$39,"X")</f>
        <v>1</v>
      </c>
      <c r="BL42">
        <f>COUNTIFS($AC$3:$AC$39, $AC42, BL$3:BL$39,"X")</f>
        <v>1</v>
      </c>
      <c r="BM42">
        <f>COUNTIFS($AC$3:$AC$39, $AC42, BM$3:BM$39,"X")</f>
        <v>1</v>
      </c>
      <c r="BN42">
        <f>COUNTIFS($AC$3:$AC$39, $AC42, BN$3:BN$39,"X")</f>
        <v>1</v>
      </c>
      <c r="BO42">
        <f>COUNTIFS($AC$3:$AC$39, $AC42, BO$3:BO$39,"X")</f>
        <v>1</v>
      </c>
      <c r="BP42">
        <f>COUNTIFS($AC$3:$AC$39, $AC42, BP$3:BP$39,"X")</f>
        <v>0</v>
      </c>
      <c r="BQ42">
        <f>COUNTIFS($AC$3:$AC$39, $AC42, BQ$3:BQ$39,"X")</f>
        <v>0</v>
      </c>
      <c r="BR42">
        <f>COUNTIFS($AC$3:$AC$39, $AC42, BR$3:BR$39,"X")</f>
        <v>1</v>
      </c>
      <c r="BS42">
        <f>COUNTIFS($AC$3:$AC$39, $AC42, BS$3:BS$39,"X")</f>
        <v>1</v>
      </c>
      <c r="BT42">
        <f>COUNTIFS($AC$3:$AC$39, $AC42, BT$3:BT$39,"X")</f>
        <v>1</v>
      </c>
      <c r="BU42">
        <f>COUNTIFS($AC$3:$AC$39, $AC42, BU$3:BU$39,"X")</f>
        <v>1</v>
      </c>
      <c r="BV42">
        <f>COUNTIFS($AC$3:$AC$39, $AC42, BV$3:BV$39,"X")</f>
        <v>2</v>
      </c>
      <c r="BW42">
        <f>COUNTIFS($AC$3:$AC$39, $AC42, BW$3:BW$39,"X")</f>
        <v>0</v>
      </c>
      <c r="BX42">
        <f>COUNTIFS($AC$3:$AC$39, $AC42, BX$3:BX$39,"X")</f>
        <v>0</v>
      </c>
      <c r="BY42">
        <f>COUNTIFS($AC$3:$AC$39, $AC42, BY$3:BY$39,"X")</f>
        <v>1</v>
      </c>
      <c r="BZ42">
        <f>COUNTIFS($AC$3:$AC$39, $AC42, BZ$3:BZ$39,"X")</f>
        <v>1</v>
      </c>
      <c r="CA42">
        <f>COUNTIFS($AC$3:$AC$39, $AC42, CA$3:CA$39,"X")</f>
        <v>1</v>
      </c>
      <c r="CB42">
        <f>COUNTIFS($AC$3:$AC$39, $AC42, CB$3:CB$39,"X")</f>
        <v>1</v>
      </c>
      <c r="CC42">
        <f>COUNTIFS($AC$3:$AC$39, $AC42, CC$3:CC$39,"X")</f>
        <v>1</v>
      </c>
      <c r="CD42">
        <f>COUNTIFS($AC$3:$AC$39, $AC42, CD$3:CD$39,"X")</f>
        <v>0</v>
      </c>
      <c r="CE42">
        <f>COUNTIFS($AC$3:$AC$39, $AC42, CE$3:CE$39,"X")</f>
        <v>0</v>
      </c>
      <c r="CF42">
        <f>COUNTIFS($AC$3:$AC$39, $AC42, CF$3:CF$39,"X")</f>
        <v>1</v>
      </c>
      <c r="CG42">
        <f>COUNTIFS($AC$3:$AC$39, $AC42, CG$3:CG$39,"X")</f>
        <v>1</v>
      </c>
      <c r="CH42">
        <f>COUNTIFS($AC$3:$AC$39, $AC42, CH$3:CH$39,"X")</f>
        <v>1</v>
      </c>
      <c r="CI42">
        <f>COUNTIFS($AC$3:$AC$39, $AC42, CI$3:CI$39,"X")</f>
        <v>1</v>
      </c>
      <c r="CJ42">
        <f>COUNTIFS($AC$3:$AC$39, $AC42, CJ$3:CJ$39,"X")</f>
        <v>1</v>
      </c>
      <c r="CK42">
        <f>COUNTIFS($AC$3:$AC$39, $AC42, CK$3:CK$39,"X")</f>
        <v>0</v>
      </c>
      <c r="CL42">
        <f>COUNTIFS($AC$3:$AC$39, $AC42, CL$3:CL$39,"X")</f>
        <v>0</v>
      </c>
      <c r="CM42">
        <f>COUNTIFS($AC$3:$AC$39, $AC42, CM$3:CM$39,"X")</f>
        <v>1</v>
      </c>
      <c r="CN42">
        <f>COUNTIFS($AC$3:$AC$39, $AC42, CN$3:CN$39,"X")</f>
        <v>1</v>
      </c>
      <c r="CO42">
        <f>COUNTIFS($AC$3:$AC$39, $AC42, CO$3:CO$39,"X")</f>
        <v>1</v>
      </c>
      <c r="CP42">
        <f>COUNTIFS($AC$3:$AC$39, $AC42, CP$3:CP$39,"X")</f>
        <v>0</v>
      </c>
      <c r="CQ42">
        <f>COUNTIFS($AC$3:$AC$39, $AC42, CQ$3:CQ$39,"X")</f>
        <v>0</v>
      </c>
      <c r="CR42">
        <f>COUNTIFS($AC$3:$AC$39, $AC42, CR$3:CR$39,"X")</f>
        <v>0</v>
      </c>
      <c r="CS42">
        <f>COUNTIFS($AC$3:$AC$39, $AC42, CS$3:CS$39,"X")</f>
        <v>0</v>
      </c>
      <c r="CT42">
        <f>COUNTIFS($AC$3:$AC$39, $AC42, CT$3:CT$39,"X")</f>
        <v>0</v>
      </c>
      <c r="CU42">
        <f>COUNTIFS($AC$3:$AC$39, $AC42, CU$3:CU$39,"X")</f>
        <v>0</v>
      </c>
      <c r="CV42">
        <f>COUNTIFS($AC$3:$AC$39, $AC42, CV$3:CV$39,"X")</f>
        <v>0</v>
      </c>
      <c r="CW42">
        <f>COUNTIFS($AC$3:$AC$39, $AC42, CW$3:CW$39,"X")</f>
        <v>0</v>
      </c>
      <c r="CX42">
        <f>COUNTIFS($AC$3:$AC$39, $AC42, CX$3:CX$39,"X")</f>
        <v>0</v>
      </c>
      <c r="CY42">
        <f>COUNTIFS($AC$3:$AC$39, $AC42, CY$3:CY$39,"X")</f>
        <v>0</v>
      </c>
      <c r="CZ42">
        <f>COUNTIFS($AC$3:$AC$39, $AC42, CZ$3:CZ$39,"X")</f>
        <v>0</v>
      </c>
      <c r="DA42">
        <f>COUNTIFS($AC$3:$AC$39, $AC42, DA$3:DA$39,"X")</f>
        <v>0</v>
      </c>
      <c r="DB42">
        <f>COUNTIFS($AC$3:$AC$39, $AC42, DB$3:DB$39,"X")</f>
        <v>0</v>
      </c>
      <c r="DC42">
        <f>COUNTIFS($AC$3:$AC$39, $AC42, DC$3:DC$39,"X")</f>
        <v>0</v>
      </c>
      <c r="DD42">
        <f>COUNTIFS($AC$3:$AC$39, $AC42, DD$3:DD$39,"X")</f>
        <v>0</v>
      </c>
      <c r="DE42">
        <f>COUNTIFS($AC$3:$AC$39, $AC42, DE$3:DE$39,"X")</f>
        <v>0</v>
      </c>
      <c r="DF42">
        <f>COUNTIFS($AC$3:$AC$39, $AC42, DF$3:DF$39,"X")</f>
        <v>0</v>
      </c>
      <c r="DG42">
        <f>COUNTIFS($AC$3:$AC$39, $AC42, DG$3:DG$39,"X")</f>
        <v>0</v>
      </c>
      <c r="DH42">
        <f>COUNTIFS($AC$3:$AC$39, $AC42, DH$3:DH$39,"X")</f>
        <v>0</v>
      </c>
      <c r="DI42">
        <f>COUNTIFS($AC$3:$AC$39, $AC42, DI$3:DI$39,"X")</f>
        <v>0</v>
      </c>
      <c r="DJ42">
        <f>COUNTIFS($AC$3:$AC$39, $AC42, DJ$3:DJ$39,"X")</f>
        <v>0</v>
      </c>
      <c r="DK42">
        <f>COUNTIFS($AC$3:$AC$39, $AC42, DK$3:DK$39,"X")</f>
        <v>0</v>
      </c>
      <c r="DL42">
        <f>COUNTIFS($AC$3:$AC$39, $AC42, DL$3:DL$39,"X")</f>
        <v>0</v>
      </c>
      <c r="DM42">
        <f>COUNTIFS($AC$3:$AC$39, $AC42, DM$3:DM$39,"X")</f>
        <v>0</v>
      </c>
      <c r="DN42">
        <f>COUNTIFS($AC$3:$AC$39, $AC42, DN$3:DN$39,"X")</f>
        <v>0</v>
      </c>
      <c r="DO42">
        <f>COUNTIFS($AC$3:$AC$39, $AC42, DO$3:DO$39,"X")</f>
        <v>0</v>
      </c>
      <c r="DP42">
        <f>COUNTIFS($AC$3:$AC$39, $AC42, DP$3:DP$39,"X")</f>
        <v>0</v>
      </c>
      <c r="DQ42">
        <f>COUNTIFS($AC$3:$AC$39, $AC42, DQ$3:DQ$39,"X")</f>
        <v>0</v>
      </c>
      <c r="DR42">
        <f>COUNTIFS($AC$3:$AC$39, $AC42, DR$3:DR$39,"X")</f>
        <v>0</v>
      </c>
      <c r="DS42">
        <f>COUNTIFS($AC$3:$AC$39, $AC42, DS$3:DS$39,"X")</f>
        <v>0</v>
      </c>
      <c r="DT42">
        <f>SUMIFS($DT$3:$DT$39, $AC$3:$AC$39, AC42)</f>
        <v>25</v>
      </c>
    </row>
    <row r="43">
      <c r="D43" t="str">
        <v>Complete</v>
      </c>
      <c r="AC43" t="str">
        <v>Team 2</v>
      </c>
      <c r="AF43">
        <f>COUNTIFS($AC$3:$AC$39, $AC43, AF$3:AF$39,"X")</f>
        <v>0</v>
      </c>
      <c r="AG43">
        <f>COUNTIFS($AC$3:$AC$39, $AC43, AG$3:AG$39,"X")</f>
        <v>0</v>
      </c>
      <c r="AH43">
        <f>COUNTIFS($AC$3:$AC$39, $AC43, AH$3:AH$39,"X")</f>
        <v>0</v>
      </c>
      <c r="AI43">
        <f>COUNTIFS($AC$3:$AC$39, $AC43, AI$3:AI$39,"X")</f>
        <v>0</v>
      </c>
      <c r="AJ43">
        <f>COUNTIFS($AC$3:$AC$39, $AC43, AJ$3:AJ$39,"X")</f>
        <v>0</v>
      </c>
      <c r="AK43">
        <f>COUNTIFS($AC$3:$AC$39, $AC43, AK$3:AK$39,"X")</f>
        <v>0</v>
      </c>
      <c r="AL43">
        <f>COUNTIFS($AC$3:$AC$39, $AC43, AL$3:AL$39,"X")</f>
        <v>1</v>
      </c>
      <c r="AM43">
        <f>COUNTIFS($AC$3:$AC$39, $AC43, AM$3:AM$39,"X")</f>
        <v>0</v>
      </c>
      <c r="AN43">
        <f>COUNTIFS($AC$3:$AC$39, $AC43, AN$3:AN$39,"X")</f>
        <v>0</v>
      </c>
      <c r="AO43">
        <f>COUNTIFS($AC$3:$AC$39, $AC43, AO$3:AO$39,"X")</f>
        <v>0</v>
      </c>
      <c r="AP43">
        <f>COUNTIFS($AC$3:$AC$39, $AC43, AP$3:AP$39,"X")</f>
        <v>0</v>
      </c>
      <c r="AQ43">
        <f>COUNTIFS($AC$3:$AC$39, $AC43, AQ$3:AQ$39,"X")</f>
        <v>0</v>
      </c>
      <c r="AR43">
        <f>COUNTIFS($AC$3:$AC$39, $AC43, AR$3:AR$39,"X")</f>
        <v>0</v>
      </c>
      <c r="AS43">
        <f>COUNTIFS($AC$3:$AC$39, $AC43, AS$3:AS$39,"X")</f>
        <v>0</v>
      </c>
      <c r="AT43">
        <f>COUNTIFS($AC$3:$AC$39, $AC43, AT$3:AT$39,"X")</f>
        <v>1</v>
      </c>
      <c r="AU43">
        <f>COUNTIFS($AC$3:$AC$39, $AC43, AU$3:AU$39,"X")</f>
        <v>0</v>
      </c>
      <c r="AV43">
        <f>COUNTIFS($AC$3:$AC$39, $AC43, AV$3:AV$39,"X")</f>
        <v>0</v>
      </c>
      <c r="AW43">
        <f>COUNTIFS($AC$3:$AC$39, $AC43, AW$3:AW$39,"X")</f>
        <v>1</v>
      </c>
      <c r="AX43">
        <f>COUNTIFS($AC$3:$AC$39, $AC43, AX$3:AX$39,"X")</f>
        <v>1</v>
      </c>
      <c r="AY43">
        <f>COUNTIFS($AC$3:$AC$39, $AC43, AY$3:AY$39,"X")</f>
        <v>1</v>
      </c>
      <c r="AZ43">
        <f>COUNTIFS($AC$3:$AC$39, $AC43, AZ$3:AZ$39,"X")</f>
        <v>1</v>
      </c>
      <c r="BA43">
        <f>COUNTIFS($AC$3:$AC$39, $AC43, BA$3:BA$39,"X")</f>
        <v>1</v>
      </c>
      <c r="BB43">
        <f>COUNTIFS($AC$3:$AC$39, $AC43, BB$3:BB$39,"X")</f>
        <v>0</v>
      </c>
      <c r="BC43">
        <f>COUNTIFS($AC$3:$AC$39, $AC43, BC$3:BC$39,"X")</f>
        <v>0</v>
      </c>
      <c r="BD43">
        <f>COUNTIFS($AC$3:$AC$39, $AC43, BD$3:BD$39,"X")</f>
        <v>1</v>
      </c>
      <c r="BE43">
        <f>COUNTIFS($AC$3:$AC$39, $AC43, BE$3:BE$39,"X")</f>
        <v>1</v>
      </c>
      <c r="BF43">
        <f>COUNTIFS($AC$3:$AC$39, $AC43, BF$3:BF$39,"X")</f>
        <v>1</v>
      </c>
      <c r="BG43">
        <f>COUNTIFS($AC$3:$AC$39, $AC43, BG$3:BG$39,"X")</f>
        <v>5</v>
      </c>
      <c r="BH43">
        <f>COUNTIFS($AC$3:$AC$39, $AC43, BH$3:BH$39,"X")</f>
        <v>6</v>
      </c>
      <c r="BI43">
        <f>COUNTIFS($AC$3:$AC$39, $AC43, BI$3:BI$39,"X")</f>
        <v>0</v>
      </c>
      <c r="BJ43">
        <f>COUNTIFS($AC$3:$AC$39, $AC43, BJ$3:BJ$39,"X")</f>
        <v>0</v>
      </c>
      <c r="BK43">
        <f>COUNTIFS($AC$3:$AC$39, $AC43, BK$3:BK$39,"X")</f>
        <v>5</v>
      </c>
      <c r="BL43">
        <f>COUNTIFS($AC$3:$AC$39, $AC43, BL$3:BL$39,"X")</f>
        <v>5</v>
      </c>
      <c r="BM43">
        <f>COUNTIFS($AC$3:$AC$39, $AC43, BM$3:BM$39,"X")</f>
        <v>5</v>
      </c>
      <c r="BN43">
        <f>COUNTIFS($AC$3:$AC$39, $AC43, BN$3:BN$39,"X")</f>
        <v>5</v>
      </c>
      <c r="BO43">
        <f>COUNTIFS($AC$3:$AC$39, $AC43, BO$3:BO$39,"X")</f>
        <v>5</v>
      </c>
      <c r="BP43">
        <f>COUNTIFS($AC$3:$AC$39, $AC43, BP$3:BP$39,"X")</f>
        <v>0</v>
      </c>
      <c r="BQ43">
        <f>COUNTIFS($AC$3:$AC$39, $AC43, BQ$3:BQ$39,"X")</f>
        <v>0</v>
      </c>
      <c r="BR43">
        <f>COUNTIFS($AC$3:$AC$39, $AC43, BR$3:BR$39,"X")</f>
        <v>5</v>
      </c>
      <c r="BS43">
        <f>COUNTIFS($AC$3:$AC$39, $AC43, BS$3:BS$39,"X")</f>
        <v>5</v>
      </c>
      <c r="BT43">
        <f>COUNTIFS($AC$3:$AC$39, $AC43, BT$3:BT$39,"X")</f>
        <v>5</v>
      </c>
      <c r="BU43">
        <f>COUNTIFS($AC$3:$AC$39, $AC43, BU$3:BU$39,"X")</f>
        <v>5</v>
      </c>
      <c r="BV43">
        <f>COUNTIFS($AC$3:$AC$39, $AC43, BV$3:BV$39,"X")</f>
        <v>6</v>
      </c>
      <c r="BW43">
        <f>COUNTIFS($AC$3:$AC$39, $AC43, BW$3:BW$39,"X")</f>
        <v>0</v>
      </c>
      <c r="BX43">
        <f>COUNTIFS($AC$3:$AC$39, $AC43, BX$3:BX$39,"X")</f>
        <v>0</v>
      </c>
      <c r="BY43">
        <f>COUNTIFS($AC$3:$AC$39, $AC43, BY$3:BY$39,"X")</f>
        <v>5</v>
      </c>
      <c r="BZ43">
        <f>COUNTIFS($AC$3:$AC$39, $AC43, BZ$3:BZ$39,"X")</f>
        <v>5</v>
      </c>
      <c r="CA43">
        <f>COUNTIFS($AC$3:$AC$39, $AC43, CA$3:CA$39,"X")</f>
        <v>5</v>
      </c>
      <c r="CB43">
        <f>COUNTIFS($AC$3:$AC$39, $AC43, CB$3:CB$39,"X")</f>
        <v>5</v>
      </c>
      <c r="CC43">
        <f>COUNTIFS($AC$3:$AC$39, $AC43, CC$3:CC$39,"X")</f>
        <v>5</v>
      </c>
      <c r="CD43">
        <f>COUNTIFS($AC$3:$AC$39, $AC43, CD$3:CD$39,"X")</f>
        <v>0</v>
      </c>
      <c r="CE43">
        <f>COUNTIFS($AC$3:$AC$39, $AC43, CE$3:CE$39,"X")</f>
        <v>0</v>
      </c>
      <c r="CF43">
        <f>COUNTIFS($AC$3:$AC$39, $AC43, CF$3:CF$39,"X")</f>
        <v>5</v>
      </c>
      <c r="CG43">
        <f>COUNTIFS($AC$3:$AC$39, $AC43, CG$3:CG$39,"X")</f>
        <v>5</v>
      </c>
      <c r="CH43">
        <f>COUNTIFS($AC$3:$AC$39, $AC43, CH$3:CH$39,"X")</f>
        <v>1</v>
      </c>
      <c r="CI43">
        <f>COUNTIFS($AC$3:$AC$39, $AC43, CI$3:CI$39,"X")</f>
        <v>1</v>
      </c>
      <c r="CJ43">
        <f>COUNTIFS($AC$3:$AC$39, $AC43, CJ$3:CJ$39,"X")</f>
        <v>2</v>
      </c>
      <c r="CK43">
        <f>COUNTIFS($AC$3:$AC$39, $AC43, CK$3:CK$39,"X")</f>
        <v>0</v>
      </c>
      <c r="CL43">
        <f>COUNTIFS($AC$3:$AC$39, $AC43, CL$3:CL$39,"X")</f>
        <v>0</v>
      </c>
      <c r="CM43">
        <f>COUNTIFS($AC$3:$AC$39, $AC43, CM$3:CM$39,"X")</f>
        <v>1</v>
      </c>
      <c r="CN43">
        <f>COUNTIFS($AC$3:$AC$39, $AC43, CN$3:CN$39,"X")</f>
        <v>1</v>
      </c>
      <c r="CO43">
        <f>COUNTIFS($AC$3:$AC$39, $AC43, CO$3:CO$39,"X")</f>
        <v>1</v>
      </c>
      <c r="CP43">
        <f>COUNTIFS($AC$3:$AC$39, $AC43, CP$3:CP$39,"X")</f>
        <v>1</v>
      </c>
      <c r="CQ43">
        <f>COUNTIFS($AC$3:$AC$39, $AC43, CQ$3:CQ$39,"X")</f>
        <v>1</v>
      </c>
      <c r="CR43">
        <f>COUNTIFS($AC$3:$AC$39, $AC43, CR$3:CR$39,"X")</f>
        <v>0</v>
      </c>
      <c r="CS43">
        <f>COUNTIFS($AC$3:$AC$39, $AC43, CS$3:CS$39,"X")</f>
        <v>0</v>
      </c>
      <c r="CT43">
        <f>COUNTIFS($AC$3:$AC$39, $AC43, CT$3:CT$39,"X")</f>
        <v>1</v>
      </c>
      <c r="CU43">
        <f>COUNTIFS($AC$3:$AC$39, $AC43, CU$3:CU$39,"X")</f>
        <v>1</v>
      </c>
      <c r="CV43">
        <f>COUNTIFS($AC$3:$AC$39, $AC43, CV$3:CV$39,"X")</f>
        <v>1</v>
      </c>
      <c r="CW43">
        <f>COUNTIFS($AC$3:$AC$39, $AC43, CW$3:CW$39,"X")</f>
        <v>1</v>
      </c>
      <c r="CX43">
        <f>COUNTIFS($AC$3:$AC$39, $AC43, CX$3:CX$39,"X")</f>
        <v>0</v>
      </c>
      <c r="CY43">
        <f>COUNTIFS($AC$3:$AC$39, $AC43, CY$3:CY$39,"X")</f>
        <v>0</v>
      </c>
      <c r="CZ43">
        <f>COUNTIFS($AC$3:$AC$39, $AC43, CZ$3:CZ$39,"X")</f>
        <v>0</v>
      </c>
      <c r="DA43">
        <f>COUNTIFS($AC$3:$AC$39, $AC43, DA$3:DA$39,"X")</f>
        <v>0</v>
      </c>
      <c r="DB43">
        <f>COUNTIFS($AC$3:$AC$39, $AC43, DB$3:DB$39,"X")</f>
        <v>0</v>
      </c>
      <c r="DC43">
        <f>COUNTIFS($AC$3:$AC$39, $AC43, DC$3:DC$39,"X")</f>
        <v>0</v>
      </c>
      <c r="DD43">
        <f>COUNTIFS($AC$3:$AC$39, $AC43, DD$3:DD$39,"X")</f>
        <v>0</v>
      </c>
      <c r="DE43">
        <f>COUNTIFS($AC$3:$AC$39, $AC43, DE$3:DE$39,"X")</f>
        <v>0</v>
      </c>
      <c r="DF43">
        <f>COUNTIFS($AC$3:$AC$39, $AC43, DF$3:DF$39,"X")</f>
        <v>0</v>
      </c>
      <c r="DG43">
        <f>COUNTIFS($AC$3:$AC$39, $AC43, DG$3:DG$39,"X")</f>
        <v>0</v>
      </c>
      <c r="DH43">
        <f>COUNTIFS($AC$3:$AC$39, $AC43, DH$3:DH$39,"X")</f>
        <v>0</v>
      </c>
      <c r="DI43">
        <f>COUNTIFS($AC$3:$AC$39, $AC43, DI$3:DI$39,"X")</f>
        <v>0</v>
      </c>
      <c r="DJ43">
        <f>COUNTIFS($AC$3:$AC$39, $AC43, DJ$3:DJ$39,"X")</f>
        <v>0</v>
      </c>
      <c r="DK43">
        <f>COUNTIFS($AC$3:$AC$39, $AC43, DK$3:DK$39,"X")</f>
        <v>0</v>
      </c>
      <c r="DL43">
        <f>COUNTIFS($AC$3:$AC$39, $AC43, DL$3:DL$39,"X")</f>
        <v>0</v>
      </c>
      <c r="DM43">
        <f>COUNTIFS($AC$3:$AC$39, $AC43, DM$3:DM$39,"X")</f>
        <v>0</v>
      </c>
      <c r="DN43">
        <f>COUNTIFS($AC$3:$AC$39, $AC43, DN$3:DN$39,"X")</f>
        <v>0</v>
      </c>
      <c r="DO43">
        <f>COUNTIFS($AC$3:$AC$39, $AC43, DO$3:DO$39,"X")</f>
        <v>0</v>
      </c>
      <c r="DP43">
        <f>COUNTIFS($AC$3:$AC$39, $AC43, DP$3:DP$39,"X")</f>
        <v>0</v>
      </c>
      <c r="DQ43">
        <f>COUNTIFS($AC$3:$AC$39, $AC43, DQ$3:DQ$39,"X")</f>
        <v>0</v>
      </c>
      <c r="DR43">
        <f>COUNTIFS($AC$3:$AC$39, $AC43, DR$3:DR$39,"X")</f>
        <v>0</v>
      </c>
      <c r="DS43">
        <f>COUNTIFS($AC$3:$AC$39, $AC43, DS$3:DS$39,"X")</f>
        <v>0</v>
      </c>
      <c r="DT43">
        <f>SUMIFS($DT$3:$DT$39, $AC$3:$AC$39, AC43)</f>
        <v>109</v>
      </c>
    </row>
    <row r="44">
      <c r="D44" t="str">
        <v>At risk (Mitigation)</v>
      </c>
      <c r="AC44" t="str">
        <v>Team 3</v>
      </c>
      <c r="AF44">
        <f>COUNTIFS($AC$3:$AC$39, $AC44, AF$3:AF$39,"X")</f>
        <v>0</v>
      </c>
      <c r="AG44">
        <f>COUNTIFS($AC$3:$AC$39, $AC44, AG$3:AG$39,"X")</f>
        <v>0</v>
      </c>
      <c r="AH44">
        <f>COUNTIFS($AC$3:$AC$39, $AC44, AH$3:AH$39,"X")</f>
        <v>0</v>
      </c>
      <c r="AI44">
        <f>COUNTIFS($AC$3:$AC$39, $AC44, AI$3:AI$39,"X")</f>
        <v>0</v>
      </c>
      <c r="AJ44">
        <f>COUNTIFS($AC$3:$AC$39, $AC44, AJ$3:AJ$39,"X")</f>
        <v>1</v>
      </c>
      <c r="AK44">
        <f>COUNTIFS($AC$3:$AC$39, $AC44, AK$3:AK$39,"X")</f>
        <v>1</v>
      </c>
      <c r="AL44">
        <f>COUNTIFS($AC$3:$AC$39, $AC44, AL$3:AL$39,"X")</f>
        <v>1</v>
      </c>
      <c r="AM44">
        <f>COUNTIFS($AC$3:$AC$39, $AC44, AM$3:AM$39,"X")</f>
        <v>1</v>
      </c>
      <c r="AN44">
        <f>COUNTIFS($AC$3:$AC$39, $AC44, AN$3:AN$39,"X")</f>
        <v>0</v>
      </c>
      <c r="AO44">
        <f>COUNTIFS($AC$3:$AC$39, $AC44, AO$3:AO$39,"X")</f>
        <v>0</v>
      </c>
      <c r="AP44">
        <f>COUNTIFS($AC$3:$AC$39, $AC44, AP$3:AP$39,"X")</f>
        <v>2</v>
      </c>
      <c r="AQ44">
        <f>COUNTIFS($AC$3:$AC$39, $AC44, AQ$3:AQ$39,"X")</f>
        <v>2</v>
      </c>
      <c r="AR44">
        <f>COUNTIFS($AC$3:$AC$39, $AC44, AR$3:AR$39,"X")</f>
        <v>2</v>
      </c>
      <c r="AS44">
        <f>COUNTIFS($AC$3:$AC$39, $AC44, AS$3:AS$39,"X")</f>
        <v>2</v>
      </c>
      <c r="AT44">
        <f>COUNTIFS($AC$3:$AC$39, $AC44, AT$3:AT$39,"X")</f>
        <v>2</v>
      </c>
      <c r="AU44">
        <f>COUNTIFS($AC$3:$AC$39, $AC44, AU$3:AU$39,"X")</f>
        <v>0</v>
      </c>
      <c r="AV44">
        <f>COUNTIFS($AC$3:$AC$39, $AC44, AV$3:AV$39,"X")</f>
        <v>0</v>
      </c>
      <c r="AW44">
        <f>COUNTIFS($AC$3:$AC$39, $AC44, AW$3:AW$39,"X")</f>
        <v>2</v>
      </c>
      <c r="AX44">
        <f>COUNTIFS($AC$3:$AC$39, $AC44, AX$3:AX$39,"X")</f>
        <v>2</v>
      </c>
      <c r="AY44">
        <f>COUNTIFS($AC$3:$AC$39, $AC44, AY$3:AY$39,"X")</f>
        <v>2</v>
      </c>
      <c r="AZ44">
        <f>COUNTIFS($AC$3:$AC$39, $AC44, AZ$3:AZ$39,"X")</f>
        <v>2</v>
      </c>
      <c r="BA44">
        <f>COUNTIFS($AC$3:$AC$39, $AC44, BA$3:BA$39,"X")</f>
        <v>2</v>
      </c>
      <c r="BB44">
        <f>COUNTIFS($AC$3:$AC$39, $AC44, BB$3:BB$39,"X")</f>
        <v>0</v>
      </c>
      <c r="BC44">
        <f>COUNTIFS($AC$3:$AC$39, $AC44, BC$3:BC$39,"X")</f>
        <v>0</v>
      </c>
      <c r="BD44">
        <f>COUNTIFS($AC$3:$AC$39, $AC44, BD$3:BD$39,"X")</f>
        <v>2</v>
      </c>
      <c r="BE44">
        <f>COUNTIFS($AC$3:$AC$39, $AC44, BE$3:BE$39,"X")</f>
        <v>2</v>
      </c>
      <c r="BF44">
        <f>COUNTIFS($AC$3:$AC$39, $AC44, BF$3:BF$39,"X")</f>
        <v>2</v>
      </c>
      <c r="BG44">
        <f>COUNTIFS($AC$3:$AC$39, $AC44, BG$3:BG$39,"X")</f>
        <v>2</v>
      </c>
      <c r="BH44">
        <f>COUNTIFS($AC$3:$AC$39, $AC44, BH$3:BH$39,"X")</f>
        <v>5</v>
      </c>
      <c r="BI44">
        <f>COUNTIFS($AC$3:$AC$39, $AC44, BI$3:BI$39,"X")</f>
        <v>0</v>
      </c>
      <c r="BJ44">
        <f>COUNTIFS($AC$3:$AC$39, $AC44, BJ$3:BJ$39,"X")</f>
        <v>0</v>
      </c>
      <c r="BK44">
        <f>COUNTIFS($AC$3:$AC$39, $AC44, BK$3:BK$39,"X")</f>
        <v>3</v>
      </c>
      <c r="BL44">
        <f>COUNTIFS($AC$3:$AC$39, $AC44, BL$3:BL$39,"X")</f>
        <v>3</v>
      </c>
      <c r="BM44">
        <f>COUNTIFS($AC$3:$AC$39, $AC44, BM$3:BM$39,"X")</f>
        <v>3</v>
      </c>
      <c r="BN44">
        <f>COUNTIFS($AC$3:$AC$39, $AC44, BN$3:BN$39,"X")</f>
        <v>3</v>
      </c>
      <c r="BO44">
        <f>COUNTIFS($AC$3:$AC$39, $AC44, BO$3:BO$39,"X")</f>
        <v>3</v>
      </c>
      <c r="BP44">
        <f>COUNTIFS($AC$3:$AC$39, $AC44, BP$3:BP$39,"X")</f>
        <v>0</v>
      </c>
      <c r="BQ44">
        <f>COUNTIFS($AC$3:$AC$39, $AC44, BQ$3:BQ$39,"X")</f>
        <v>0</v>
      </c>
      <c r="BR44">
        <f>COUNTIFS($AC$3:$AC$39, $AC44, BR$3:BR$39,"X")</f>
        <v>3</v>
      </c>
      <c r="BS44">
        <f>COUNTIFS($AC$3:$AC$39, $AC44, BS$3:BS$39,"X")</f>
        <v>3</v>
      </c>
      <c r="BT44">
        <f>COUNTIFS($AC$3:$AC$39, $AC44, BT$3:BT$39,"X")</f>
        <v>3</v>
      </c>
      <c r="BU44">
        <f>COUNTIFS($AC$3:$AC$39, $AC44, BU$3:BU$39,"X")</f>
        <v>3</v>
      </c>
      <c r="BV44">
        <f>COUNTIFS($AC$3:$AC$39, $AC44, BV$3:BV$39,"X")</f>
        <v>7</v>
      </c>
      <c r="BW44">
        <f>COUNTIFS($AC$3:$AC$39, $AC44, BW$3:BW$39,"X")</f>
        <v>0</v>
      </c>
      <c r="BX44">
        <f>COUNTIFS($AC$3:$AC$39, $AC44, BX$3:BX$39,"X")</f>
        <v>0</v>
      </c>
      <c r="BY44">
        <f>COUNTIFS($AC$3:$AC$39, $AC44, BY$3:BY$39,"X")</f>
        <v>4</v>
      </c>
      <c r="BZ44">
        <f>COUNTIFS($AC$3:$AC$39, $AC44, BZ$3:BZ$39,"X")</f>
        <v>4</v>
      </c>
      <c r="CA44">
        <f>COUNTIFS($AC$3:$AC$39, $AC44, CA$3:CA$39,"X")</f>
        <v>4</v>
      </c>
      <c r="CB44">
        <f>COUNTIFS($AC$3:$AC$39, $AC44, CB$3:CB$39,"X")</f>
        <v>4</v>
      </c>
      <c r="CC44">
        <f>COUNTIFS($AC$3:$AC$39, $AC44, CC$3:CC$39,"X")</f>
        <v>4</v>
      </c>
      <c r="CD44">
        <f>COUNTIFS($AC$3:$AC$39, $AC44, CD$3:CD$39,"X")</f>
        <v>0</v>
      </c>
      <c r="CE44">
        <f>COUNTIFS($AC$3:$AC$39, $AC44, CE$3:CE$39,"X")</f>
        <v>0</v>
      </c>
      <c r="CF44">
        <f>COUNTIFS($AC$3:$AC$39, $AC44, CF$3:CF$39,"X")</f>
        <v>4</v>
      </c>
      <c r="CG44">
        <f>COUNTIFS($AC$3:$AC$39, $AC44, CG$3:CG$39,"X")</f>
        <v>4</v>
      </c>
      <c r="CH44">
        <f>COUNTIFS($AC$3:$AC$39, $AC44, CH$3:CH$39,"X")</f>
        <v>4</v>
      </c>
      <c r="CI44">
        <f>COUNTIFS($AC$3:$AC$39, $AC44, CI$3:CI$39,"X")</f>
        <v>4</v>
      </c>
      <c r="CJ44">
        <f>COUNTIFS($AC$3:$AC$39, $AC44, CJ$3:CJ$39,"X")</f>
        <v>4</v>
      </c>
      <c r="CK44">
        <f>COUNTIFS($AC$3:$AC$39, $AC44, CK$3:CK$39,"X")</f>
        <v>0</v>
      </c>
      <c r="CL44">
        <f>COUNTIFS($AC$3:$AC$39, $AC44, CL$3:CL$39,"X")</f>
        <v>0</v>
      </c>
      <c r="CM44">
        <f>COUNTIFS($AC$3:$AC$39, $AC44, CM$3:CM$39,"X")</f>
        <v>1</v>
      </c>
      <c r="CN44">
        <f>COUNTIFS($AC$3:$AC$39, $AC44, CN$3:CN$39,"X")</f>
        <v>1</v>
      </c>
      <c r="CO44">
        <f>COUNTIFS($AC$3:$AC$39, $AC44, CO$3:CO$39,"X")</f>
        <v>1</v>
      </c>
      <c r="CP44">
        <f>COUNTIFS($AC$3:$AC$39, $AC44, CP$3:CP$39,"X")</f>
        <v>1</v>
      </c>
      <c r="CQ44">
        <f>COUNTIFS($AC$3:$AC$39, $AC44, CQ$3:CQ$39,"X")</f>
        <v>1</v>
      </c>
      <c r="CR44">
        <f>COUNTIFS($AC$3:$AC$39, $AC44, CR$3:CR$39,"X")</f>
        <v>0</v>
      </c>
      <c r="CS44">
        <f>COUNTIFS($AC$3:$AC$39, $AC44, CS$3:CS$39,"X")</f>
        <v>0</v>
      </c>
      <c r="CT44">
        <f>COUNTIFS($AC$3:$AC$39, $AC44, CT$3:CT$39,"X")</f>
        <v>1</v>
      </c>
      <c r="CU44">
        <f>COUNTIFS($AC$3:$AC$39, $AC44, CU$3:CU$39,"X")</f>
        <v>1</v>
      </c>
      <c r="CV44">
        <f>COUNTIFS($AC$3:$AC$39, $AC44, CV$3:CV$39,"X")</f>
        <v>1</v>
      </c>
      <c r="CW44">
        <f>COUNTIFS($AC$3:$AC$39, $AC44, CW$3:CW$39,"X")</f>
        <v>1</v>
      </c>
      <c r="CX44">
        <f>COUNTIFS($AC$3:$AC$39, $AC44, CX$3:CX$39,"X")</f>
        <v>0</v>
      </c>
      <c r="CY44">
        <f>COUNTIFS($AC$3:$AC$39, $AC44, CY$3:CY$39,"X")</f>
        <v>0</v>
      </c>
      <c r="CZ44">
        <f>COUNTIFS($AC$3:$AC$39, $AC44, CZ$3:CZ$39,"X")</f>
        <v>0</v>
      </c>
      <c r="DA44">
        <f>COUNTIFS($AC$3:$AC$39, $AC44, DA$3:DA$39,"X")</f>
        <v>0</v>
      </c>
      <c r="DB44">
        <f>COUNTIFS($AC$3:$AC$39, $AC44, DB$3:DB$39,"X")</f>
        <v>0</v>
      </c>
      <c r="DC44">
        <f>COUNTIFS($AC$3:$AC$39, $AC44, DC$3:DC$39,"X")</f>
        <v>0</v>
      </c>
      <c r="DD44">
        <f>COUNTIFS($AC$3:$AC$39, $AC44, DD$3:DD$39,"X")</f>
        <v>0</v>
      </c>
      <c r="DE44">
        <f>COUNTIFS($AC$3:$AC$39, $AC44, DE$3:DE$39,"X")</f>
        <v>0</v>
      </c>
      <c r="DF44">
        <f>COUNTIFS($AC$3:$AC$39, $AC44, DF$3:DF$39,"X")</f>
        <v>0</v>
      </c>
      <c r="DG44">
        <f>COUNTIFS($AC$3:$AC$39, $AC44, DG$3:DG$39,"X")</f>
        <v>0</v>
      </c>
      <c r="DH44">
        <f>COUNTIFS($AC$3:$AC$39, $AC44, DH$3:DH$39,"X")</f>
        <v>0</v>
      </c>
      <c r="DI44">
        <f>COUNTIFS($AC$3:$AC$39, $AC44, DI$3:DI$39,"X")</f>
        <v>0</v>
      </c>
      <c r="DJ44">
        <f>COUNTIFS($AC$3:$AC$39, $AC44, DJ$3:DJ$39,"X")</f>
        <v>0</v>
      </c>
      <c r="DK44">
        <f>COUNTIFS($AC$3:$AC$39, $AC44, DK$3:DK$39,"X")</f>
        <v>0</v>
      </c>
      <c r="DL44">
        <f>COUNTIFS($AC$3:$AC$39, $AC44, DL$3:DL$39,"X")</f>
        <v>0</v>
      </c>
      <c r="DM44">
        <f>COUNTIFS($AC$3:$AC$39, $AC44, DM$3:DM$39,"X")</f>
        <v>0</v>
      </c>
      <c r="DN44">
        <f>COUNTIFS($AC$3:$AC$39, $AC44, DN$3:DN$39,"X")</f>
        <v>0</v>
      </c>
      <c r="DO44">
        <f>COUNTIFS($AC$3:$AC$39, $AC44, DO$3:DO$39,"X")</f>
        <v>0</v>
      </c>
      <c r="DP44">
        <f>COUNTIFS($AC$3:$AC$39, $AC44, DP$3:DP$39,"X")</f>
        <v>0</v>
      </c>
      <c r="DQ44">
        <f>COUNTIFS($AC$3:$AC$39, $AC44, DQ$3:DQ$39,"X")</f>
        <v>0</v>
      </c>
      <c r="DR44">
        <f>COUNTIFS($AC$3:$AC$39, $AC44, DR$3:DR$39,"X")</f>
        <v>0</v>
      </c>
      <c r="DS44">
        <f>COUNTIFS($AC$3:$AC$39, $AC44, DS$3:DS$39,"X")</f>
        <v>0</v>
      </c>
      <c r="DT44">
        <f>SUMIFS($DT$3:$DT$39, $AC$3:$AC$39, AC44)</f>
        <v>109</v>
      </c>
    </row>
    <row r="45">
      <c r="D45" t="str">
        <v>Blocked/Late</v>
      </c>
      <c r="AC45" t="str">
        <v>Team 4</v>
      </c>
      <c r="AF45">
        <f>COUNTIFS($AC$3:$AC$39, $AC45, AF$3:AF$39,"X")</f>
        <v>0</v>
      </c>
      <c r="AG45">
        <f>COUNTIFS($AC$3:$AC$39, $AC45, AG$3:AG$39,"X")</f>
        <v>0</v>
      </c>
      <c r="AH45">
        <f>COUNTIFS($AC$3:$AC$39, $AC45, AH$3:AH$39,"X")</f>
        <v>0</v>
      </c>
      <c r="AI45">
        <f>COUNTIFS($AC$3:$AC$39, $AC45, AI$3:AI$39,"X")</f>
        <v>2</v>
      </c>
      <c r="AJ45">
        <f>COUNTIFS($AC$3:$AC$39, $AC45, AJ$3:AJ$39,"X")</f>
        <v>2</v>
      </c>
      <c r="AK45">
        <f>COUNTIFS($AC$3:$AC$39, $AC45, AK$3:AK$39,"X")</f>
        <v>2</v>
      </c>
      <c r="AL45">
        <f>COUNTIFS($AC$3:$AC$39, $AC45, AL$3:AL$39,"X")</f>
        <v>2</v>
      </c>
      <c r="AM45">
        <f>COUNTIFS($AC$3:$AC$39, $AC45, AM$3:AM$39,"X")</f>
        <v>2</v>
      </c>
      <c r="AN45">
        <f>COUNTIFS($AC$3:$AC$39, $AC45, AN$3:AN$39,"X")</f>
        <v>0</v>
      </c>
      <c r="AO45">
        <f>COUNTIFS($AC$3:$AC$39, $AC45, AO$3:AO$39,"X")</f>
        <v>0</v>
      </c>
      <c r="AP45">
        <f>COUNTIFS($AC$3:$AC$39, $AC45, AP$3:AP$39,"X")</f>
        <v>2</v>
      </c>
      <c r="AQ45">
        <f>COUNTIFS($AC$3:$AC$39, $AC45, AQ$3:AQ$39,"X")</f>
        <v>2</v>
      </c>
      <c r="AR45">
        <f>COUNTIFS($AC$3:$AC$39, $AC45, AR$3:AR$39,"X")</f>
        <v>2</v>
      </c>
      <c r="AS45">
        <f>COUNTIFS($AC$3:$AC$39, $AC45, AS$3:AS$39,"X")</f>
        <v>2</v>
      </c>
      <c r="AT45">
        <f>COUNTIFS($AC$3:$AC$39, $AC45, AT$3:AT$39,"X")</f>
        <v>3</v>
      </c>
      <c r="AU45">
        <f>COUNTIFS($AC$3:$AC$39, $AC45, AU$3:AU$39,"X")</f>
        <v>0</v>
      </c>
      <c r="AV45">
        <f>COUNTIFS($AC$3:$AC$39, $AC45, AV$3:AV$39,"X")</f>
        <v>0</v>
      </c>
      <c r="AW45">
        <f>COUNTIFS($AC$3:$AC$39, $AC45, AW$3:AW$39,"X")</f>
        <v>3</v>
      </c>
      <c r="AX45">
        <f>COUNTIFS($AC$3:$AC$39, $AC45, AX$3:AX$39,"X")</f>
        <v>3</v>
      </c>
      <c r="AY45">
        <f>COUNTIFS($AC$3:$AC$39, $AC45, AY$3:AY$39,"X")</f>
        <v>3</v>
      </c>
      <c r="AZ45">
        <f>COUNTIFS($AC$3:$AC$39, $AC45, AZ$3:AZ$39,"X")</f>
        <v>3</v>
      </c>
      <c r="BA45">
        <f>COUNTIFS($AC$3:$AC$39, $AC45, BA$3:BA$39,"X")</f>
        <v>3</v>
      </c>
      <c r="BB45">
        <f>COUNTIFS($AC$3:$AC$39, $AC45, BB$3:BB$39,"X")</f>
        <v>0</v>
      </c>
      <c r="BC45">
        <f>COUNTIFS($AC$3:$AC$39, $AC45, BC$3:BC$39,"X")</f>
        <v>0</v>
      </c>
      <c r="BD45">
        <f>COUNTIFS($AC$3:$AC$39, $AC45, BD$3:BD$39,"X")</f>
        <v>3</v>
      </c>
      <c r="BE45">
        <f>COUNTIFS($AC$3:$AC$39, $AC45, BE$3:BE$39,"X")</f>
        <v>3</v>
      </c>
      <c r="BF45">
        <f>COUNTIFS($AC$3:$AC$39, $AC45, BF$3:BF$39,"X")</f>
        <v>3</v>
      </c>
      <c r="BG45">
        <f>COUNTIFS($AC$3:$AC$39, $AC45, BG$3:BG$39,"X")</f>
        <v>3</v>
      </c>
      <c r="BH45">
        <f>COUNTIFS($AC$3:$AC$39, $AC45, BH$3:BH$39,"X")</f>
        <v>5</v>
      </c>
      <c r="BI45">
        <f>COUNTIFS($AC$3:$AC$39, $AC45, BI$3:BI$39,"X")</f>
        <v>0</v>
      </c>
      <c r="BJ45">
        <f>COUNTIFS($AC$3:$AC$39, $AC45, BJ$3:BJ$39,"X")</f>
        <v>0</v>
      </c>
      <c r="BK45">
        <f>COUNTIFS($AC$3:$AC$39, $AC45, BK$3:BK$39,"X")</f>
        <v>4</v>
      </c>
      <c r="BL45">
        <f>COUNTIFS($AC$3:$AC$39, $AC45, BL$3:BL$39,"X")</f>
        <v>4</v>
      </c>
      <c r="BM45">
        <f>COUNTIFS($AC$3:$AC$39, $AC45, BM$3:BM$39,"X")</f>
        <v>4</v>
      </c>
      <c r="BN45">
        <f>COUNTIFS($AC$3:$AC$39, $AC45, BN$3:BN$39,"X")</f>
        <v>4</v>
      </c>
      <c r="BO45">
        <f>COUNTIFS($AC$3:$AC$39, $AC45, BO$3:BO$39,"X")</f>
        <v>4</v>
      </c>
      <c r="BP45">
        <f>COUNTIFS($AC$3:$AC$39, $AC45, BP$3:BP$39,"X")</f>
        <v>0</v>
      </c>
      <c r="BQ45">
        <f>COUNTIFS($AC$3:$AC$39, $AC45, BQ$3:BQ$39,"X")</f>
        <v>0</v>
      </c>
      <c r="BR45">
        <f>COUNTIFS($AC$3:$AC$39, $AC45, BR$3:BR$39,"X")</f>
        <v>4</v>
      </c>
      <c r="BS45">
        <f>COUNTIFS($AC$3:$AC$39, $AC45, BS$3:BS$39,"X")</f>
        <v>4</v>
      </c>
      <c r="BT45">
        <f>COUNTIFS($AC$3:$AC$39, $AC45, BT$3:BT$39,"X")</f>
        <v>4</v>
      </c>
      <c r="BU45">
        <f>COUNTIFS($AC$3:$AC$39, $AC45, BU$3:BU$39,"X")</f>
        <v>4</v>
      </c>
      <c r="BV45">
        <f>COUNTIFS($AC$3:$AC$39, $AC45, BV$3:BV$39,"X")</f>
        <v>4</v>
      </c>
      <c r="BW45">
        <f>COUNTIFS($AC$3:$AC$39, $AC45, BW$3:BW$39,"X")</f>
        <v>0</v>
      </c>
      <c r="BX45">
        <f>COUNTIFS($AC$3:$AC$39, $AC45, BX$3:BX$39,"X")</f>
        <v>0</v>
      </c>
      <c r="BY45">
        <f>COUNTIFS($AC$3:$AC$39, $AC45, BY$3:BY$39,"X")</f>
        <v>2</v>
      </c>
      <c r="BZ45">
        <f>COUNTIFS($AC$3:$AC$39, $AC45, BZ$3:BZ$39,"X")</f>
        <v>2</v>
      </c>
      <c r="CA45">
        <f>COUNTIFS($AC$3:$AC$39, $AC45, CA$3:CA$39,"X")</f>
        <v>2</v>
      </c>
      <c r="CB45">
        <f>COUNTIFS($AC$3:$AC$39, $AC45, CB$3:CB$39,"X")</f>
        <v>2</v>
      </c>
      <c r="CC45">
        <f>COUNTIFS($AC$3:$AC$39, $AC45, CC$3:CC$39,"X")</f>
        <v>2</v>
      </c>
      <c r="CD45">
        <f>COUNTIFS($AC$3:$AC$39, $AC45, CD$3:CD$39,"X")</f>
        <v>0</v>
      </c>
      <c r="CE45">
        <f>COUNTIFS($AC$3:$AC$39, $AC45, CE$3:CE$39,"X")</f>
        <v>0</v>
      </c>
      <c r="CF45">
        <f>COUNTIFS($AC$3:$AC$39, $AC45, CF$3:CF$39,"X")</f>
        <v>2</v>
      </c>
      <c r="CG45">
        <f>COUNTIFS($AC$3:$AC$39, $AC45, CG$3:CG$39,"X")</f>
        <v>2</v>
      </c>
      <c r="CH45">
        <f>COUNTIFS($AC$3:$AC$39, $AC45, CH$3:CH$39,"X")</f>
        <v>2</v>
      </c>
      <c r="CI45">
        <f>COUNTIFS($AC$3:$AC$39, $AC45, CI$3:CI$39,"X")</f>
        <v>2</v>
      </c>
      <c r="CJ45">
        <f>COUNTIFS($AC$3:$AC$39, $AC45, CJ$3:CJ$39,"X")</f>
        <v>2</v>
      </c>
      <c r="CK45">
        <f>COUNTIFS($AC$3:$AC$39, $AC45, CK$3:CK$39,"X")</f>
        <v>0</v>
      </c>
      <c r="CL45">
        <f>COUNTIFS($AC$3:$AC$39, $AC45, CL$3:CL$39,"X")</f>
        <v>0</v>
      </c>
      <c r="CM45">
        <f>COUNTIFS($AC$3:$AC$39, $AC45, CM$3:CM$39,"X")</f>
        <v>0</v>
      </c>
      <c r="CN45">
        <f>COUNTIFS($AC$3:$AC$39, $AC45, CN$3:CN$39,"X")</f>
        <v>0</v>
      </c>
      <c r="CO45">
        <f>COUNTIFS($AC$3:$AC$39, $AC45, CO$3:CO$39,"X")</f>
        <v>0</v>
      </c>
      <c r="CP45">
        <f>COUNTIFS($AC$3:$AC$39, $AC45, CP$3:CP$39,"X")</f>
        <v>0</v>
      </c>
      <c r="CQ45">
        <f>COUNTIFS($AC$3:$AC$39, $AC45, CQ$3:CQ$39,"X")</f>
        <v>0</v>
      </c>
      <c r="CR45">
        <f>COUNTIFS($AC$3:$AC$39, $AC45, CR$3:CR$39,"X")</f>
        <v>0</v>
      </c>
      <c r="CS45">
        <f>COUNTIFS($AC$3:$AC$39, $AC45, CS$3:CS$39,"X")</f>
        <v>0</v>
      </c>
      <c r="CT45">
        <f>COUNTIFS($AC$3:$AC$39, $AC45, CT$3:CT$39,"X")</f>
        <v>0</v>
      </c>
      <c r="CU45">
        <f>COUNTIFS($AC$3:$AC$39, $AC45, CU$3:CU$39,"X")</f>
        <v>0</v>
      </c>
      <c r="CV45">
        <f>COUNTIFS($AC$3:$AC$39, $AC45, CV$3:CV$39,"X")</f>
        <v>0</v>
      </c>
      <c r="CW45">
        <f>COUNTIFS($AC$3:$AC$39, $AC45, CW$3:CW$39,"X")</f>
        <v>0</v>
      </c>
      <c r="CX45">
        <f>COUNTIFS($AC$3:$AC$39, $AC45, CX$3:CX$39,"X")</f>
        <v>0</v>
      </c>
      <c r="CY45">
        <f>COUNTIFS($AC$3:$AC$39, $AC45, CY$3:CY$39,"X")</f>
        <v>0</v>
      </c>
      <c r="CZ45">
        <f>COUNTIFS($AC$3:$AC$39, $AC45, CZ$3:CZ$39,"X")</f>
        <v>0</v>
      </c>
      <c r="DA45">
        <f>COUNTIFS($AC$3:$AC$39, $AC45, DA$3:DA$39,"X")</f>
        <v>0</v>
      </c>
      <c r="DB45">
        <f>COUNTIFS($AC$3:$AC$39, $AC45, DB$3:DB$39,"X")</f>
        <v>0</v>
      </c>
      <c r="DC45">
        <f>COUNTIFS($AC$3:$AC$39, $AC45, DC$3:DC$39,"X")</f>
        <v>0</v>
      </c>
      <c r="DD45">
        <f>COUNTIFS($AC$3:$AC$39, $AC45, DD$3:DD$39,"X")</f>
        <v>0</v>
      </c>
      <c r="DE45">
        <f>COUNTIFS($AC$3:$AC$39, $AC45, DE$3:DE$39,"X")</f>
        <v>0</v>
      </c>
      <c r="DF45">
        <f>COUNTIFS($AC$3:$AC$39, $AC45, DF$3:DF$39,"X")</f>
        <v>0</v>
      </c>
      <c r="DG45">
        <f>COUNTIFS($AC$3:$AC$39, $AC45, DG$3:DG$39,"X")</f>
        <v>0</v>
      </c>
      <c r="DH45">
        <f>COUNTIFS($AC$3:$AC$39, $AC45, DH$3:DH$39,"X")</f>
        <v>0</v>
      </c>
      <c r="DI45">
        <f>COUNTIFS($AC$3:$AC$39, $AC45, DI$3:DI$39,"X")</f>
        <v>0</v>
      </c>
      <c r="DJ45">
        <f>COUNTIFS($AC$3:$AC$39, $AC45, DJ$3:DJ$39,"X")</f>
        <v>0</v>
      </c>
      <c r="DK45">
        <f>COUNTIFS($AC$3:$AC$39, $AC45, DK$3:DK$39,"X")</f>
        <v>0</v>
      </c>
      <c r="DL45">
        <f>COUNTIFS($AC$3:$AC$39, $AC45, DL$3:DL$39,"X")</f>
        <v>0</v>
      </c>
      <c r="DM45">
        <f>COUNTIFS($AC$3:$AC$39, $AC45, DM$3:DM$39,"X")</f>
        <v>0</v>
      </c>
      <c r="DN45">
        <f>COUNTIFS($AC$3:$AC$39, $AC45, DN$3:DN$39,"X")</f>
        <v>0</v>
      </c>
      <c r="DO45">
        <f>COUNTIFS($AC$3:$AC$39, $AC45, DO$3:DO$39,"X")</f>
        <v>0</v>
      </c>
      <c r="DP45">
        <f>COUNTIFS($AC$3:$AC$39, $AC45, DP$3:DP$39,"X")</f>
        <v>0</v>
      </c>
      <c r="DQ45">
        <f>COUNTIFS($AC$3:$AC$39, $AC45, DQ$3:DQ$39,"X")</f>
        <v>0</v>
      </c>
      <c r="DR45">
        <f>COUNTIFS($AC$3:$AC$39, $AC45, DR$3:DR$39,"X")</f>
        <v>0</v>
      </c>
      <c r="DS45">
        <f>COUNTIFS($AC$3:$AC$39, $AC45, DS$3:DS$39,"X")</f>
        <v>0</v>
      </c>
      <c r="DT45">
        <f>SUMIFS($DT$3:$DT$39, $AC$3:$AC$39, AC45)</f>
        <v>113</v>
      </c>
    </row>
    <row r="46">
      <c r="AC46" t="str">
        <v>Team 5</v>
      </c>
      <c r="AF46">
        <f>COUNTIFS($AC$3:$AC$39, $AC46, AF$3:AF$39,"X")</f>
        <v>0</v>
      </c>
      <c r="AG46">
        <f>COUNTIFS($AC$3:$AC$39, $AC46, AG$3:AG$39,"X")</f>
        <v>0</v>
      </c>
      <c r="AH46">
        <f>COUNTIFS($AC$3:$AC$39, $AC46, AH$3:AH$39,"X")</f>
        <v>0</v>
      </c>
      <c r="AI46">
        <f>COUNTIFS($AC$3:$AC$39, $AC46, AI$3:AI$39,"X")</f>
        <v>1</v>
      </c>
      <c r="AJ46">
        <f>COUNTIFS($AC$3:$AC$39, $AC46, AJ$3:AJ$39,"X")</f>
        <v>1</v>
      </c>
      <c r="AK46">
        <f>COUNTIFS($AC$3:$AC$39, $AC46, AK$3:AK$39,"X")</f>
        <v>1</v>
      </c>
      <c r="AL46">
        <f>COUNTIFS($AC$3:$AC$39, $AC46, AL$3:AL$39,"X")</f>
        <v>1</v>
      </c>
      <c r="AM46">
        <f>COUNTIFS($AC$3:$AC$39, $AC46, AM$3:AM$39,"X")</f>
        <v>1</v>
      </c>
      <c r="AN46">
        <f>COUNTIFS($AC$3:$AC$39, $AC46, AN$3:AN$39,"X")</f>
        <v>0</v>
      </c>
      <c r="AO46">
        <f>COUNTIFS($AC$3:$AC$39, $AC46, AO$3:AO$39,"X")</f>
        <v>0</v>
      </c>
      <c r="AP46">
        <f>COUNTIFS($AC$3:$AC$39, $AC46, AP$3:AP$39,"X")</f>
        <v>1</v>
      </c>
      <c r="AQ46">
        <f>COUNTIFS($AC$3:$AC$39, $AC46, AQ$3:AQ$39,"X")</f>
        <v>1</v>
      </c>
      <c r="AR46">
        <f>COUNTIFS($AC$3:$AC$39, $AC46, AR$3:AR$39,"X")</f>
        <v>1</v>
      </c>
      <c r="AS46">
        <f>COUNTIFS($AC$3:$AC$39, $AC46, AS$3:AS$39,"X")</f>
        <v>1</v>
      </c>
      <c r="AT46">
        <f>COUNTIFS($AC$3:$AC$39, $AC46, AT$3:AT$39,"X")</f>
        <v>3</v>
      </c>
      <c r="AU46">
        <f>COUNTIFS($AC$3:$AC$39, $AC46, AU$3:AU$39,"X")</f>
        <v>0</v>
      </c>
      <c r="AV46">
        <f>COUNTIFS($AC$3:$AC$39, $AC46, AV$3:AV$39,"X")</f>
        <v>0</v>
      </c>
      <c r="AW46">
        <f>COUNTIFS($AC$3:$AC$39, $AC46, AW$3:AW$39,"X")</f>
        <v>3</v>
      </c>
      <c r="AX46">
        <f>COUNTIFS($AC$3:$AC$39, $AC46, AX$3:AX$39,"X")</f>
        <v>3</v>
      </c>
      <c r="AY46">
        <f>COUNTIFS($AC$3:$AC$39, $AC46, AY$3:AY$39,"X")</f>
        <v>3</v>
      </c>
      <c r="AZ46">
        <f>COUNTIFS($AC$3:$AC$39, $AC46, AZ$3:AZ$39,"X")</f>
        <v>3</v>
      </c>
      <c r="BA46">
        <f>COUNTIFS($AC$3:$AC$39, $AC46, BA$3:BA$39,"X")</f>
        <v>3</v>
      </c>
      <c r="BB46">
        <f>COUNTIFS($AC$3:$AC$39, $AC46, BB$3:BB$39,"X")</f>
        <v>0</v>
      </c>
      <c r="BC46">
        <f>COUNTIFS($AC$3:$AC$39, $AC46, BC$3:BC$39,"X")</f>
        <v>0</v>
      </c>
      <c r="BD46">
        <f>COUNTIFS($AC$3:$AC$39, $AC46, BD$3:BD$39,"X")</f>
        <v>3</v>
      </c>
      <c r="BE46">
        <f>COUNTIFS($AC$3:$AC$39, $AC46, BE$3:BE$39,"X")</f>
        <v>3</v>
      </c>
      <c r="BF46">
        <f>COUNTIFS($AC$3:$AC$39, $AC46, BF$3:BF$39,"X")</f>
        <v>3</v>
      </c>
      <c r="BG46">
        <f>COUNTIFS($AC$3:$AC$39, $AC46, BG$3:BG$39,"X")</f>
        <v>3</v>
      </c>
      <c r="BH46">
        <f>COUNTIFS($AC$3:$AC$39, $AC46, BH$3:BH$39,"X")</f>
        <v>3</v>
      </c>
      <c r="BI46">
        <f>COUNTIFS($AC$3:$AC$39, $AC46, BI$3:BI$39,"X")</f>
        <v>0</v>
      </c>
      <c r="BJ46">
        <f>COUNTIFS($AC$3:$AC$39, $AC46, BJ$3:BJ$39,"X")</f>
        <v>0</v>
      </c>
      <c r="BK46">
        <f>COUNTIFS($AC$3:$AC$39, $AC46, BK$3:BK$39,"X")</f>
        <v>1</v>
      </c>
      <c r="BL46">
        <f>COUNTIFS($AC$3:$AC$39, $AC46, BL$3:BL$39,"X")</f>
        <v>1</v>
      </c>
      <c r="BM46">
        <f>COUNTIFS($AC$3:$AC$39, $AC46, BM$3:BM$39,"X")</f>
        <v>1</v>
      </c>
      <c r="BN46">
        <f>COUNTIFS($AC$3:$AC$39, $AC46, BN$3:BN$39,"X")</f>
        <v>1</v>
      </c>
      <c r="BO46">
        <f>COUNTIFS($AC$3:$AC$39, $AC46, BO$3:BO$39,"X")</f>
        <v>1</v>
      </c>
      <c r="BP46">
        <f>COUNTIFS($AC$3:$AC$39, $AC46, BP$3:BP$39,"X")</f>
        <v>0</v>
      </c>
      <c r="BQ46">
        <f>COUNTIFS($AC$3:$AC$39, $AC46, BQ$3:BQ$39,"X")</f>
        <v>0</v>
      </c>
      <c r="BR46">
        <f>COUNTIFS($AC$3:$AC$39, $AC46, BR$3:BR$39,"X")</f>
        <v>1</v>
      </c>
      <c r="BS46">
        <f>COUNTIFS($AC$3:$AC$39, $AC46, BS$3:BS$39,"X")</f>
        <v>1</v>
      </c>
      <c r="BT46">
        <f>COUNTIFS($AC$3:$AC$39, $AC46, BT$3:BT$39,"X")</f>
        <v>1</v>
      </c>
      <c r="BU46">
        <f>COUNTIFS($AC$3:$AC$39, $AC46, BU$3:BU$39,"X")</f>
        <v>1</v>
      </c>
      <c r="BV46">
        <f>COUNTIFS($AC$3:$AC$39, $AC46, BV$3:BV$39,"X")</f>
        <v>1</v>
      </c>
      <c r="BW46">
        <f>COUNTIFS($AC$3:$AC$39, $AC46, BW$3:BW$39,"X")</f>
        <v>0</v>
      </c>
      <c r="BX46">
        <f>COUNTIFS($AC$3:$AC$39, $AC46, BX$3:BX$39,"X")</f>
        <v>0</v>
      </c>
      <c r="BY46">
        <f>COUNTIFS($AC$3:$AC$39, $AC46, BY$3:BY$39,"X")</f>
        <v>1</v>
      </c>
      <c r="BZ46">
        <f>COUNTIFS($AC$3:$AC$39, $AC46, BZ$3:BZ$39,"X")</f>
        <v>1</v>
      </c>
      <c r="CA46">
        <f>COUNTIFS($AC$3:$AC$39, $AC46, CA$3:CA$39,"X")</f>
        <v>1</v>
      </c>
      <c r="CB46">
        <f>COUNTIFS($AC$3:$AC$39, $AC46, CB$3:CB$39,"X")</f>
        <v>1</v>
      </c>
      <c r="CC46">
        <f>COUNTIFS($AC$3:$AC$39, $AC46, CC$3:CC$39,"X")</f>
        <v>1</v>
      </c>
      <c r="CD46">
        <f>COUNTIFS($AC$3:$AC$39, $AC46, CD$3:CD$39,"X")</f>
        <v>0</v>
      </c>
      <c r="CE46">
        <f>COUNTIFS($AC$3:$AC$39, $AC46, CE$3:CE$39,"X")</f>
        <v>0</v>
      </c>
      <c r="CF46">
        <f>COUNTIFS($AC$3:$AC$39, $AC46, CF$3:CF$39,"X")</f>
        <v>1</v>
      </c>
      <c r="CG46">
        <f>COUNTIFS($AC$3:$AC$39, $AC46, CG$3:CG$39,"X")</f>
        <v>1</v>
      </c>
      <c r="CH46">
        <f>COUNTIFS($AC$3:$AC$39, $AC46, CH$3:CH$39,"X")</f>
        <v>1</v>
      </c>
      <c r="CI46">
        <f>COUNTIFS($AC$3:$AC$39, $AC46, CI$3:CI$39,"X")</f>
        <v>1</v>
      </c>
      <c r="CJ46">
        <f>COUNTIFS($AC$3:$AC$39, $AC46, CJ$3:CJ$39,"X")</f>
        <v>1</v>
      </c>
      <c r="CK46">
        <f>COUNTIFS($AC$3:$AC$39, $AC46, CK$3:CK$39,"X")</f>
        <v>0</v>
      </c>
      <c r="CL46">
        <f>COUNTIFS($AC$3:$AC$39, $AC46, CL$3:CL$39,"X")</f>
        <v>0</v>
      </c>
      <c r="CM46">
        <f>COUNTIFS($AC$3:$AC$39, $AC46, CM$3:CM$39,"X")</f>
        <v>1</v>
      </c>
      <c r="CN46">
        <f>COUNTIFS($AC$3:$AC$39, $AC46, CN$3:CN$39,"X")</f>
        <v>1</v>
      </c>
      <c r="CO46">
        <f>COUNTIFS($AC$3:$AC$39, $AC46, CO$3:CO$39,"X")</f>
        <v>1</v>
      </c>
      <c r="CP46">
        <f>COUNTIFS($AC$3:$AC$39, $AC46, CP$3:CP$39,"X")</f>
        <v>1</v>
      </c>
      <c r="CQ46">
        <f>COUNTIFS($AC$3:$AC$39, $AC46, CQ$3:CQ$39,"X")</f>
        <v>1</v>
      </c>
      <c r="CR46">
        <f>COUNTIFS($AC$3:$AC$39, $AC46, CR$3:CR$39,"X")</f>
        <v>0</v>
      </c>
      <c r="CS46">
        <f>COUNTIFS($AC$3:$AC$39, $AC46, CS$3:CS$39,"X")</f>
        <v>0</v>
      </c>
      <c r="CT46">
        <f>COUNTIFS($AC$3:$AC$39, $AC46, CT$3:CT$39,"X")</f>
        <v>1</v>
      </c>
      <c r="CU46">
        <f>COUNTIFS($AC$3:$AC$39, $AC46, CU$3:CU$39,"X")</f>
        <v>1</v>
      </c>
      <c r="CV46">
        <f>COUNTIFS($AC$3:$AC$39, $AC46, CV$3:CV$39,"X")</f>
        <v>1</v>
      </c>
      <c r="CW46">
        <f>COUNTIFS($AC$3:$AC$39, $AC46, CW$3:CW$39,"X")</f>
        <v>1</v>
      </c>
      <c r="CX46">
        <f>COUNTIFS($AC$3:$AC$39, $AC46, CX$3:CX$39,"X")</f>
        <v>1</v>
      </c>
      <c r="CY46">
        <f>COUNTIFS($AC$3:$AC$39, $AC46, CY$3:CY$39,"X")</f>
        <v>0</v>
      </c>
      <c r="CZ46">
        <f>COUNTIFS($AC$3:$AC$39, $AC46, CZ$3:CZ$39,"X")</f>
        <v>0</v>
      </c>
      <c r="DA46">
        <f>COUNTIFS($AC$3:$AC$39, $AC46, DA$3:DA$39,"X")</f>
        <v>1</v>
      </c>
      <c r="DB46">
        <f>COUNTIFS($AC$3:$AC$39, $AC46, DB$3:DB$39,"X")</f>
        <v>1</v>
      </c>
      <c r="DC46">
        <f>COUNTIFS($AC$3:$AC$39, $AC46, DC$3:DC$39,"X")</f>
        <v>1</v>
      </c>
      <c r="DD46">
        <f>COUNTIFS($AC$3:$AC$39, $AC46, DD$3:DD$39,"X")</f>
        <v>1</v>
      </c>
      <c r="DE46">
        <f>COUNTIFS($AC$3:$AC$39, $AC46, DE$3:DE$39,"X")</f>
        <v>1</v>
      </c>
      <c r="DF46">
        <f>COUNTIFS($AC$3:$AC$39, $AC46, DF$3:DF$39,"X")</f>
        <v>0</v>
      </c>
      <c r="DG46">
        <f>COUNTIFS($AC$3:$AC$39, $AC46, DG$3:DG$39,"X")</f>
        <v>0</v>
      </c>
      <c r="DH46">
        <f>COUNTIFS($AC$3:$AC$39, $AC46, DH$3:DH$39,"X")</f>
        <v>1</v>
      </c>
      <c r="DI46">
        <f>COUNTIFS($AC$3:$AC$39, $AC46, DI$3:DI$39,"X")</f>
        <v>1</v>
      </c>
      <c r="DJ46">
        <f>COUNTIFS($AC$3:$AC$39, $AC46, DJ$3:DJ$39,"X")</f>
        <v>1</v>
      </c>
      <c r="DK46">
        <f>COUNTIFS($AC$3:$AC$39, $AC46, DK$3:DK$39,"X")</f>
        <v>1</v>
      </c>
      <c r="DL46">
        <f>COUNTIFS($AC$3:$AC$39, $AC46, DL$3:DL$39,"X")</f>
        <v>0</v>
      </c>
      <c r="DM46">
        <f>COUNTIFS($AC$3:$AC$39, $AC46, DM$3:DM$39,"X")</f>
        <v>0</v>
      </c>
      <c r="DN46">
        <f>COUNTIFS($AC$3:$AC$39, $AC46, DN$3:DN$39,"X")</f>
        <v>0</v>
      </c>
      <c r="DO46">
        <f>COUNTIFS($AC$3:$AC$39, $AC46, DO$3:DO$39,"X")</f>
        <v>0</v>
      </c>
      <c r="DP46">
        <f>COUNTIFS($AC$3:$AC$39, $AC46, DP$3:DP$39,"X")</f>
        <v>0</v>
      </c>
      <c r="DQ46">
        <f>COUNTIFS($AC$3:$AC$39, $AC46, DQ$3:DQ$39,"X")</f>
        <v>0</v>
      </c>
      <c r="DR46">
        <f>COUNTIFS($AC$3:$AC$39, $AC46, DR$3:DR$39,"X")</f>
        <v>0</v>
      </c>
      <c r="DS46">
        <f>COUNTIFS($AC$3:$AC$39, $AC46, DS$3:DS$39,"X")</f>
        <v>0</v>
      </c>
      <c r="DT46">
        <f>SUMIFS($DT$3:$DT$39, $AC$3:$AC$39, AC46)</f>
        <v>81</v>
      </c>
    </row>
    <row r="47">
      <c r="B47" t="str">
        <v>Sprint Dates</v>
      </c>
      <c r="D47" t="str">
        <v>Starts</v>
      </c>
      <c r="F47" t="str">
        <v>Ends</v>
      </c>
      <c r="AC47" t="str">
        <v>Total</v>
      </c>
      <c r="AF47">
        <f>SUM(AF42:AF46)</f>
        <v>0</v>
      </c>
      <c r="AG47">
        <f>SUM(AG42:AG46)</f>
        <v>0</v>
      </c>
      <c r="AH47">
        <f>SUM(AH42:AH46)</f>
        <v>0</v>
      </c>
      <c r="AI47">
        <f>SUM(AI42:AI46)</f>
        <v>3</v>
      </c>
      <c r="AJ47">
        <f>SUM(AJ42:AJ46)</f>
        <v>4</v>
      </c>
      <c r="AK47">
        <f>SUM(AK42:AK46)</f>
        <v>4</v>
      </c>
      <c r="AL47">
        <f>SUM(AL42:AL46)</f>
        <v>5</v>
      </c>
      <c r="AM47">
        <f>SUM(AM42:AM46)</f>
        <v>4</v>
      </c>
      <c r="AN47">
        <f>SUM(AN42:AN46)</f>
        <v>0</v>
      </c>
      <c r="AO47">
        <f>SUM(AO42:AO46)</f>
        <v>0</v>
      </c>
      <c r="AP47">
        <f>SUM(AP42:AP46)</f>
        <v>5</v>
      </c>
      <c r="AQ47">
        <f>SUM(AQ42:AQ46)</f>
        <v>5</v>
      </c>
      <c r="AR47">
        <f>SUM(AR42:AR46)</f>
        <v>5</v>
      </c>
      <c r="AS47">
        <f>SUM(AS42:AS46)</f>
        <v>5</v>
      </c>
      <c r="AT47">
        <f>SUM(AT42:AT46)</f>
        <v>9</v>
      </c>
      <c r="AU47">
        <f>SUM(AU42:AU46)</f>
        <v>0</v>
      </c>
      <c r="AV47">
        <f>SUM(AV42:AV46)</f>
        <v>0</v>
      </c>
      <c r="AW47">
        <f>SUM(AW42:AW46)</f>
        <v>9</v>
      </c>
      <c r="AX47">
        <f>SUM(AX42:AX46)</f>
        <v>9</v>
      </c>
      <c r="AY47">
        <f>SUM(AY42:AY46)</f>
        <v>9</v>
      </c>
      <c r="AZ47">
        <f>SUM(AZ42:AZ46)</f>
        <v>9</v>
      </c>
      <c r="BA47">
        <f>SUM(BA42:BA46)</f>
        <v>9</v>
      </c>
      <c r="BB47">
        <f>SUM(BB42:BB46)</f>
        <v>0</v>
      </c>
      <c r="BC47">
        <f>SUM(BC42:BC46)</f>
        <v>0</v>
      </c>
      <c r="BD47">
        <f>SUM(BD42:BD46)</f>
        <v>9</v>
      </c>
      <c r="BE47">
        <f>SUM(BE42:BE46)</f>
        <v>9</v>
      </c>
      <c r="BF47">
        <f>SUM(BF42:BF46)</f>
        <v>9</v>
      </c>
      <c r="BG47">
        <f>SUM(BG42:BG46)</f>
        <v>13</v>
      </c>
      <c r="BH47">
        <f>SUM(BH42:BH46)</f>
        <v>20</v>
      </c>
      <c r="BI47">
        <f>SUM(BI42:BI46)</f>
        <v>0</v>
      </c>
      <c r="BJ47">
        <f>SUM(BJ42:BJ46)</f>
        <v>0</v>
      </c>
      <c r="BK47">
        <f>SUM(BK42:BK46)</f>
        <v>14</v>
      </c>
      <c r="BL47">
        <f>SUM(BL42:BL46)</f>
        <v>14</v>
      </c>
      <c r="BM47">
        <f>SUM(BM42:BM46)</f>
        <v>14</v>
      </c>
      <c r="BN47">
        <f>SUM(BN42:BN46)</f>
        <v>14</v>
      </c>
      <c r="BO47">
        <f>SUM(BO42:BO46)</f>
        <v>14</v>
      </c>
      <c r="BP47">
        <f>SUM(BP42:BP46)</f>
        <v>0</v>
      </c>
      <c r="BQ47">
        <f>SUM(BQ42:BQ46)</f>
        <v>0</v>
      </c>
      <c r="BR47">
        <f>SUM(BR42:BR46)</f>
        <v>14</v>
      </c>
      <c r="BS47">
        <f>SUM(BS42:BS46)</f>
        <v>14</v>
      </c>
      <c r="BT47">
        <f>SUM(BT42:BT46)</f>
        <v>14</v>
      </c>
      <c r="BU47">
        <f>SUM(BU42:BU46)</f>
        <v>14</v>
      </c>
      <c r="BV47">
        <f>SUM(BV42:BV46)</f>
        <v>20</v>
      </c>
      <c r="BW47">
        <f>SUM(BW42:BW46)</f>
        <v>0</v>
      </c>
      <c r="BX47">
        <f>SUM(BX42:BX46)</f>
        <v>0</v>
      </c>
      <c r="BY47">
        <f>SUM(BY42:BY46)</f>
        <v>13</v>
      </c>
      <c r="BZ47">
        <f>SUM(BZ42:BZ46)</f>
        <v>13</v>
      </c>
      <c r="CA47">
        <f>SUM(CA42:CA46)</f>
        <v>13</v>
      </c>
      <c r="CB47">
        <f>SUM(CB42:CB46)</f>
        <v>13</v>
      </c>
      <c r="CC47">
        <f>SUM(CC42:CC46)</f>
        <v>13</v>
      </c>
      <c r="CD47">
        <f>SUM(CD42:CD46)</f>
        <v>0</v>
      </c>
      <c r="CE47">
        <f>SUM(CE42:CE46)</f>
        <v>0</v>
      </c>
      <c r="CF47">
        <f>SUM(CF42:CF46)</f>
        <v>13</v>
      </c>
      <c r="CG47">
        <f>SUM(CG42:CG46)</f>
        <v>13</v>
      </c>
      <c r="CH47">
        <f>SUM(CH42:CH46)</f>
        <v>9</v>
      </c>
      <c r="CI47">
        <f>SUM(CI42:CI46)</f>
        <v>9</v>
      </c>
      <c r="CJ47">
        <f>SUM(CJ42:CJ46)</f>
        <v>10</v>
      </c>
      <c r="CK47">
        <f>SUM(CK42:CK46)</f>
        <v>0</v>
      </c>
      <c r="CL47">
        <f>SUM(CL42:CL46)</f>
        <v>0</v>
      </c>
      <c r="CM47">
        <f>SUM(CM42:CM46)</f>
        <v>4</v>
      </c>
      <c r="CN47">
        <f>SUM(CN42:CN46)</f>
        <v>4</v>
      </c>
      <c r="CO47">
        <f>SUM(CO42:CO46)</f>
        <v>4</v>
      </c>
      <c r="CP47">
        <f>SUM(CP42:CP46)</f>
        <v>3</v>
      </c>
      <c r="CQ47">
        <f>SUM(CQ42:CQ46)</f>
        <v>3</v>
      </c>
      <c r="CR47">
        <f>SUM(CR42:CR46)</f>
        <v>0</v>
      </c>
      <c r="CS47">
        <f>SUM(CS42:CS46)</f>
        <v>0</v>
      </c>
      <c r="CT47">
        <f>SUM(CT42:CT46)</f>
        <v>3</v>
      </c>
      <c r="CU47">
        <f>SUM(CU42:CU46)</f>
        <v>3</v>
      </c>
      <c r="CV47">
        <f>SUM(CV42:CV46)</f>
        <v>3</v>
      </c>
      <c r="CW47">
        <f>SUM(CW42:CW46)</f>
        <v>3</v>
      </c>
      <c r="CX47">
        <f>SUM(CX42:CX46)</f>
        <v>1</v>
      </c>
      <c r="CY47">
        <f>SUM(CY42:CY46)</f>
        <v>0</v>
      </c>
      <c r="CZ47">
        <f>SUM(CZ42:CZ46)</f>
        <v>0</v>
      </c>
      <c r="DA47">
        <f>SUM(DA42:DA46)</f>
        <v>1</v>
      </c>
      <c r="DB47">
        <f>SUM(DB42:DB46)</f>
        <v>1</v>
      </c>
      <c r="DC47">
        <f>SUM(DC42:DC46)</f>
        <v>1</v>
      </c>
      <c r="DD47">
        <f>SUM(DD42:DD46)</f>
        <v>1</v>
      </c>
      <c r="DE47">
        <f>SUM(DE42:DE46)</f>
        <v>1</v>
      </c>
      <c r="DF47">
        <f>SUM(DF42:DF46)</f>
        <v>0</v>
      </c>
      <c r="DG47">
        <f>SUM(DG42:DG46)</f>
        <v>0</v>
      </c>
      <c r="DH47">
        <f>SUM(DH42:DH46)</f>
        <v>1</v>
      </c>
      <c r="DI47">
        <f>SUM(DI42:DI46)</f>
        <v>1</v>
      </c>
      <c r="DJ47">
        <f>SUM(DJ42:DJ46)</f>
        <v>1</v>
      </c>
      <c r="DK47">
        <f>SUM(DK42:DK46)</f>
        <v>1</v>
      </c>
      <c r="DL47">
        <f>SUM(DL42:DL46)</f>
        <v>0</v>
      </c>
      <c r="DM47">
        <f>SUM(DM42:DM46)</f>
        <v>0</v>
      </c>
      <c r="DN47">
        <f>SUM(DN42:DN46)</f>
        <v>0</v>
      </c>
      <c r="DO47">
        <f>SUM(DO42:DO46)</f>
        <v>0</v>
      </c>
      <c r="DP47">
        <f>SUM(DP42:DP46)</f>
        <v>0</v>
      </c>
      <c r="DQ47">
        <f>SUM(DQ42:DQ46)</f>
        <v>0</v>
      </c>
      <c r="DR47">
        <f>SUM(DR42:DR46)</f>
        <v>0</v>
      </c>
      <c r="DS47">
        <f>SUM(DS42:DS46)</f>
        <v>0</v>
      </c>
    </row>
    <row r="48">
      <c r="B48" t="str">
        <v>Sprint 35</v>
      </c>
      <c r="D48" t="str">
        <v>19/01/26</v>
      </c>
      <c r="F48" t="str">
        <v>02/02/26</v>
      </c>
    </row>
    <row r="49">
      <c r="B49" t="str">
        <v>Sprint 36</v>
      </c>
      <c r="D49" t="str">
        <v>02/02/26</v>
      </c>
      <c r="F49" t="str">
        <v>16/02/26</v>
      </c>
    </row>
    <row r="50">
      <c r="B50" t="str">
        <v>Sprint 37</v>
      </c>
      <c r="D50" t="str">
        <v>16/02/26</v>
      </c>
      <c r="F50" t="str">
        <v>02/03/26</v>
      </c>
    </row>
    <row r="51">
      <c r="B51" t="str">
        <v>Sprint 38</v>
      </c>
      <c r="D51" t="str">
        <v>02/03/26</v>
      </c>
      <c r="F51" t="str">
        <v>16/03/26</v>
      </c>
    </row>
    <row r="52">
      <c r="B52" t="str">
        <v>Sprint 39</v>
      </c>
      <c r="D52" t="str">
        <v>16/03/26</v>
      </c>
      <c r="F52" t="str">
        <v>27/03/26</v>
      </c>
    </row>
  </sheetData>
  <autoFilter ref="B2:DT40"/>
  <mergeCells count="1">
    <mergeCell ref="F1:K1"/>
  </mergeCells>
  <pageMargins left="0.7" right="0.7" top="0.75" bottom="0.75" header="0.3" footer="0.3"/>
  <ignoredErrors>
    <ignoredError numberStoredAsText="1" sqref="A1:DT1015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31"/>
  <sheetViews>
    <sheetView workbookViewId="0" rightToLeft="0"/>
  </sheetViews>
  <sheetData>
    <row r="1">
      <c r="A1" t="str">
        <v>Gate</v>
      </c>
      <c r="B1" t="str">
        <v>Owner</v>
      </c>
      <c r="C1" t="str">
        <v>Rationale</v>
      </c>
      <c r="D1" t="str">
        <v>Pass Criteria</v>
      </c>
      <c r="E1" t="str">
        <v>sheet-col</v>
      </c>
      <c r="F1" t="str">
        <v>Carbon Resource Library</v>
      </c>
      <c r="G1" t="str">
        <v>Carbon Item Library</v>
      </c>
      <c r="H1" t="str">
        <v>Import / Export</v>
      </c>
      <c r="I1" t="str">
        <v>IFT - Dynamic Library</v>
      </c>
      <c r="J1" t="str">
        <v>IFT - Project Specific Library</v>
      </c>
      <c r="K1" t="str">
        <v>Calculators/Cost Models (Chapter 10)</v>
      </c>
      <c r="L1" t="str">
        <v>System Access</v>
      </c>
      <c r="M1" t="str">
        <v>Audit Log</v>
      </c>
      <c r="N1" t="str">
        <v>Custom Field Filtering</v>
      </c>
      <c r="O1" t="str">
        <v>---</v>
      </c>
      <c r="P1" t="str">
        <v>WBS Tags and Custom Fields</v>
      </c>
      <c r="Q1" t="str">
        <v>Reporting Foundation Admin</v>
      </c>
      <c r="R1" t="str">
        <v>---</v>
      </c>
      <c r="S1" t="str">
        <v>WBS Carbon &amp; Calc</v>
      </c>
      <c r="T1" t="str">
        <v>EPD</v>
      </c>
      <c r="U1" t="str">
        <v>Cost to Carbon Library</v>
      </c>
      <c r="V1" t="str">
        <v>Auto-Allocate</v>
      </c>
      <c r="W1" t="str">
        <v>LTA - Epic 1/2 - RfE + Shell (Entry Point)</v>
      </c>
      <c r="X1" t="str">
        <v>LTA - Epic 5  Annual Profiling</v>
      </c>
      <c r="Y1" t="str">
        <v>Comparator</v>
      </c>
      <c r="Z1" t="str">
        <v>Carbon Reports</v>
      </c>
      <c r="AA1" t="str">
        <v>Portfolio/Programme Risk (Risk Profile)</v>
      </c>
      <c r="AB1" t="str">
        <v>Star Rates</v>
      </c>
      <c r="AC1" t="str">
        <v>Inflation</v>
      </c>
      <c r="AD1" t="str">
        <v>CCESS</v>
      </c>
      <c r="AE1" t="str">
        <v>---</v>
      </c>
      <c r="AF1" t="str">
        <v>LTA - Epic 3 - Asset Library</v>
      </c>
      <c r="AG1" t="str">
        <v>LTA - Epic 4/6 - Data Entry &amp; WBS</v>
      </c>
      <c r="AH1" t="str">
        <v>Estimate Workflow (Reviewal, Approval, Issuing)</v>
      </c>
      <c r="AI1" t="str">
        <v>Portfolio/Programme Risk (Remaining)</v>
      </c>
      <c r="AJ1" t="str">
        <v>TPE (Input Screen) (1)</v>
      </c>
      <c r="AK1" t="str">
        <v>TPE (Simulation Eng + Worksheet)</v>
      </c>
      <c r="AL1" t="str">
        <v>TPE (Schedule/Risk) (3)</v>
      </c>
      <c r="AM1" t="str">
        <v>Contractor Fee Library</v>
      </c>
      <c r="AN1" t="str">
        <v>AR and O&amp;M fixed reports</v>
      </c>
      <c r="AO1" t="str">
        <v>---</v>
      </c>
      <c r="AP1" t="str">
        <v>Scenario Analysis (Chapter 7)</v>
      </c>
      <c r="AQ1" t="str">
        <v>TPE (Inflation) (6)</v>
      </c>
      <c r="AR1" t="str">
        <v>Dashboards (Power BI)</v>
      </c>
      <c r="AS1" t="str">
        <v>---</v>
      </c>
      <c r="AT1" t="str">
        <v>TPE (Output) (7)</v>
      </c>
      <c r="AU1" t="str">
        <v>---</v>
      </c>
      <c r="AV1" t="str">
        <v>TPE (Output) (8)</v>
      </c>
    </row>
    <row r="2">
      <c r="A2" t="str">
        <v>SCOPE REFINEMENT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>
      <c r="A3" t="str">
        <v>1. Individual PRDs Drafted</v>
      </c>
      <c r="B3" t="str">
        <v>Minas</v>
      </c>
      <c r="C3" t="str">
        <v>Ensures scope and requirements are explicit before design and build begin, avoiding downstream rework and ambiguity.</v>
      </c>
      <c r="D3" t="str">
        <v/>
      </c>
      <c r="E3" t="str">
        <v>F</v>
      </c>
      <c r="F3" t="str">
        <v>2025-12-24</v>
      </c>
      <c r="G3" t="str">
        <v>2025-12-24</v>
      </c>
      <c r="H3" t="str">
        <v>2025-12-24</v>
      </c>
      <c r="I3" t="str">
        <v xml:space="preserve">Fri 12 Dec 2025 </v>
      </c>
      <c r="J3" t="str">
        <v xml:space="preserve">Fri 12 Dec 2025 </v>
      </c>
      <c r="K3" t="str">
        <v>Thu 18 Dec 2025</v>
      </c>
      <c r="L3" t="str">
        <v>2026-01-09</v>
      </c>
      <c r="M3" t="str">
        <v>Done</v>
      </c>
      <c r="N3" t="str">
        <v>Done</v>
      </c>
      <c r="O3" t="str">
        <v/>
      </c>
      <c r="P3" t="str">
        <v>Done</v>
      </c>
      <c r="Q3" t="str">
        <v>Done</v>
      </c>
      <c r="R3" t="str">
        <v/>
      </c>
      <c r="S3" t="str">
        <v>2025-12-24</v>
      </c>
      <c r="T3" t="str">
        <v>2025-12-24</v>
      </c>
      <c r="U3" t="str">
        <v>2025-12-24</v>
      </c>
      <c r="V3" t="str">
        <v>2025-12-24</v>
      </c>
      <c r="W3" t="str">
        <v xml:space="preserve">Fri 12 Dec 2025 </v>
      </c>
      <c r="X3" t="str">
        <v xml:space="preserve">Fri 12 Dec 2025 </v>
      </c>
      <c r="Y3" t="str">
        <v xml:space="preserve">Fri 12 Dec 2025 </v>
      </c>
      <c r="Z3" t="str">
        <v>2026-01-09</v>
      </c>
      <c r="AA3" t="str">
        <v>Fri 12 Dec 2025</v>
      </c>
      <c r="AB3" t="str">
        <v>2026-02-06</v>
      </c>
      <c r="AC3" t="str">
        <v>Done</v>
      </c>
      <c r="AD3" t="str">
        <v>Done</v>
      </c>
      <c r="AE3" t="str">
        <v/>
      </c>
      <c r="AF3" t="str">
        <v xml:space="preserve">Fri 12 Dec 2025 </v>
      </c>
      <c r="AG3" t="str">
        <v xml:space="preserve">Fri 12 Dec 2025 </v>
      </c>
      <c r="AH3" t="str">
        <v>Fri 12 Dec 2025</v>
      </c>
      <c r="AI3" t="str">
        <v>Fri 12 Dec 2025</v>
      </c>
      <c r="AJ3" t="str">
        <v>2026-02-16</v>
      </c>
      <c r="AK3" t="str">
        <v>2026-02-18</v>
      </c>
      <c r="AL3" t="str">
        <v>2026-02-20</v>
      </c>
      <c r="AM3" t="str">
        <v>2026-02-13</v>
      </c>
      <c r="AN3" t="str">
        <v>Done</v>
      </c>
      <c r="AO3" t="str">
        <v/>
      </c>
      <c r="AP3" t="str">
        <v>2026-01-23</v>
      </c>
      <c r="AQ3" t="str">
        <v>2026-02-25</v>
      </c>
      <c r="AR3" t="str">
        <v>2026-01-09</v>
      </c>
      <c r="AS3" t="str">
        <v/>
      </c>
      <c r="AT3" t="str">
        <v>2026-02-27</v>
      </c>
      <c r="AU3" t="str">
        <v/>
      </c>
      <c r="AV3" t="str">
        <v>2026-02-27</v>
      </c>
    </row>
    <row r="4">
      <c r="A4" t="str">
        <v/>
      </c>
      <c r="B4" t="str">
        <v/>
      </c>
      <c r="C4" t="str">
        <v/>
      </c>
      <c r="D4" t="str">
        <v>• PRDs drafted for each of the MVP epics</v>
      </c>
      <c r="E4" t="str">
        <v>F</v>
      </c>
      <c r="F4" t="str">
        <v>2025-12-24</v>
      </c>
      <c r="G4" t="str">
        <v>2025-12-24</v>
      </c>
      <c r="H4" t="str">
        <v>2025-12-24</v>
      </c>
      <c r="I4" t="str">
        <v xml:space="preserve">Fri 12 Dec 2025 </v>
      </c>
      <c r="J4" t="str">
        <v xml:space="preserve">Fri 12 Dec 2025 </v>
      </c>
      <c r="K4" t="str">
        <v>Thu 18 Dec 2025</v>
      </c>
      <c r="L4" t="str">
        <v>2026-01-09</v>
      </c>
      <c r="M4" t="str">
        <v>Done</v>
      </c>
      <c r="N4" t="str">
        <v>Done</v>
      </c>
      <c r="O4" t="str">
        <v/>
      </c>
      <c r="P4" t="str">
        <v>Done</v>
      </c>
      <c r="Q4" t="str">
        <v>Done</v>
      </c>
      <c r="R4" t="str">
        <v/>
      </c>
      <c r="S4" t="str">
        <v>2025-12-24</v>
      </c>
      <c r="T4" t="str">
        <v>2025-12-24</v>
      </c>
      <c r="U4" t="str">
        <v>2025-12-24</v>
      </c>
      <c r="V4" t="str">
        <v>2025-12-24</v>
      </c>
      <c r="W4" t="str">
        <v xml:space="preserve">Fri 12 Dec 2025 </v>
      </c>
      <c r="X4" t="str">
        <v xml:space="preserve">Fri 12 Dec 2025 </v>
      </c>
      <c r="Y4" t="str">
        <v xml:space="preserve">Fri 12 Dec 2025 </v>
      </c>
      <c r="Z4" t="str">
        <v>2026-01-09</v>
      </c>
      <c r="AA4" t="str">
        <v>Fri 12 Dec 2025</v>
      </c>
      <c r="AB4" t="str">
        <v>2026-02-06</v>
      </c>
      <c r="AC4" t="str">
        <v>Done</v>
      </c>
      <c r="AD4" t="str">
        <v>Done</v>
      </c>
      <c r="AE4" t="str">
        <v/>
      </c>
      <c r="AF4" t="str">
        <v xml:space="preserve">Fri 12 Dec 2025 </v>
      </c>
      <c r="AG4" t="str">
        <v xml:space="preserve">Fri 12 Dec 2025 </v>
      </c>
      <c r="AH4" t="str">
        <v>Fri 12 Dec 2025</v>
      </c>
      <c r="AI4" t="str">
        <v>Fri 12 Dec 2025</v>
      </c>
      <c r="AJ4" t="str">
        <v>2026-02-16</v>
      </c>
      <c r="AK4" t="str">
        <v>2026-02-18</v>
      </c>
      <c r="AL4" t="str">
        <v>2026-02-20</v>
      </c>
      <c r="AM4" t="str">
        <v>2026-02-13</v>
      </c>
      <c r="AN4" t="str">
        <v>Done</v>
      </c>
      <c r="AO4" t="str">
        <v/>
      </c>
      <c r="AP4" t="str">
        <v>2026-01-23</v>
      </c>
      <c r="AQ4" t="str">
        <v>2026-02-25</v>
      </c>
      <c r="AR4" t="str">
        <v>2026-01-09</v>
      </c>
      <c r="AS4" t="str">
        <v/>
      </c>
      <c r="AT4" t="str">
        <v>2026-02-27</v>
      </c>
      <c r="AU4" t="str">
        <v/>
      </c>
      <c r="AV4" t="str">
        <v>2026-02-27</v>
      </c>
    </row>
    <row r="5">
      <c r="A5" t="str">
        <v/>
      </c>
      <c r="B5" t="str">
        <v/>
      </c>
      <c r="C5" t="str">
        <v/>
      </c>
      <c r="D5" t="str">
        <v>• Functional requirements prioritised (Must / Should / Deferred)</v>
      </c>
      <c r="E5" t="str">
        <v>F</v>
      </c>
      <c r="F5" t="str">
        <v>2025-12-24</v>
      </c>
      <c r="G5" t="str">
        <v>2025-12-24</v>
      </c>
      <c r="H5" t="str">
        <v>2025-12-24</v>
      </c>
      <c r="I5" t="str">
        <v xml:space="preserve">Fri 12 Dec 2025 </v>
      </c>
      <c r="J5" t="str">
        <v xml:space="preserve">Fri 12 Dec 2025 </v>
      </c>
      <c r="K5" t="str">
        <v>Thu 18 Dec 2025</v>
      </c>
      <c r="L5" t="str">
        <v>2026-01-09</v>
      </c>
      <c r="M5" t="str">
        <v>Done</v>
      </c>
      <c r="N5" t="str">
        <v>Done</v>
      </c>
      <c r="O5" t="str">
        <v/>
      </c>
      <c r="P5" t="str">
        <v>Done</v>
      </c>
      <c r="Q5" t="str">
        <v>Done</v>
      </c>
      <c r="R5" t="str">
        <v/>
      </c>
      <c r="S5" t="str">
        <v>2025-12-24</v>
      </c>
      <c r="T5" t="str">
        <v>2025-12-24</v>
      </c>
      <c r="U5" t="str">
        <v>2025-12-24</v>
      </c>
      <c r="V5" t="str">
        <v>2025-12-24</v>
      </c>
      <c r="W5" t="str">
        <v xml:space="preserve">Fri 12 Dec 2025 </v>
      </c>
      <c r="X5" t="str">
        <v xml:space="preserve">Fri 12 Dec 2025 </v>
      </c>
      <c r="Y5" t="str">
        <v xml:space="preserve">Fri 12 Dec 2025 </v>
      </c>
      <c r="Z5" t="str">
        <v>2026-01-09</v>
      </c>
      <c r="AA5" t="str">
        <v>Fri 12 Dec 2025</v>
      </c>
      <c r="AB5" t="str">
        <v>2026-02-06</v>
      </c>
      <c r="AC5" t="str">
        <v>Done</v>
      </c>
      <c r="AD5" t="str">
        <v>Done</v>
      </c>
      <c r="AE5" t="str">
        <v/>
      </c>
      <c r="AF5" t="str">
        <v xml:space="preserve">Fri 12 Dec 2025 </v>
      </c>
      <c r="AG5" t="str">
        <v xml:space="preserve">Fri 12 Dec 2025 </v>
      </c>
      <c r="AH5" t="str">
        <v>Fri 12 Dec 2025</v>
      </c>
      <c r="AI5" t="str">
        <v>Fri 12 Dec 2025</v>
      </c>
      <c r="AJ5" t="str">
        <v>2026-02-16</v>
      </c>
      <c r="AK5" t="str">
        <v>2026-02-18</v>
      </c>
      <c r="AL5" t="str">
        <v>2026-02-20</v>
      </c>
      <c r="AM5" t="str">
        <v>2026-02-13</v>
      </c>
      <c r="AN5" t="str">
        <v>Done</v>
      </c>
      <c r="AO5" t="str">
        <v/>
      </c>
      <c r="AP5" t="str">
        <v>2026-01-23</v>
      </c>
      <c r="AQ5" t="str">
        <v>2026-02-25</v>
      </c>
      <c r="AR5" t="str">
        <v>2026-01-09</v>
      </c>
      <c r="AS5" t="str">
        <v/>
      </c>
      <c r="AT5" t="str">
        <v>2026-02-27</v>
      </c>
      <c r="AU5" t="str">
        <v/>
      </c>
      <c r="AV5" t="str">
        <v>2026-02-27</v>
      </c>
    </row>
    <row r="6">
      <c r="A6" t="str">
        <v/>
      </c>
      <c r="B6" t="str">
        <v/>
      </c>
      <c r="C6" t="str">
        <v/>
      </c>
      <c r="D6" t="str">
        <v>• In-scope vs out-of-scope clearly defined</v>
      </c>
      <c r="E6" t="str">
        <v>F</v>
      </c>
      <c r="F6" t="str">
        <v>2025-12-24</v>
      </c>
      <c r="G6" t="str">
        <v>2025-12-24</v>
      </c>
      <c r="H6" t="str">
        <v>2025-12-24</v>
      </c>
      <c r="I6" t="str">
        <v xml:space="preserve">Fri 12 Dec 2025 </v>
      </c>
      <c r="J6" t="str">
        <v xml:space="preserve">Fri 12 Dec 2025 </v>
      </c>
      <c r="K6" t="str">
        <v>Thu 18 Dec 2025</v>
      </c>
      <c r="L6" t="str">
        <v>2026-01-09</v>
      </c>
      <c r="M6" t="str">
        <v>Done</v>
      </c>
      <c r="N6" t="str">
        <v>Done</v>
      </c>
      <c r="O6" t="str">
        <v/>
      </c>
      <c r="P6" t="str">
        <v>Done</v>
      </c>
      <c r="Q6" t="str">
        <v>Done</v>
      </c>
      <c r="R6" t="str">
        <v/>
      </c>
      <c r="S6" t="str">
        <v>2025-12-24</v>
      </c>
      <c r="T6" t="str">
        <v>2025-12-24</v>
      </c>
      <c r="U6" t="str">
        <v>2025-12-24</v>
      </c>
      <c r="V6" t="str">
        <v>2025-12-24</v>
      </c>
      <c r="W6" t="str">
        <v xml:space="preserve">Fri 12 Dec 2025 </v>
      </c>
      <c r="X6" t="str">
        <v xml:space="preserve">Fri 12 Dec 2025 </v>
      </c>
      <c r="Y6" t="str">
        <v xml:space="preserve">Fri 12 Dec 2025 </v>
      </c>
      <c r="Z6" t="str">
        <v>2026-01-09</v>
      </c>
      <c r="AA6" t="str">
        <v>Fri 12 Dec 2025</v>
      </c>
      <c r="AB6" t="str">
        <v>2026-02-06</v>
      </c>
      <c r="AC6" t="str">
        <v>Done</v>
      </c>
      <c r="AD6" t="str">
        <v>Done</v>
      </c>
      <c r="AE6" t="str">
        <v/>
      </c>
      <c r="AF6" t="str">
        <v xml:space="preserve">Fri 12 Dec 2025 </v>
      </c>
      <c r="AG6" t="str">
        <v xml:space="preserve">Fri 12 Dec 2025 </v>
      </c>
      <c r="AH6" t="str">
        <v>Fri 12 Dec 2025</v>
      </c>
      <c r="AI6" t="str">
        <v>Fri 12 Dec 2025</v>
      </c>
      <c r="AJ6" t="str">
        <v>2026-02-16</v>
      </c>
      <c r="AK6" t="str">
        <v>2026-02-18</v>
      </c>
      <c r="AL6" t="str">
        <v>2026-02-20</v>
      </c>
      <c r="AM6" t="str">
        <v>2026-02-13</v>
      </c>
      <c r="AN6" t="str">
        <v>Done</v>
      </c>
      <c r="AO6" t="str">
        <v/>
      </c>
      <c r="AP6" t="str">
        <v>2026-01-23</v>
      </c>
      <c r="AQ6" t="str">
        <v>2026-02-25</v>
      </c>
      <c r="AR6" t="str">
        <v>2026-01-09</v>
      </c>
      <c r="AS6" t="str">
        <v/>
      </c>
      <c r="AT6" t="str">
        <v>2026-02-27</v>
      </c>
      <c r="AU6" t="str">
        <v/>
      </c>
      <c r="AV6" t="str">
        <v>2026-02-27</v>
      </c>
    </row>
    <row r="7">
      <c r="A7" t="str">
        <v/>
      </c>
      <c r="B7" t="str">
        <v/>
      </c>
      <c r="C7" t="str">
        <v/>
      </c>
      <c r="D7" t="str">
        <v>• Dependencies and assumptions explicitly documented</v>
      </c>
      <c r="E7" t="str">
        <v>F</v>
      </c>
      <c r="F7" t="str">
        <v>2025-12-24</v>
      </c>
      <c r="G7" t="str">
        <v>2025-12-24</v>
      </c>
      <c r="H7" t="str">
        <v>2025-12-24</v>
      </c>
      <c r="I7" t="str">
        <v xml:space="preserve">Fri 12 Dec 2025 </v>
      </c>
      <c r="J7" t="str">
        <v xml:space="preserve">Fri 12 Dec 2025 </v>
      </c>
      <c r="K7" t="str">
        <v>Thu 18 Dec 2025</v>
      </c>
      <c r="L7" t="str">
        <v>2026-01-09</v>
      </c>
      <c r="M7" t="str">
        <v>Done</v>
      </c>
      <c r="N7" t="str">
        <v>Done</v>
      </c>
      <c r="O7" t="str">
        <v/>
      </c>
      <c r="P7" t="str">
        <v>Done</v>
      </c>
      <c r="Q7" t="str">
        <v>Done</v>
      </c>
      <c r="R7" t="str">
        <v/>
      </c>
      <c r="S7" t="str">
        <v>2025-12-24</v>
      </c>
      <c r="T7" t="str">
        <v>2025-12-24</v>
      </c>
      <c r="U7" t="str">
        <v>2025-12-24</v>
      </c>
      <c r="V7" t="str">
        <v>2025-12-24</v>
      </c>
      <c r="W7" t="str">
        <v xml:space="preserve">Fri 12 Dec 2025 </v>
      </c>
      <c r="X7" t="str">
        <v xml:space="preserve">Fri 12 Dec 2025 </v>
      </c>
      <c r="Y7" t="str">
        <v xml:space="preserve">Fri 12 Dec 2025 </v>
      </c>
      <c r="Z7" t="str">
        <v>2026-01-09</v>
      </c>
      <c r="AA7" t="str">
        <v>Fri 12 Dec 2025</v>
      </c>
      <c r="AB7" t="str">
        <v>2026-02-06</v>
      </c>
      <c r="AC7" t="str">
        <v>Done</v>
      </c>
      <c r="AD7" t="str">
        <v>Done</v>
      </c>
      <c r="AE7" t="str">
        <v/>
      </c>
      <c r="AF7" t="str">
        <v xml:space="preserve">Fri 12 Dec 2025 </v>
      </c>
      <c r="AG7" t="str">
        <v xml:space="preserve">Fri 12 Dec 2025 </v>
      </c>
      <c r="AH7" t="str">
        <v>Fri 12 Dec 2025</v>
      </c>
      <c r="AI7" t="str">
        <v>Fri 12 Dec 2025</v>
      </c>
      <c r="AJ7" t="str">
        <v>2026-02-16</v>
      </c>
      <c r="AK7" t="str">
        <v>2026-02-18</v>
      </c>
      <c r="AL7" t="str">
        <v>2026-02-20</v>
      </c>
      <c r="AM7" t="str">
        <v>2026-02-13</v>
      </c>
      <c r="AN7" t="str">
        <v>Done</v>
      </c>
      <c r="AO7" t="str">
        <v/>
      </c>
      <c r="AP7" t="str">
        <v>2026-01-23</v>
      </c>
      <c r="AQ7" t="str">
        <v>2026-02-25</v>
      </c>
      <c r="AR7" t="str">
        <v>2026-01-09</v>
      </c>
      <c r="AS7" t="str">
        <v/>
      </c>
      <c r="AT7" t="str">
        <v>2026-02-27</v>
      </c>
      <c r="AU7" t="str">
        <v/>
      </c>
      <c r="AV7" t="str">
        <v>2026-02-27</v>
      </c>
    </row>
    <row r="8">
      <c r="A8" t="str">
        <v/>
      </c>
      <c r="B8" t="str">
        <v/>
      </c>
      <c r="C8" t="str">
        <v/>
      </c>
      <c r="D8" t="str">
        <v xml:space="preserve">• Dates associated with each of the following Gates are confirmed and committed </v>
      </c>
      <c r="E8" t="str">
        <v>F</v>
      </c>
      <c r="F8" t="str">
        <v>2025-12-24</v>
      </c>
      <c r="G8" t="str">
        <v>2025-12-24</v>
      </c>
      <c r="H8" t="str">
        <v>2025-12-24</v>
      </c>
      <c r="I8" t="str">
        <v xml:space="preserve">Fri 12 Dec 2025 </v>
      </c>
      <c r="J8" t="str">
        <v xml:space="preserve">Fri 12 Dec 2025 </v>
      </c>
      <c r="K8" t="str">
        <v>Thu 18 Dec 2025</v>
      </c>
      <c r="L8" t="str">
        <v>2026-01-09</v>
      </c>
      <c r="M8" t="str">
        <v>Done</v>
      </c>
      <c r="N8" t="str">
        <v>Done</v>
      </c>
      <c r="O8" t="str">
        <v/>
      </c>
      <c r="P8" t="str">
        <v>Done</v>
      </c>
      <c r="Q8" t="str">
        <v>Done</v>
      </c>
      <c r="R8" t="str">
        <v/>
      </c>
      <c r="S8" t="str">
        <v>2025-12-24</v>
      </c>
      <c r="T8" t="str">
        <v>2025-12-24</v>
      </c>
      <c r="U8" t="str">
        <v>2025-12-24</v>
      </c>
      <c r="V8" t="str">
        <v>2025-12-24</v>
      </c>
      <c r="W8" t="str">
        <v xml:space="preserve">Fri 12 Dec 2025 </v>
      </c>
      <c r="X8" t="str">
        <v xml:space="preserve">Fri 12 Dec 2025 </v>
      </c>
      <c r="Y8" t="str">
        <v xml:space="preserve">Fri 12 Dec 2025 </v>
      </c>
      <c r="Z8" t="str">
        <v>2026-01-09</v>
      </c>
      <c r="AA8" t="str">
        <v>Fri 12 Dec 2025</v>
      </c>
      <c r="AB8" t="str">
        <v>2026-02-06</v>
      </c>
      <c r="AC8" t="str">
        <v>Done</v>
      </c>
      <c r="AD8" t="str">
        <v>Done</v>
      </c>
      <c r="AE8" t="str">
        <v/>
      </c>
      <c r="AF8" t="str">
        <v xml:space="preserve">Fri 12 Dec 2025 </v>
      </c>
      <c r="AG8" t="str">
        <v xml:space="preserve">Fri 12 Dec 2025 </v>
      </c>
      <c r="AH8" t="str">
        <v>Fri 12 Dec 2025</v>
      </c>
      <c r="AI8" t="str">
        <v>Fri 12 Dec 2025</v>
      </c>
      <c r="AJ8" t="str">
        <v>2026-02-16</v>
      </c>
      <c r="AK8" t="str">
        <v>2026-02-18</v>
      </c>
      <c r="AL8" t="str">
        <v>2026-02-20</v>
      </c>
      <c r="AM8" t="str">
        <v>2026-02-13</v>
      </c>
      <c r="AN8" t="str">
        <v>Done</v>
      </c>
      <c r="AO8" t="str">
        <v/>
      </c>
      <c r="AP8" t="str">
        <v>2026-01-23</v>
      </c>
      <c r="AQ8" t="str">
        <v>2026-02-25</v>
      </c>
      <c r="AR8" t="str">
        <v>2026-01-09</v>
      </c>
      <c r="AS8" t="str">
        <v/>
      </c>
      <c r="AT8" t="str">
        <v>2026-02-27</v>
      </c>
      <c r="AU8" t="str">
        <v/>
      </c>
      <c r="AV8" t="str">
        <v>2026-02-27</v>
      </c>
    </row>
    <row r="9">
      <c r="A9" t="str">
        <v>2A. PRDs Reviewed &amp; Signed Off (NH)</v>
      </c>
      <c r="B9" t="str">
        <v>Richard</v>
      </c>
      <c r="C9" t="str">
        <v>Confirms shared understanding and agreement with NH to prevent late scope disputes or rework.</v>
      </c>
      <c r="D9" t="str">
        <v>• NH review completed</v>
      </c>
      <c r="E9" t="str">
        <v>G</v>
      </c>
      <c r="F9" t="str">
        <v>2026-01-07</v>
      </c>
      <c r="G9" t="str">
        <v>2026-01-07</v>
      </c>
      <c r="H9" t="str">
        <v>2026-01-07</v>
      </c>
      <c r="I9" t="str">
        <v>2026-01-23</v>
      </c>
      <c r="J9" t="str">
        <v>2026-01-23</v>
      </c>
      <c r="K9" t="str">
        <v>Fri 9 Jan 2025</v>
      </c>
      <c r="L9" t="str">
        <v>2026-01-16</v>
      </c>
      <c r="M9" t="str">
        <v>Done</v>
      </c>
      <c r="N9" t="str">
        <v>Done</v>
      </c>
      <c r="O9" t="str">
        <v/>
      </c>
      <c r="P9" t="str">
        <v>Done</v>
      </c>
      <c r="Q9" t="str">
        <v>Done</v>
      </c>
      <c r="R9" t="str">
        <v/>
      </c>
      <c r="S9" t="str">
        <v>2026-01-09</v>
      </c>
      <c r="T9" t="str">
        <v>2026-01-23</v>
      </c>
      <c r="U9" t="str">
        <v>2026-01-23</v>
      </c>
      <c r="V9" t="str">
        <v>2026-01-23</v>
      </c>
      <c r="W9" t="str">
        <v>2026-01-23</v>
      </c>
      <c r="X9" t="str">
        <v>2026-01-23</v>
      </c>
      <c r="Y9" t="str">
        <v>2026-01-19</v>
      </c>
      <c r="Z9" t="str">
        <v>2026-01-16</v>
      </c>
      <c r="AA9" t="str">
        <v>Mon 22 Dec 2025</v>
      </c>
      <c r="AB9" t="str">
        <v>2026-02-13</v>
      </c>
      <c r="AC9" t="str">
        <v>Done</v>
      </c>
      <c r="AD9" t="str">
        <v>Done</v>
      </c>
      <c r="AE9" t="str">
        <v/>
      </c>
      <c r="AF9" t="str">
        <v>2026-01-23</v>
      </c>
      <c r="AG9" t="str">
        <v>2026-01-23</v>
      </c>
      <c r="AH9" t="str">
        <v>2026-01-30</v>
      </c>
      <c r="AI9" t="str">
        <v>Mon 22 Dec 2025</v>
      </c>
      <c r="AJ9" t="str">
        <v>2026-02-20</v>
      </c>
      <c r="AK9" t="str">
        <v>2026-02-20</v>
      </c>
      <c r="AL9" t="str">
        <v>2026-02-20</v>
      </c>
      <c r="AM9" t="str">
        <v>2026-02-18</v>
      </c>
      <c r="AN9" t="str">
        <v>Done</v>
      </c>
      <c r="AO9" t="str">
        <v/>
      </c>
      <c r="AP9" t="str">
        <v>2026-01-28</v>
      </c>
      <c r="AQ9" t="str">
        <v>2026-02-25</v>
      </c>
      <c r="AR9" t="str">
        <v>N/A</v>
      </c>
      <c r="AS9" t="str">
        <v/>
      </c>
      <c r="AT9" t="str">
        <v>2026-03-04</v>
      </c>
      <c r="AU9" t="str">
        <v/>
      </c>
      <c r="AV9" t="str">
        <v>2026-03-04</v>
      </c>
    </row>
    <row r="10">
      <c r="A10" t="str">
        <v/>
      </c>
      <c r="B10" t="str">
        <v/>
      </c>
      <c r="C10" t="str">
        <v/>
      </c>
      <c r="D10" t="str">
        <v>• Explicit NH sign-off received</v>
      </c>
      <c r="E10" t="str">
        <v>G</v>
      </c>
      <c r="F10" t="str">
        <v>2026-01-07</v>
      </c>
      <c r="G10" t="str">
        <v>2026-01-07</v>
      </c>
      <c r="H10" t="str">
        <v>2026-01-07</v>
      </c>
      <c r="I10" t="str">
        <v>2026-01-23</v>
      </c>
      <c r="J10" t="str">
        <v>2026-01-23</v>
      </c>
      <c r="K10" t="str">
        <v>Fri 9 Jan 2025</v>
      </c>
      <c r="L10" t="str">
        <v>2026-01-16</v>
      </c>
      <c r="M10" t="str">
        <v>Done</v>
      </c>
      <c r="N10" t="str">
        <v>Done</v>
      </c>
      <c r="O10" t="str">
        <v/>
      </c>
      <c r="P10" t="str">
        <v>Done</v>
      </c>
      <c r="Q10" t="str">
        <v>Done</v>
      </c>
      <c r="R10" t="str">
        <v/>
      </c>
      <c r="S10" t="str">
        <v>2026-01-09</v>
      </c>
      <c r="T10" t="str">
        <v>2026-01-23</v>
      </c>
      <c r="U10" t="str">
        <v>2026-01-23</v>
      </c>
      <c r="V10" t="str">
        <v>2026-01-23</v>
      </c>
      <c r="W10" t="str">
        <v>2026-01-23</v>
      </c>
      <c r="X10" t="str">
        <v>2026-01-23</v>
      </c>
      <c r="Y10" t="str">
        <v>2026-01-19</v>
      </c>
      <c r="Z10" t="str">
        <v>2026-01-16</v>
      </c>
      <c r="AA10" t="str">
        <v>Mon 22 Dec 2025</v>
      </c>
      <c r="AB10" t="str">
        <v>2026-02-13</v>
      </c>
      <c r="AC10" t="str">
        <v>Done</v>
      </c>
      <c r="AD10" t="str">
        <v>Done</v>
      </c>
      <c r="AE10" t="str">
        <v/>
      </c>
      <c r="AF10" t="str">
        <v>2026-01-23</v>
      </c>
      <c r="AG10" t="str">
        <v>2026-01-23</v>
      </c>
      <c r="AH10" t="str">
        <v>2026-01-30</v>
      </c>
      <c r="AI10" t="str">
        <v>Mon 22 Dec 2025</v>
      </c>
      <c r="AJ10" t="str">
        <v>2026-02-20</v>
      </c>
      <c r="AK10" t="str">
        <v>2026-02-20</v>
      </c>
      <c r="AL10" t="str">
        <v>2026-02-20</v>
      </c>
      <c r="AM10" t="str">
        <v>2026-02-18</v>
      </c>
      <c r="AN10" t="str">
        <v>Done</v>
      </c>
      <c r="AO10" t="str">
        <v/>
      </c>
      <c r="AP10" t="str">
        <v>2026-01-28</v>
      </c>
      <c r="AQ10" t="str">
        <v>2026-02-25</v>
      </c>
      <c r="AR10" t="str">
        <v>N/A</v>
      </c>
      <c r="AS10" t="str">
        <v/>
      </c>
      <c r="AT10" t="str">
        <v>2026-03-04</v>
      </c>
      <c r="AU10" t="str">
        <v/>
      </c>
      <c r="AV10" t="str">
        <v>2026-03-04</v>
      </c>
    </row>
    <row r="11">
      <c r="A11" t="str">
        <v/>
      </c>
      <c r="B11" t="str">
        <v/>
      </c>
      <c r="C11" t="str">
        <v/>
      </c>
      <c r="D11" t="str">
        <v>• No open scope alignment questions</v>
      </c>
      <c r="E11" t="str">
        <v>G</v>
      </c>
      <c r="F11" t="str">
        <v>2026-01-07</v>
      </c>
      <c r="G11" t="str">
        <v>2026-01-07</v>
      </c>
      <c r="H11" t="str">
        <v>2026-01-07</v>
      </c>
      <c r="I11" t="str">
        <v>2026-01-23</v>
      </c>
      <c r="J11" t="str">
        <v>2026-01-23</v>
      </c>
      <c r="K11" t="str">
        <v>Fri 9 Jan 2025</v>
      </c>
      <c r="L11" t="str">
        <v>2026-01-16</v>
      </c>
      <c r="M11" t="str">
        <v>Done</v>
      </c>
      <c r="N11" t="str">
        <v>Done</v>
      </c>
      <c r="O11" t="str">
        <v/>
      </c>
      <c r="P11" t="str">
        <v>Done</v>
      </c>
      <c r="Q11" t="str">
        <v>Done</v>
      </c>
      <c r="R11" t="str">
        <v/>
      </c>
      <c r="S11" t="str">
        <v>2026-01-09</v>
      </c>
      <c r="T11" t="str">
        <v>2026-01-23</v>
      </c>
      <c r="U11" t="str">
        <v>2026-01-23</v>
      </c>
      <c r="V11" t="str">
        <v>2026-01-23</v>
      </c>
      <c r="W11" t="str">
        <v>2026-01-23</v>
      </c>
      <c r="X11" t="str">
        <v>2026-01-23</v>
      </c>
      <c r="Y11" t="str">
        <v>2026-01-19</v>
      </c>
      <c r="Z11" t="str">
        <v>2026-01-16</v>
      </c>
      <c r="AA11" t="str">
        <v>Mon 22 Dec 2025</v>
      </c>
      <c r="AB11" t="str">
        <v>2026-02-13</v>
      </c>
      <c r="AC11" t="str">
        <v>Done</v>
      </c>
      <c r="AD11" t="str">
        <v>Done</v>
      </c>
      <c r="AE11" t="str">
        <v/>
      </c>
      <c r="AF11" t="str">
        <v>2026-01-23</v>
      </c>
      <c r="AG11" t="str">
        <v>2026-01-23</v>
      </c>
      <c r="AH11" t="str">
        <v>2026-01-30</v>
      </c>
      <c r="AI11" t="str">
        <v>Mon 22 Dec 2025</v>
      </c>
      <c r="AJ11" t="str">
        <v>2026-02-20</v>
      </c>
      <c r="AK11" t="str">
        <v>2026-02-20</v>
      </c>
      <c r="AL11" t="str">
        <v>2026-02-20</v>
      </c>
      <c r="AM11" t="str">
        <v>2026-02-18</v>
      </c>
      <c r="AN11" t="str">
        <v>Done</v>
      </c>
      <c r="AO11" t="str">
        <v/>
      </c>
      <c r="AP11" t="str">
        <v>2026-01-28</v>
      </c>
      <c r="AQ11" t="str">
        <v>2026-02-25</v>
      </c>
      <c r="AR11" t="str">
        <v>N/A</v>
      </c>
      <c r="AS11" t="str">
        <v/>
      </c>
      <c r="AT11" t="str">
        <v>2026-03-04</v>
      </c>
      <c r="AU11" t="str">
        <v/>
      </c>
      <c r="AV11" t="str">
        <v>2026-03-04</v>
      </c>
    </row>
    <row r="12">
      <c r="A12" t="str">
        <v/>
      </c>
      <c r="B12" t="str">
        <v/>
      </c>
      <c r="C12" t="str">
        <v/>
      </c>
      <c r="D12" t="str">
        <v>• Any gaps documented, escalated and resolved</v>
      </c>
      <c r="E12" t="str">
        <v>G</v>
      </c>
      <c r="F12" t="str">
        <v>2026-01-07</v>
      </c>
      <c r="G12" t="str">
        <v>2026-01-07</v>
      </c>
      <c r="H12" t="str">
        <v>2026-01-07</v>
      </c>
      <c r="I12" t="str">
        <v>2026-01-23</v>
      </c>
      <c r="J12" t="str">
        <v>2026-01-23</v>
      </c>
      <c r="K12" t="str">
        <v>Fri 9 Jan 2025</v>
      </c>
      <c r="L12" t="str">
        <v>2026-01-16</v>
      </c>
      <c r="M12" t="str">
        <v>Done</v>
      </c>
      <c r="N12" t="str">
        <v>Done</v>
      </c>
      <c r="O12" t="str">
        <v/>
      </c>
      <c r="P12" t="str">
        <v>Done</v>
      </c>
      <c r="Q12" t="str">
        <v>Done</v>
      </c>
      <c r="R12" t="str">
        <v/>
      </c>
      <c r="S12" t="str">
        <v>2026-01-09</v>
      </c>
      <c r="T12" t="str">
        <v>2026-01-23</v>
      </c>
      <c r="U12" t="str">
        <v>2026-01-23</v>
      </c>
      <c r="V12" t="str">
        <v>2026-01-23</v>
      </c>
      <c r="W12" t="str">
        <v>2026-01-23</v>
      </c>
      <c r="X12" t="str">
        <v>2026-01-23</v>
      </c>
      <c r="Y12" t="str">
        <v>2026-01-19</v>
      </c>
      <c r="Z12" t="str">
        <v>2026-01-16</v>
      </c>
      <c r="AA12" t="str">
        <v>Mon 22 Dec 2025</v>
      </c>
      <c r="AB12" t="str">
        <v>2026-02-13</v>
      </c>
      <c r="AC12" t="str">
        <v>Done</v>
      </c>
      <c r="AD12" t="str">
        <v>Done</v>
      </c>
      <c r="AE12" t="str">
        <v/>
      </c>
      <c r="AF12" t="str">
        <v>2026-01-23</v>
      </c>
      <c r="AG12" t="str">
        <v>2026-01-23</v>
      </c>
      <c r="AH12" t="str">
        <v>2026-01-30</v>
      </c>
      <c r="AI12" t="str">
        <v>Mon 22 Dec 2025</v>
      </c>
      <c r="AJ12" t="str">
        <v>2026-02-20</v>
      </c>
      <c r="AK12" t="str">
        <v>2026-02-20</v>
      </c>
      <c r="AL12" t="str">
        <v>2026-02-20</v>
      </c>
      <c r="AM12" t="str">
        <v>2026-02-18</v>
      </c>
      <c r="AN12" t="str">
        <v>Done</v>
      </c>
      <c r="AO12" t="str">
        <v/>
      </c>
      <c r="AP12" t="str">
        <v>2026-01-28</v>
      </c>
      <c r="AQ12" t="str">
        <v>2026-02-25</v>
      </c>
      <c r="AR12" t="str">
        <v>N/A</v>
      </c>
      <c r="AS12" t="str">
        <v/>
      </c>
      <c r="AT12" t="str">
        <v>2026-03-04</v>
      </c>
      <c r="AU12" t="str">
        <v/>
      </c>
      <c r="AV12" t="str">
        <v>2026-03-04</v>
      </c>
    </row>
    <row r="13" xml:space="preserve">
      <c r="A13" t="str">
        <v>2B - PRD Hand-off to SA</v>
      </c>
      <c r="B13" t="str">
        <v>Minas</v>
      </c>
      <c r="C13" t="str">
        <v xml:space="preserve">Ensure that the full scope and implications of the PRD are understood </v>
      </c>
      <c r="D13" t="str" xml:space="preserve">
        <v xml:space="preserve">All questions raised by Vigo/Design and SA are documented and formally resolved._x000d_
</v>
      </c>
      <c r="E13" t="str">
        <v>G</v>
      </c>
      <c r="F13" t="str">
        <v>2026-01-07</v>
      </c>
      <c r="G13" t="str">
        <v>2026-01-07</v>
      </c>
      <c r="H13" t="str">
        <v>2026-01-07</v>
      </c>
      <c r="I13" t="str">
        <v>2026-01-23</v>
      </c>
      <c r="J13" t="str">
        <v>2026-01-23</v>
      </c>
      <c r="K13" t="str">
        <v>Fri 9 Jan 2025</v>
      </c>
      <c r="L13" t="str">
        <v>2026-01-16</v>
      </c>
      <c r="M13" t="str">
        <v>Done</v>
      </c>
      <c r="N13" t="str">
        <v>Done</v>
      </c>
      <c r="O13" t="str">
        <v/>
      </c>
      <c r="P13" t="str">
        <v>Done</v>
      </c>
      <c r="Q13" t="str">
        <v>Done</v>
      </c>
      <c r="R13" t="str">
        <v/>
      </c>
      <c r="S13" t="str">
        <v>2026-01-09</v>
      </c>
      <c r="T13" t="str">
        <v>2026-01-23</v>
      </c>
      <c r="U13" t="str">
        <v>2026-01-23</v>
      </c>
      <c r="V13" t="str">
        <v>2026-01-23</v>
      </c>
      <c r="W13" t="str">
        <v>2026-01-23</v>
      </c>
      <c r="X13" t="str">
        <v>2026-01-23</v>
      </c>
      <c r="Y13" t="str">
        <v>2026-01-19</v>
      </c>
      <c r="Z13" t="str">
        <v>2026-01-16</v>
      </c>
      <c r="AA13" t="str">
        <v>Mon 22 Dec 2025</v>
      </c>
      <c r="AB13" t="str">
        <v>2026-02-13</v>
      </c>
      <c r="AC13" t="str">
        <v>Done</v>
      </c>
      <c r="AD13" t="str">
        <v>Done</v>
      </c>
      <c r="AE13" t="str">
        <v/>
      </c>
      <c r="AF13" t="str">
        <v>2026-01-23</v>
      </c>
      <c r="AG13" t="str">
        <v>2026-01-23</v>
      </c>
      <c r="AH13" t="str">
        <v>2026-01-30</v>
      </c>
      <c r="AI13" t="str">
        <v>Mon 22 Dec 2025</v>
      </c>
      <c r="AJ13" t="str">
        <v>2026-02-20</v>
      </c>
      <c r="AK13" t="str">
        <v>2026-02-20</v>
      </c>
      <c r="AL13" t="str">
        <v>2026-02-20</v>
      </c>
      <c r="AM13" t="str">
        <v>2026-02-18</v>
      </c>
      <c r="AN13" t="str">
        <v>Done</v>
      </c>
      <c r="AO13" t="str">
        <v/>
      </c>
      <c r="AP13" t="str">
        <v>2026-01-28</v>
      </c>
      <c r="AQ13" t="str">
        <v>2026-02-25</v>
      </c>
      <c r="AR13" t="str">
        <v>N/A</v>
      </c>
      <c r="AS13" t="str">
        <v/>
      </c>
      <c r="AT13" t="str">
        <v>2026-03-04</v>
      </c>
      <c r="AU13" t="str">
        <v/>
      </c>
      <c r="AV13" t="str">
        <v>2026-03-04</v>
      </c>
    </row>
    <row r="14" xml:space="preserve">
      <c r="A14" t="str">
        <v/>
      </c>
      <c r="B14" t="str">
        <v/>
      </c>
      <c r="C14" t="str">
        <v/>
      </c>
      <c r="D14" t="str" xml:space="preserve">
        <v xml:space="preserve">No 'to be clarified' items to remain open unless escalated and approved._x000d_
</v>
      </c>
      <c r="E14" t="str">
        <v>G</v>
      </c>
      <c r="F14" t="str">
        <v>2026-01-07</v>
      </c>
      <c r="G14" t="str">
        <v>2026-01-07</v>
      </c>
      <c r="H14" t="str">
        <v>2026-01-07</v>
      </c>
      <c r="I14" t="str">
        <v>2026-01-23</v>
      </c>
      <c r="J14" t="str">
        <v>2026-01-23</v>
      </c>
      <c r="K14" t="str">
        <v>Fri 9 Jan 2025</v>
      </c>
      <c r="L14" t="str">
        <v>2026-01-16</v>
      </c>
      <c r="M14" t="str">
        <v>Done</v>
      </c>
      <c r="N14" t="str">
        <v>Done</v>
      </c>
      <c r="O14" t="str">
        <v/>
      </c>
      <c r="P14" t="str">
        <v>Done</v>
      </c>
      <c r="Q14" t="str">
        <v>Done</v>
      </c>
      <c r="R14" t="str">
        <v/>
      </c>
      <c r="S14" t="str">
        <v>2026-01-09</v>
      </c>
      <c r="T14" t="str">
        <v>2026-01-23</v>
      </c>
      <c r="U14" t="str">
        <v>2026-01-23</v>
      </c>
      <c r="V14" t="str">
        <v>2026-01-23</v>
      </c>
      <c r="W14" t="str">
        <v>2026-01-23</v>
      </c>
      <c r="X14" t="str">
        <v>2026-01-23</v>
      </c>
      <c r="Y14" t="str">
        <v>2026-01-19</v>
      </c>
      <c r="Z14" t="str">
        <v>2026-01-16</v>
      </c>
      <c r="AA14" t="str">
        <v>Mon 22 Dec 2025</v>
      </c>
      <c r="AB14" t="str">
        <v>2026-02-13</v>
      </c>
      <c r="AC14" t="str">
        <v>Done</v>
      </c>
      <c r="AD14" t="str">
        <v>Done</v>
      </c>
      <c r="AE14" t="str">
        <v/>
      </c>
      <c r="AF14" t="str">
        <v>2026-01-23</v>
      </c>
      <c r="AG14" t="str">
        <v>2026-01-23</v>
      </c>
      <c r="AH14" t="str">
        <v>2026-01-30</v>
      </c>
      <c r="AI14" t="str">
        <v>Mon 22 Dec 2025</v>
      </c>
      <c r="AJ14" t="str">
        <v>2026-02-20</v>
      </c>
      <c r="AK14" t="str">
        <v>2026-02-20</v>
      </c>
      <c r="AL14" t="str">
        <v>2026-02-20</v>
      </c>
      <c r="AM14" t="str">
        <v>2026-02-18</v>
      </c>
      <c r="AN14" t="str">
        <v>Done</v>
      </c>
      <c r="AO14" t="str">
        <v/>
      </c>
      <c r="AP14" t="str">
        <v>2026-01-28</v>
      </c>
      <c r="AQ14" t="str">
        <v>2026-02-25</v>
      </c>
      <c r="AR14" t="str">
        <v>N/A</v>
      </c>
      <c r="AS14" t="str">
        <v/>
      </c>
      <c r="AT14" t="str">
        <v>2026-03-04</v>
      </c>
      <c r="AU14" t="str">
        <v/>
      </c>
      <c r="AV14" t="str">
        <v>2026-03-04</v>
      </c>
    </row>
    <row r="15" xml:space="preserve">
      <c r="A15" t="str">
        <v/>
      </c>
      <c r="B15" t="str">
        <v/>
      </c>
      <c r="C15" t="str">
        <v/>
      </c>
      <c r="D15" t="str" xml:space="preserve">
        <v xml:space="preserve">_x000d_
Vigo and SA have confirmed in writing that the solution is technically coherent and feasible_x000d_
</v>
      </c>
      <c r="E15" t="str">
        <v>G</v>
      </c>
      <c r="F15" t="str">
        <v>2026-01-07</v>
      </c>
      <c r="G15" t="str">
        <v>2026-01-07</v>
      </c>
      <c r="H15" t="str">
        <v>2026-01-07</v>
      </c>
      <c r="I15" t="str">
        <v>2026-01-23</v>
      </c>
      <c r="J15" t="str">
        <v>2026-01-23</v>
      </c>
      <c r="K15" t="str">
        <v>Fri 9 Jan 2025</v>
      </c>
      <c r="L15" t="str">
        <v>2026-01-16</v>
      </c>
      <c r="M15" t="str">
        <v>Done</v>
      </c>
      <c r="N15" t="str">
        <v>Done</v>
      </c>
      <c r="O15" t="str">
        <v/>
      </c>
      <c r="P15" t="str">
        <v>Done</v>
      </c>
      <c r="Q15" t="str">
        <v>Done</v>
      </c>
      <c r="R15" t="str">
        <v/>
      </c>
      <c r="S15" t="str">
        <v>2026-01-09</v>
      </c>
      <c r="T15" t="str">
        <v>2026-01-23</v>
      </c>
      <c r="U15" t="str">
        <v>2026-01-23</v>
      </c>
      <c r="V15" t="str">
        <v>2026-01-23</v>
      </c>
      <c r="W15" t="str">
        <v>2026-01-23</v>
      </c>
      <c r="X15" t="str">
        <v>2026-01-23</v>
      </c>
      <c r="Y15" t="str">
        <v>2026-01-19</v>
      </c>
      <c r="Z15" t="str">
        <v>2026-01-16</v>
      </c>
      <c r="AA15" t="str">
        <v>Mon 22 Dec 2025</v>
      </c>
      <c r="AB15" t="str">
        <v>2026-02-13</v>
      </c>
      <c r="AC15" t="str">
        <v>Done</v>
      </c>
      <c r="AD15" t="str">
        <v>Done</v>
      </c>
      <c r="AE15" t="str">
        <v/>
      </c>
      <c r="AF15" t="str">
        <v>2026-01-23</v>
      </c>
      <c r="AG15" t="str">
        <v>2026-01-23</v>
      </c>
      <c r="AH15" t="str">
        <v>2026-01-30</v>
      </c>
      <c r="AI15" t="str">
        <v>Mon 22 Dec 2025</v>
      </c>
      <c r="AJ15" t="str">
        <v>2026-02-20</v>
      </c>
      <c r="AK15" t="str">
        <v>2026-02-20</v>
      </c>
      <c r="AL15" t="str">
        <v>2026-02-20</v>
      </c>
      <c r="AM15" t="str">
        <v>2026-02-18</v>
      </c>
      <c r="AN15" t="str">
        <v>Done</v>
      </c>
      <c r="AO15" t="str">
        <v/>
      </c>
      <c r="AP15" t="str">
        <v>2026-01-28</v>
      </c>
      <c r="AQ15" t="str">
        <v>2026-02-25</v>
      </c>
      <c r="AR15" t="str">
        <v>N/A</v>
      </c>
      <c r="AS15" t="str">
        <v/>
      </c>
      <c r="AT15" t="str">
        <v>2026-03-04</v>
      </c>
      <c r="AU15" t="str">
        <v/>
      </c>
      <c r="AV15" t="str">
        <v>2026-03-04</v>
      </c>
    </row>
    <row r="16" xml:space="preserve">
      <c r="A16" t="str">
        <v/>
      </c>
      <c r="B16" t="str">
        <v/>
      </c>
      <c r="C16" t="str">
        <v/>
      </c>
      <c r="D16" t="str" xml:space="preserve">
        <v xml:space="preserve">_x000d_
Confirmation of the timeline</v>
      </c>
      <c r="E16" t="str">
        <v>G</v>
      </c>
      <c r="F16" t="str">
        <v>2026-01-07</v>
      </c>
      <c r="G16" t="str">
        <v>2026-01-07</v>
      </c>
      <c r="H16" t="str">
        <v>2026-01-07</v>
      </c>
      <c r="I16" t="str">
        <v>2026-01-23</v>
      </c>
      <c r="J16" t="str">
        <v>2026-01-23</v>
      </c>
      <c r="K16" t="str">
        <v>Fri 9 Jan 2025</v>
      </c>
      <c r="L16" t="str">
        <v>2026-01-16</v>
      </c>
      <c r="M16" t="str">
        <v>Done</v>
      </c>
      <c r="N16" t="str">
        <v>Done</v>
      </c>
      <c r="O16" t="str">
        <v/>
      </c>
      <c r="P16" t="str">
        <v>Done</v>
      </c>
      <c r="Q16" t="str">
        <v>Done</v>
      </c>
      <c r="R16" t="str">
        <v/>
      </c>
      <c r="S16" t="str">
        <v>2026-01-09</v>
      </c>
      <c r="T16" t="str">
        <v>2026-01-23</v>
      </c>
      <c r="U16" t="str">
        <v>2026-01-23</v>
      </c>
      <c r="V16" t="str">
        <v>2026-01-23</v>
      </c>
      <c r="W16" t="str">
        <v>2026-01-23</v>
      </c>
      <c r="X16" t="str">
        <v>2026-01-23</v>
      </c>
      <c r="Y16" t="str">
        <v>2026-01-19</v>
      </c>
      <c r="Z16" t="str">
        <v>2026-01-16</v>
      </c>
      <c r="AA16" t="str">
        <v>Mon 22 Dec 2025</v>
      </c>
      <c r="AB16" t="str">
        <v>2026-02-13</v>
      </c>
      <c r="AC16" t="str">
        <v>Done</v>
      </c>
      <c r="AD16" t="str">
        <v>Done</v>
      </c>
      <c r="AE16" t="str">
        <v/>
      </c>
      <c r="AF16" t="str">
        <v>2026-01-23</v>
      </c>
      <c r="AG16" t="str">
        <v>2026-01-23</v>
      </c>
      <c r="AH16" t="str">
        <v>2026-01-30</v>
      </c>
      <c r="AI16" t="str">
        <v>Mon 22 Dec 2025</v>
      </c>
      <c r="AJ16" t="str">
        <v>2026-02-20</v>
      </c>
      <c r="AK16" t="str">
        <v>2026-02-20</v>
      </c>
      <c r="AL16" t="str">
        <v>2026-02-20</v>
      </c>
      <c r="AM16" t="str">
        <v>2026-02-18</v>
      </c>
      <c r="AN16" t="str">
        <v>Done</v>
      </c>
      <c r="AO16" t="str">
        <v/>
      </c>
      <c r="AP16" t="str">
        <v>2026-01-28</v>
      </c>
      <c r="AQ16" t="str">
        <v>2026-02-25</v>
      </c>
      <c r="AR16" t="str">
        <v>N/A</v>
      </c>
      <c r="AS16" t="str">
        <v/>
      </c>
      <c r="AT16" t="str">
        <v>2026-03-04</v>
      </c>
      <c r="AU16" t="str">
        <v/>
      </c>
      <c r="AV16" t="str">
        <v>2026-03-04</v>
      </c>
    </row>
    <row r="17">
      <c r="A17" t="str">
        <v>DESIGN STAGES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</row>
    <row r="18">
      <c r="A18" t="str">
        <v>3. UX/UI Designs Completed</v>
      </c>
      <c r="B18" t="str">
        <v>Richard (coordination)</v>
      </c>
      <c r="C18" t="str">
        <v>Prevents design churn during development and ensures build teams are working from stable designs.</v>
      </c>
      <c r="D18" t="str">
        <v>• UX/UI designs completed for all in-scope MVP flows</v>
      </c>
      <c r="E18" t="str">
        <v>H</v>
      </c>
      <c r="F18" t="str">
        <v>2026-01-09</v>
      </c>
      <c r="G18" t="str">
        <v>2026-01-09</v>
      </c>
      <c r="H18" t="str">
        <v>2026-01-09</v>
      </c>
      <c r="I18" t="str">
        <v>2026-02-11</v>
      </c>
      <c r="J18" t="str">
        <v>2026-02-20</v>
      </c>
      <c r="K18" t="str">
        <v>N/A</v>
      </c>
      <c r="L18" t="str">
        <v>N/A</v>
      </c>
      <c r="M18" t="str">
        <v>Done</v>
      </c>
      <c r="N18" t="str">
        <v>Done</v>
      </c>
      <c r="O18" t="str">
        <v/>
      </c>
      <c r="P18" t="str">
        <v>Done</v>
      </c>
      <c r="Q18" t="str">
        <v>Done</v>
      </c>
      <c r="R18" t="str">
        <v/>
      </c>
      <c r="S18" t="str">
        <v>2026-01-30</v>
      </c>
      <c r="T18" t="str">
        <v>2026-02-11</v>
      </c>
      <c r="U18" t="str">
        <v>2026-01-24</v>
      </c>
      <c r="V18" t="str">
        <v>2026-02-11</v>
      </c>
      <c r="W18" t="str">
        <v>2026-02-04</v>
      </c>
      <c r="X18" t="str">
        <v>2026-02-04</v>
      </c>
      <c r="Y18" t="str">
        <v>2026-02-09</v>
      </c>
      <c r="Z18" t="str">
        <v>N/A</v>
      </c>
      <c r="AA18" t="str">
        <v>N/A</v>
      </c>
      <c r="AB18" t="str">
        <v>N/A</v>
      </c>
      <c r="AC18" t="str">
        <v>Done</v>
      </c>
      <c r="AD18" t="str">
        <v>Done</v>
      </c>
      <c r="AE18" t="str">
        <v/>
      </c>
      <c r="AF18" t="str">
        <v>2026-02-04</v>
      </c>
      <c r="AG18" t="str">
        <v>2026-02-04</v>
      </c>
      <c r="AH18" t="str">
        <v>2026-02-16</v>
      </c>
      <c r="AI18" t="str">
        <v>N/A</v>
      </c>
      <c r="AJ18" t="str">
        <v>2026-02-27</v>
      </c>
      <c r="AK18" t="str">
        <v>2026-02-27</v>
      </c>
      <c r="AL18" t="str">
        <v>2026-02-27</v>
      </c>
      <c r="AM18" t="str">
        <v>N/A</v>
      </c>
      <c r="AN18" t="str">
        <v>Done</v>
      </c>
      <c r="AO18" t="str">
        <v/>
      </c>
      <c r="AP18" t="str">
        <v>2026-02-20</v>
      </c>
      <c r="AQ18" t="str">
        <v>2026-02-27</v>
      </c>
      <c r="AR18" t="str">
        <v>N/A</v>
      </c>
      <c r="AS18" t="str">
        <v/>
      </c>
      <c r="AT18" t="str">
        <v>2026-03-06</v>
      </c>
      <c r="AU18" t="str">
        <v/>
      </c>
      <c r="AV18" t="str">
        <v>2026-03-06</v>
      </c>
    </row>
    <row r="19">
      <c r="A19" t="str">
        <v/>
      </c>
      <c r="B19" t="str">
        <v/>
      </c>
      <c r="C19" t="str">
        <v/>
      </c>
      <c r="D19" t="str">
        <v>• Designs reviewed and accepted internally</v>
      </c>
      <c r="E19" t="str">
        <v>H</v>
      </c>
      <c r="F19" t="str">
        <v>2026-01-09</v>
      </c>
      <c r="G19" t="str">
        <v>2026-01-09</v>
      </c>
      <c r="H19" t="str">
        <v>2026-01-09</v>
      </c>
      <c r="I19" t="str">
        <v>2026-02-11</v>
      </c>
      <c r="J19" t="str">
        <v>2026-02-20</v>
      </c>
      <c r="K19" t="str">
        <v>N/A</v>
      </c>
      <c r="L19" t="str">
        <v>N/A</v>
      </c>
      <c r="M19" t="str">
        <v>Done</v>
      </c>
      <c r="N19" t="str">
        <v>Done</v>
      </c>
      <c r="O19" t="str">
        <v/>
      </c>
      <c r="P19" t="str">
        <v>Done</v>
      </c>
      <c r="Q19" t="str">
        <v>Done</v>
      </c>
      <c r="R19" t="str">
        <v/>
      </c>
      <c r="S19" t="str">
        <v>2026-01-30</v>
      </c>
      <c r="T19" t="str">
        <v>2026-02-11</v>
      </c>
      <c r="U19" t="str">
        <v>2026-01-24</v>
      </c>
      <c r="V19" t="str">
        <v>2026-02-11</v>
      </c>
      <c r="W19" t="str">
        <v>2026-02-04</v>
      </c>
      <c r="X19" t="str">
        <v>2026-02-04</v>
      </c>
      <c r="Y19" t="str">
        <v>2026-02-09</v>
      </c>
      <c r="Z19" t="str">
        <v>N/A</v>
      </c>
      <c r="AA19" t="str">
        <v>N/A</v>
      </c>
      <c r="AB19" t="str">
        <v>N/A</v>
      </c>
      <c r="AC19" t="str">
        <v>Done</v>
      </c>
      <c r="AD19" t="str">
        <v>Done</v>
      </c>
      <c r="AE19" t="str">
        <v/>
      </c>
      <c r="AF19" t="str">
        <v>2026-02-04</v>
      </c>
      <c r="AG19" t="str">
        <v>2026-02-04</v>
      </c>
      <c r="AH19" t="str">
        <v>2026-02-16</v>
      </c>
      <c r="AI19" t="str">
        <v>N/A</v>
      </c>
      <c r="AJ19" t="str">
        <v>2026-02-27</v>
      </c>
      <c r="AK19" t="str">
        <v>2026-02-27</v>
      </c>
      <c r="AL19" t="str">
        <v>2026-02-27</v>
      </c>
      <c r="AM19" t="str">
        <v>N/A</v>
      </c>
      <c r="AN19" t="str">
        <v>Done</v>
      </c>
      <c r="AO19" t="str">
        <v/>
      </c>
      <c r="AP19" t="str">
        <v>2026-02-20</v>
      </c>
      <c r="AQ19" t="str">
        <v>2026-02-27</v>
      </c>
      <c r="AR19" t="str">
        <v>N/A</v>
      </c>
      <c r="AS19" t="str">
        <v/>
      </c>
      <c r="AT19" t="str">
        <v>2026-03-06</v>
      </c>
      <c r="AU19" t="str">
        <v/>
      </c>
      <c r="AV19" t="str">
        <v>2026-03-06</v>
      </c>
    </row>
    <row r="20">
      <c r="A20" t="str">
        <v/>
      </c>
      <c r="B20" t="str">
        <v/>
      </c>
      <c r="C20" t="str">
        <v/>
      </c>
      <c r="D20" t="str">
        <v>• Ownership agreed (Vigo vs in-house)</v>
      </c>
      <c r="E20" t="str">
        <v>H</v>
      </c>
      <c r="F20" t="str">
        <v>2026-01-09</v>
      </c>
      <c r="G20" t="str">
        <v>2026-01-09</v>
      </c>
      <c r="H20" t="str">
        <v>2026-01-09</v>
      </c>
      <c r="I20" t="str">
        <v>2026-02-11</v>
      </c>
      <c r="J20" t="str">
        <v>2026-02-20</v>
      </c>
      <c r="K20" t="str">
        <v>N/A</v>
      </c>
      <c r="L20" t="str">
        <v>N/A</v>
      </c>
      <c r="M20" t="str">
        <v>Done</v>
      </c>
      <c r="N20" t="str">
        <v>Done</v>
      </c>
      <c r="O20" t="str">
        <v/>
      </c>
      <c r="P20" t="str">
        <v>Done</v>
      </c>
      <c r="Q20" t="str">
        <v>Done</v>
      </c>
      <c r="R20" t="str">
        <v/>
      </c>
      <c r="S20" t="str">
        <v>2026-01-30</v>
      </c>
      <c r="T20" t="str">
        <v>2026-02-11</v>
      </c>
      <c r="U20" t="str">
        <v>2026-01-24</v>
      </c>
      <c r="V20" t="str">
        <v>2026-02-11</v>
      </c>
      <c r="W20" t="str">
        <v>2026-02-04</v>
      </c>
      <c r="X20" t="str">
        <v>2026-02-04</v>
      </c>
      <c r="Y20" t="str">
        <v>2026-02-09</v>
      </c>
      <c r="Z20" t="str">
        <v>N/A</v>
      </c>
      <c r="AA20" t="str">
        <v>N/A</v>
      </c>
      <c r="AB20" t="str">
        <v>N/A</v>
      </c>
      <c r="AC20" t="str">
        <v>Done</v>
      </c>
      <c r="AD20" t="str">
        <v>Done</v>
      </c>
      <c r="AE20" t="str">
        <v/>
      </c>
      <c r="AF20" t="str">
        <v>2026-02-04</v>
      </c>
      <c r="AG20" t="str">
        <v>2026-02-04</v>
      </c>
      <c r="AH20" t="str">
        <v>2026-02-16</v>
      </c>
      <c r="AI20" t="str">
        <v>N/A</v>
      </c>
      <c r="AJ20" t="str">
        <v>2026-02-27</v>
      </c>
      <c r="AK20" t="str">
        <v>2026-02-27</v>
      </c>
      <c r="AL20" t="str">
        <v>2026-02-27</v>
      </c>
      <c r="AM20" t="str">
        <v>N/A</v>
      </c>
      <c r="AN20" t="str">
        <v>Done</v>
      </c>
      <c r="AO20" t="str">
        <v/>
      </c>
      <c r="AP20" t="str">
        <v>2026-02-20</v>
      </c>
      <c r="AQ20" t="str">
        <v>2026-02-27</v>
      </c>
      <c r="AR20" t="str">
        <v>N/A</v>
      </c>
      <c r="AS20" t="str">
        <v/>
      </c>
      <c r="AT20" t="str">
        <v>2026-03-06</v>
      </c>
      <c r="AU20" t="str">
        <v/>
      </c>
      <c r="AV20" t="str">
        <v>2026-03-06</v>
      </c>
    </row>
    <row r="21">
      <c r="A21" t="str">
        <v/>
      </c>
      <c r="B21" t="str">
        <v/>
      </c>
      <c r="C21" t="str">
        <v/>
      </c>
      <c r="D21" t="str">
        <v>• No critical design work outstanding for sprint execution</v>
      </c>
      <c r="E21" t="str">
        <v>H</v>
      </c>
      <c r="F21" t="str">
        <v>2026-01-09</v>
      </c>
      <c r="G21" t="str">
        <v>2026-01-09</v>
      </c>
      <c r="H21" t="str">
        <v>2026-01-09</v>
      </c>
      <c r="I21" t="str">
        <v>2026-02-11</v>
      </c>
      <c r="J21" t="str">
        <v>2026-02-20</v>
      </c>
      <c r="K21" t="str">
        <v>N/A</v>
      </c>
      <c r="L21" t="str">
        <v>N/A</v>
      </c>
      <c r="M21" t="str">
        <v>Done</v>
      </c>
      <c r="N21" t="str">
        <v>Done</v>
      </c>
      <c r="O21" t="str">
        <v/>
      </c>
      <c r="P21" t="str">
        <v>Done</v>
      </c>
      <c r="Q21" t="str">
        <v>Done</v>
      </c>
      <c r="R21" t="str">
        <v/>
      </c>
      <c r="S21" t="str">
        <v>2026-01-30</v>
      </c>
      <c r="T21" t="str">
        <v>2026-02-11</v>
      </c>
      <c r="U21" t="str">
        <v>2026-01-24</v>
      </c>
      <c r="V21" t="str">
        <v>2026-02-11</v>
      </c>
      <c r="W21" t="str">
        <v>2026-02-04</v>
      </c>
      <c r="X21" t="str">
        <v>2026-02-04</v>
      </c>
      <c r="Y21" t="str">
        <v>2026-02-09</v>
      </c>
      <c r="Z21" t="str">
        <v>N/A</v>
      </c>
      <c r="AA21" t="str">
        <v>N/A</v>
      </c>
      <c r="AB21" t="str">
        <v>N/A</v>
      </c>
      <c r="AC21" t="str">
        <v>Done</v>
      </c>
      <c r="AD21" t="str">
        <v>Done</v>
      </c>
      <c r="AE21" t="str">
        <v/>
      </c>
      <c r="AF21" t="str">
        <v>2026-02-04</v>
      </c>
      <c r="AG21" t="str">
        <v>2026-02-04</v>
      </c>
      <c r="AH21" t="str">
        <v>2026-02-16</v>
      </c>
      <c r="AI21" t="str">
        <v>N/A</v>
      </c>
      <c r="AJ21" t="str">
        <v>2026-02-27</v>
      </c>
      <c r="AK21" t="str">
        <v>2026-02-27</v>
      </c>
      <c r="AL21" t="str">
        <v>2026-02-27</v>
      </c>
      <c r="AM21" t="str">
        <v>N/A</v>
      </c>
      <c r="AN21" t="str">
        <v>Done</v>
      </c>
      <c r="AO21" t="str">
        <v/>
      </c>
      <c r="AP21" t="str">
        <v>2026-02-20</v>
      </c>
      <c r="AQ21" t="str">
        <v>2026-02-27</v>
      </c>
      <c r="AR21" t="str">
        <v>N/A</v>
      </c>
      <c r="AS21" t="str">
        <v/>
      </c>
      <c r="AT21" t="str">
        <v>2026-03-06</v>
      </c>
      <c r="AU21" t="str">
        <v/>
      </c>
      <c r="AV21" t="str">
        <v>2026-03-06</v>
      </c>
    </row>
    <row r="22">
      <c r="A22" t="str">
        <v>4. Solution Architectures (SAs) Drafted</v>
      </c>
      <c r="B22" t="str">
        <v>Richard (coordination)</v>
      </c>
      <c r="C22" t="str">
        <v>Grounds delivery commitments in technical reality and surfaces assumptions, risks, and trade-offs early.</v>
      </c>
      <c r="D22" t="str">
        <v>• SAs drafted for each epic</v>
      </c>
      <c r="E22" t="str">
        <v>I</v>
      </c>
      <c r="F22" t="str">
        <v>N/A</v>
      </c>
      <c r="G22" t="str">
        <v>N/A</v>
      </c>
      <c r="H22" t="str">
        <v>N/A</v>
      </c>
      <c r="I22" t="str">
        <v>N/A</v>
      </c>
      <c r="J22" t="str">
        <v>N/A</v>
      </c>
      <c r="K22" t="str">
        <v>N/A</v>
      </c>
      <c r="L22" t="str">
        <v>2026-01-23</v>
      </c>
      <c r="M22" t="str">
        <v>2026-01-23</v>
      </c>
      <c r="N22" t="str">
        <v>Done</v>
      </c>
      <c r="O22" t="str">
        <v/>
      </c>
      <c r="P22" t="str">
        <v>Done</v>
      </c>
      <c r="Q22" t="str">
        <v>Done</v>
      </c>
      <c r="R22" t="str">
        <v/>
      </c>
      <c r="S22" t="str">
        <v>N/A</v>
      </c>
      <c r="T22" t="str">
        <v>N/A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2026-02-13</v>
      </c>
      <c r="AC22" t="str">
        <v>Done</v>
      </c>
      <c r="AD22" t="str">
        <v>Done</v>
      </c>
      <c r="AE22" t="str">
        <v/>
      </c>
      <c r="AF22" t="str">
        <v>N/A</v>
      </c>
      <c r="AG22" t="str">
        <v>N/A</v>
      </c>
      <c r="AH22" t="str">
        <v>N/A</v>
      </c>
      <c r="AI22" t="str">
        <v>N/A</v>
      </c>
      <c r="AJ22" t="str">
        <v>N/A</v>
      </c>
      <c r="AK22" t="str">
        <v>N/A</v>
      </c>
      <c r="AL22" t="str">
        <v/>
      </c>
      <c r="AM22" t="str">
        <v>2026-02-27</v>
      </c>
      <c r="AN22" t="str">
        <v>Done</v>
      </c>
      <c r="AO22" t="str">
        <v/>
      </c>
      <c r="AP22" t="str">
        <v>N/A</v>
      </c>
      <c r="AQ22" t="str">
        <v/>
      </c>
      <c r="AR22" t="str">
        <v>N/A</v>
      </c>
      <c r="AS22" t="str">
        <v/>
      </c>
      <c r="AT22" t="str">
        <v/>
      </c>
      <c r="AU22" t="str">
        <v/>
      </c>
      <c r="AV22" t="str">
        <v/>
      </c>
    </row>
    <row r="23">
      <c r="A23" t="str">
        <v/>
      </c>
      <c r="B23" t="str">
        <v/>
      </c>
      <c r="C23" t="str">
        <v/>
      </c>
      <c r="D23" t="str">
        <v>• Architecture simplified to MVP</v>
      </c>
      <c r="E23" t="str">
        <v>I</v>
      </c>
      <c r="F23" t="str">
        <v>N/A</v>
      </c>
      <c r="G23" t="str">
        <v>N/A</v>
      </c>
      <c r="H23" t="str">
        <v>N/A</v>
      </c>
      <c r="I23" t="str">
        <v>N/A</v>
      </c>
      <c r="J23" t="str">
        <v>N/A</v>
      </c>
      <c r="K23" t="str">
        <v>N/A</v>
      </c>
      <c r="L23" t="str">
        <v>2026-01-23</v>
      </c>
      <c r="M23" t="str">
        <v>2026-01-23</v>
      </c>
      <c r="N23" t="str">
        <v>Done</v>
      </c>
      <c r="O23" t="str">
        <v/>
      </c>
      <c r="P23" t="str">
        <v>Done</v>
      </c>
      <c r="Q23" t="str">
        <v>Done</v>
      </c>
      <c r="R23" t="str">
        <v/>
      </c>
      <c r="S23" t="str">
        <v>N/A</v>
      </c>
      <c r="T23" t="str">
        <v>N/A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2026-02-13</v>
      </c>
      <c r="AC23" t="str">
        <v>Done</v>
      </c>
      <c r="AD23" t="str">
        <v>Done</v>
      </c>
      <c r="AE23" t="str">
        <v/>
      </c>
      <c r="AF23" t="str">
        <v>N/A</v>
      </c>
      <c r="AG23" t="str">
        <v>N/A</v>
      </c>
      <c r="AH23" t="str">
        <v>N/A</v>
      </c>
      <c r="AI23" t="str">
        <v>N/A</v>
      </c>
      <c r="AJ23" t="str">
        <v>N/A</v>
      </c>
      <c r="AK23" t="str">
        <v>N/A</v>
      </c>
      <c r="AL23" t="str">
        <v/>
      </c>
      <c r="AM23" t="str">
        <v>2026-02-27</v>
      </c>
      <c r="AN23" t="str">
        <v>Done</v>
      </c>
      <c r="AO23" t="str">
        <v/>
      </c>
      <c r="AP23" t="str">
        <v>N/A</v>
      </c>
      <c r="AQ23" t="str">
        <v/>
      </c>
      <c r="AR23" t="str">
        <v>N/A</v>
      </c>
      <c r="AS23" t="str">
        <v/>
      </c>
      <c r="AT23" t="str">
        <v/>
      </c>
      <c r="AU23" t="str">
        <v/>
      </c>
      <c r="AV23" t="str">
        <v/>
      </c>
    </row>
    <row r="24">
      <c r="A24" t="str">
        <v/>
      </c>
      <c r="B24" t="str">
        <v/>
      </c>
      <c r="C24" t="str">
        <v/>
      </c>
      <c r="D24" t="str">
        <v>• Technical assumptions and risks explicit</v>
      </c>
      <c r="E24" t="str">
        <v>I</v>
      </c>
      <c r="F24" t="str">
        <v>N/A</v>
      </c>
      <c r="G24" t="str">
        <v>N/A</v>
      </c>
      <c r="H24" t="str">
        <v>N/A</v>
      </c>
      <c r="I24" t="str">
        <v>N/A</v>
      </c>
      <c r="J24" t="str">
        <v>N/A</v>
      </c>
      <c r="K24" t="str">
        <v>N/A</v>
      </c>
      <c r="L24" t="str">
        <v>2026-01-23</v>
      </c>
      <c r="M24" t="str">
        <v>2026-01-23</v>
      </c>
      <c r="N24" t="str">
        <v>Done</v>
      </c>
      <c r="O24" t="str">
        <v/>
      </c>
      <c r="P24" t="str">
        <v>Done</v>
      </c>
      <c r="Q24" t="str">
        <v>Done</v>
      </c>
      <c r="R24" t="str">
        <v/>
      </c>
      <c r="S24" t="str">
        <v>N/A</v>
      </c>
      <c r="T24" t="str">
        <v>N/A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2026-02-13</v>
      </c>
      <c r="AC24" t="str">
        <v>Done</v>
      </c>
      <c r="AD24" t="str">
        <v>Done</v>
      </c>
      <c r="AE24" t="str">
        <v/>
      </c>
      <c r="AF24" t="str">
        <v>N/A</v>
      </c>
      <c r="AG24" t="str">
        <v>N/A</v>
      </c>
      <c r="AH24" t="str">
        <v>N/A</v>
      </c>
      <c r="AI24" t="str">
        <v>N/A</v>
      </c>
      <c r="AJ24" t="str">
        <v>N/A</v>
      </c>
      <c r="AK24" t="str">
        <v>N/A</v>
      </c>
      <c r="AL24" t="str">
        <v/>
      </c>
      <c r="AM24" t="str">
        <v>2026-02-27</v>
      </c>
      <c r="AN24" t="str">
        <v>Done</v>
      </c>
      <c r="AO24" t="str">
        <v/>
      </c>
      <c r="AP24" t="str">
        <v>N/A</v>
      </c>
      <c r="AQ24" t="str">
        <v/>
      </c>
      <c r="AR24" t="str">
        <v>N/A</v>
      </c>
      <c r="AS24" t="str">
        <v/>
      </c>
      <c r="AT24" t="str">
        <v/>
      </c>
      <c r="AU24" t="str">
        <v/>
      </c>
      <c r="AV24" t="str">
        <v/>
      </c>
    </row>
    <row r="25">
      <c r="A25" t="str">
        <v/>
      </c>
      <c r="B25" t="str">
        <v/>
      </c>
      <c r="C25" t="str">
        <v/>
      </c>
      <c r="D25" t="str">
        <v>• Key trade-offs documented</v>
      </c>
      <c r="E25" t="str">
        <v>I</v>
      </c>
      <c r="F25" t="str">
        <v>N/A</v>
      </c>
      <c r="G25" t="str">
        <v>N/A</v>
      </c>
      <c r="H25" t="str">
        <v>N/A</v>
      </c>
      <c r="I25" t="str">
        <v>N/A</v>
      </c>
      <c r="J25" t="str">
        <v>N/A</v>
      </c>
      <c r="K25" t="str">
        <v>N/A</v>
      </c>
      <c r="L25" t="str">
        <v>2026-01-23</v>
      </c>
      <c r="M25" t="str">
        <v>2026-01-23</v>
      </c>
      <c r="N25" t="str">
        <v>Done</v>
      </c>
      <c r="O25" t="str">
        <v/>
      </c>
      <c r="P25" t="str">
        <v>Done</v>
      </c>
      <c r="Q25" t="str">
        <v>Done</v>
      </c>
      <c r="R25" t="str">
        <v/>
      </c>
      <c r="S25" t="str">
        <v>N/A</v>
      </c>
      <c r="T25" t="str">
        <v>N/A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2026-02-13</v>
      </c>
      <c r="AC25" t="str">
        <v>Done</v>
      </c>
      <c r="AD25" t="str">
        <v>Done</v>
      </c>
      <c r="AE25" t="str">
        <v/>
      </c>
      <c r="AF25" t="str">
        <v>N/A</v>
      </c>
      <c r="AG25" t="str">
        <v>N/A</v>
      </c>
      <c r="AH25" t="str">
        <v>N/A</v>
      </c>
      <c r="AI25" t="str">
        <v>N/A</v>
      </c>
      <c r="AJ25" t="str">
        <v>N/A</v>
      </c>
      <c r="AK25" t="str">
        <v>N/A</v>
      </c>
      <c r="AL25" t="str">
        <v/>
      </c>
      <c r="AM25" t="str">
        <v>2026-02-27</v>
      </c>
      <c r="AN25" t="str">
        <v>Done</v>
      </c>
      <c r="AO25" t="str">
        <v/>
      </c>
      <c r="AP25" t="str">
        <v>N/A</v>
      </c>
      <c r="AQ25" t="str">
        <v/>
      </c>
      <c r="AR25" t="str">
        <v>N/A</v>
      </c>
      <c r="AS25" t="str">
        <v/>
      </c>
      <c r="AT25" t="str">
        <v/>
      </c>
      <c r="AU25" t="str">
        <v/>
      </c>
      <c r="AV25" t="str">
        <v/>
      </c>
    </row>
    <row r="26">
      <c r="A26" t="str">
        <v>5. SAs Reviewed &amp; Approved</v>
      </c>
      <c r="B26" t="str">
        <v>Jerome</v>
      </c>
      <c r="C26" t="str">
        <v>Locks technical feasibility before commitments are made and avoids late architectural rework.</v>
      </c>
      <c r="D26" t="str">
        <v>• SAs reviewed and approved</v>
      </c>
      <c r="E26" t="str">
        <v>J</v>
      </c>
      <c r="F26" t="str">
        <v>2026-01-16</v>
      </c>
      <c r="G26" t="str">
        <v>2026-01-16</v>
      </c>
      <c r="H26" t="str">
        <v>2026-01-16</v>
      </c>
      <c r="I26" t="str">
        <v>2026-02-25</v>
      </c>
      <c r="J26" t="str">
        <v>2026-02-23</v>
      </c>
      <c r="K26" t="str">
        <v>2026-01-23</v>
      </c>
      <c r="L26" t="str">
        <v>2026-01-23</v>
      </c>
      <c r="M26" t="str">
        <v>2026-01-29</v>
      </c>
      <c r="N26" t="str">
        <v>Done</v>
      </c>
      <c r="O26" t="str">
        <v/>
      </c>
      <c r="P26" t="str">
        <v>Done</v>
      </c>
      <c r="Q26" t="str">
        <v>Done</v>
      </c>
      <c r="R26" t="str">
        <v/>
      </c>
      <c r="S26" t="str">
        <v>2026-02-13</v>
      </c>
      <c r="T26" t="str">
        <v>2026-02-17</v>
      </c>
      <c r="U26" t="str">
        <v>2026-02-16</v>
      </c>
      <c r="V26" t="str">
        <v>2026-02-13</v>
      </c>
      <c r="W26" t="str">
        <v>2026-02-20</v>
      </c>
      <c r="X26" t="str">
        <v>2026-02-20</v>
      </c>
      <c r="Y26" t="str">
        <v>2026-02-13</v>
      </c>
      <c r="Z26" t="str">
        <v>2026-02-20</v>
      </c>
      <c r="AA26" t="str">
        <v>2026-02-17</v>
      </c>
      <c r="AB26" t="str">
        <v>2026-02-25</v>
      </c>
      <c r="AC26" t="str">
        <v>Done</v>
      </c>
      <c r="AD26" t="str">
        <v>Done</v>
      </c>
      <c r="AE26" t="str">
        <v/>
      </c>
      <c r="AF26" t="str">
        <v>2026-02-16</v>
      </c>
      <c r="AG26" t="str">
        <v>2026-02-20</v>
      </c>
      <c r="AH26" t="str">
        <v>2026-02-23</v>
      </c>
      <c r="AI26" t="str">
        <v>2026-02-17</v>
      </c>
      <c r="AJ26" t="str">
        <v>2026-02-27</v>
      </c>
      <c r="AK26" t="str">
        <v>2026-02-27</v>
      </c>
      <c r="AL26" t="str">
        <v>2026-02-27</v>
      </c>
      <c r="AM26" t="str">
        <v>2026-03-27</v>
      </c>
      <c r="AN26" t="str">
        <v>Done</v>
      </c>
      <c r="AO26" t="str">
        <v/>
      </c>
      <c r="AP26" t="str">
        <v>2026-02-27</v>
      </c>
      <c r="AQ26" t="str">
        <v>2026-03-04</v>
      </c>
      <c r="AR26" t="str">
        <v>N/A</v>
      </c>
      <c r="AS26" t="str">
        <v/>
      </c>
      <c r="AT26" t="str">
        <v>2026-03-11</v>
      </c>
      <c r="AU26" t="str">
        <v/>
      </c>
      <c r="AV26" t="str">
        <v>2026-02-11</v>
      </c>
    </row>
    <row r="27">
      <c r="A27" t="str">
        <v/>
      </c>
      <c r="B27" t="str">
        <v/>
      </c>
      <c r="C27" t="str">
        <v/>
      </c>
      <c r="D27" t="str">
        <v>• Risks accepted or mitigated</v>
      </c>
      <c r="E27" t="str">
        <v>J</v>
      </c>
      <c r="F27" t="str">
        <v>2026-01-16</v>
      </c>
      <c r="G27" t="str">
        <v>2026-01-16</v>
      </c>
      <c r="H27" t="str">
        <v>2026-01-16</v>
      </c>
      <c r="I27" t="str">
        <v>2026-02-25</v>
      </c>
      <c r="J27" t="str">
        <v>2026-02-23</v>
      </c>
      <c r="K27" t="str">
        <v>2026-01-23</v>
      </c>
      <c r="L27" t="str">
        <v>2026-01-23</v>
      </c>
      <c r="M27" t="str">
        <v>2026-01-29</v>
      </c>
      <c r="N27" t="str">
        <v>Done</v>
      </c>
      <c r="O27" t="str">
        <v/>
      </c>
      <c r="P27" t="str">
        <v>Done</v>
      </c>
      <c r="Q27" t="str">
        <v>Done</v>
      </c>
      <c r="R27" t="str">
        <v/>
      </c>
      <c r="S27" t="str">
        <v>2026-02-13</v>
      </c>
      <c r="T27" t="str">
        <v>2026-02-17</v>
      </c>
      <c r="U27" t="str">
        <v>2026-02-16</v>
      </c>
      <c r="V27" t="str">
        <v>2026-02-13</v>
      </c>
      <c r="W27" t="str">
        <v>2026-02-20</v>
      </c>
      <c r="X27" t="str">
        <v>2026-02-20</v>
      </c>
      <c r="Y27" t="str">
        <v>2026-02-13</v>
      </c>
      <c r="Z27" t="str">
        <v>2026-02-20</v>
      </c>
      <c r="AA27" t="str">
        <v>2026-02-17</v>
      </c>
      <c r="AB27" t="str">
        <v>2026-02-25</v>
      </c>
      <c r="AC27" t="str">
        <v>Done</v>
      </c>
      <c r="AD27" t="str">
        <v>Done</v>
      </c>
      <c r="AE27" t="str">
        <v/>
      </c>
      <c r="AF27" t="str">
        <v>2026-02-16</v>
      </c>
      <c r="AG27" t="str">
        <v>2026-02-20</v>
      </c>
      <c r="AH27" t="str">
        <v>2026-02-23</v>
      </c>
      <c r="AI27" t="str">
        <v>2026-02-17</v>
      </c>
      <c r="AJ27" t="str">
        <v>2026-02-27</v>
      </c>
      <c r="AK27" t="str">
        <v>2026-02-27</v>
      </c>
      <c r="AL27" t="str">
        <v>2026-02-27</v>
      </c>
      <c r="AM27" t="str">
        <v>2026-03-27</v>
      </c>
      <c r="AN27" t="str">
        <v>Done</v>
      </c>
      <c r="AO27" t="str">
        <v/>
      </c>
      <c r="AP27" t="str">
        <v>2026-02-27</v>
      </c>
      <c r="AQ27" t="str">
        <v>2026-03-04</v>
      </c>
      <c r="AR27" t="str">
        <v>N/A</v>
      </c>
      <c r="AS27" t="str">
        <v/>
      </c>
      <c r="AT27" t="str">
        <v>2026-03-11</v>
      </c>
      <c r="AU27" t="str">
        <v/>
      </c>
      <c r="AV27" t="str">
        <v>2026-02-11</v>
      </c>
    </row>
    <row r="28">
      <c r="A28" t="str">
        <v/>
      </c>
      <c r="B28" t="str">
        <v/>
      </c>
      <c r="C28" t="str">
        <v/>
      </c>
      <c r="D28" t="str">
        <v>• No unresolved feasibility questions</v>
      </c>
      <c r="E28" t="str">
        <v>J</v>
      </c>
      <c r="F28" t="str">
        <v>2026-01-16</v>
      </c>
      <c r="G28" t="str">
        <v>2026-01-16</v>
      </c>
      <c r="H28" t="str">
        <v>2026-01-16</v>
      </c>
      <c r="I28" t="str">
        <v>2026-02-25</v>
      </c>
      <c r="J28" t="str">
        <v>2026-02-23</v>
      </c>
      <c r="K28" t="str">
        <v>2026-01-23</v>
      </c>
      <c r="L28" t="str">
        <v>2026-01-23</v>
      </c>
      <c r="M28" t="str">
        <v>2026-01-29</v>
      </c>
      <c r="N28" t="str">
        <v>Done</v>
      </c>
      <c r="O28" t="str">
        <v/>
      </c>
      <c r="P28" t="str">
        <v>Done</v>
      </c>
      <c r="Q28" t="str">
        <v>Done</v>
      </c>
      <c r="R28" t="str">
        <v/>
      </c>
      <c r="S28" t="str">
        <v>2026-02-13</v>
      </c>
      <c r="T28" t="str">
        <v>2026-02-17</v>
      </c>
      <c r="U28" t="str">
        <v>2026-02-16</v>
      </c>
      <c r="V28" t="str">
        <v>2026-02-13</v>
      </c>
      <c r="W28" t="str">
        <v>2026-02-20</v>
      </c>
      <c r="X28" t="str">
        <v>2026-02-20</v>
      </c>
      <c r="Y28" t="str">
        <v>2026-02-13</v>
      </c>
      <c r="Z28" t="str">
        <v>2026-02-20</v>
      </c>
      <c r="AA28" t="str">
        <v>2026-02-17</v>
      </c>
      <c r="AB28" t="str">
        <v>2026-02-25</v>
      </c>
      <c r="AC28" t="str">
        <v>Done</v>
      </c>
      <c r="AD28" t="str">
        <v>Done</v>
      </c>
      <c r="AE28" t="str">
        <v/>
      </c>
      <c r="AF28" t="str">
        <v>2026-02-16</v>
      </c>
      <c r="AG28" t="str">
        <v>2026-02-20</v>
      </c>
      <c r="AH28" t="str">
        <v>2026-02-23</v>
      </c>
      <c r="AI28" t="str">
        <v>2026-02-17</v>
      </c>
      <c r="AJ28" t="str">
        <v>2026-02-27</v>
      </c>
      <c r="AK28" t="str">
        <v>2026-02-27</v>
      </c>
      <c r="AL28" t="str">
        <v>2026-02-27</v>
      </c>
      <c r="AM28" t="str">
        <v>2026-03-27</v>
      </c>
      <c r="AN28" t="str">
        <v>Done</v>
      </c>
      <c r="AO28" t="str">
        <v/>
      </c>
      <c r="AP28" t="str">
        <v>2026-02-27</v>
      </c>
      <c r="AQ28" t="str">
        <v>2026-03-04</v>
      </c>
      <c r="AR28" t="str">
        <v>N/A</v>
      </c>
      <c r="AS28" t="str">
        <v/>
      </c>
      <c r="AT28" t="str">
        <v>2026-03-11</v>
      </c>
      <c r="AU28" t="str">
        <v/>
      </c>
      <c r="AV28" t="str">
        <v>2026-02-11</v>
      </c>
    </row>
    <row r="29">
      <c r="A29" t="str">
        <v/>
      </c>
      <c r="B29" t="str">
        <v/>
      </c>
      <c r="C29" t="str">
        <v/>
      </c>
      <c r="D29" t="str">
        <v>• Delivery implications understood by Delivery Manager</v>
      </c>
      <c r="E29" t="str">
        <v>J</v>
      </c>
      <c r="F29" t="str">
        <v>2026-01-16</v>
      </c>
      <c r="G29" t="str">
        <v>2026-01-16</v>
      </c>
      <c r="H29" t="str">
        <v>2026-01-16</v>
      </c>
      <c r="I29" t="str">
        <v>2026-02-25</v>
      </c>
      <c r="J29" t="str">
        <v>2026-02-23</v>
      </c>
      <c r="K29" t="str">
        <v>2026-01-23</v>
      </c>
      <c r="L29" t="str">
        <v>2026-01-23</v>
      </c>
      <c r="M29" t="str">
        <v>2026-01-29</v>
      </c>
      <c r="N29" t="str">
        <v>Done</v>
      </c>
      <c r="O29" t="str">
        <v/>
      </c>
      <c r="P29" t="str">
        <v>Done</v>
      </c>
      <c r="Q29" t="str">
        <v>Done</v>
      </c>
      <c r="R29" t="str">
        <v/>
      </c>
      <c r="S29" t="str">
        <v>2026-02-13</v>
      </c>
      <c r="T29" t="str">
        <v>2026-02-17</v>
      </c>
      <c r="U29" t="str">
        <v>2026-02-16</v>
      </c>
      <c r="V29" t="str">
        <v>2026-02-13</v>
      </c>
      <c r="W29" t="str">
        <v>2026-02-20</v>
      </c>
      <c r="X29" t="str">
        <v>2026-02-20</v>
      </c>
      <c r="Y29" t="str">
        <v>2026-02-13</v>
      </c>
      <c r="Z29" t="str">
        <v>2026-02-20</v>
      </c>
      <c r="AA29" t="str">
        <v>2026-02-17</v>
      </c>
      <c r="AB29" t="str">
        <v>2026-02-25</v>
      </c>
      <c r="AC29" t="str">
        <v>Done</v>
      </c>
      <c r="AD29" t="str">
        <v>Done</v>
      </c>
      <c r="AE29" t="str">
        <v/>
      </c>
      <c r="AF29" t="str">
        <v>2026-02-16</v>
      </c>
      <c r="AG29" t="str">
        <v>2026-02-20</v>
      </c>
      <c r="AH29" t="str">
        <v>2026-02-23</v>
      </c>
      <c r="AI29" t="str">
        <v>2026-02-17</v>
      </c>
      <c r="AJ29" t="str">
        <v>2026-02-27</v>
      </c>
      <c r="AK29" t="str">
        <v>2026-02-27</v>
      </c>
      <c r="AL29" t="str">
        <v>2026-02-27</v>
      </c>
      <c r="AM29" t="str">
        <v>2026-03-27</v>
      </c>
      <c r="AN29" t="str">
        <v>Done</v>
      </c>
      <c r="AO29" t="str">
        <v/>
      </c>
      <c r="AP29" t="str">
        <v>2026-02-27</v>
      </c>
      <c r="AQ29" t="str">
        <v>2026-03-04</v>
      </c>
      <c r="AR29" t="str">
        <v>N/A</v>
      </c>
      <c r="AS29" t="str">
        <v/>
      </c>
      <c r="AT29" t="str">
        <v>2026-03-11</v>
      </c>
      <c r="AU29" t="str">
        <v/>
      </c>
      <c r="AV29" t="str">
        <v>2026-02-11</v>
      </c>
    </row>
    <row r="30" xml:space="preserve">
      <c r="A30" t="str">
        <v/>
      </c>
      <c r="B30" t="str">
        <v/>
      </c>
      <c r="C30" t="str">
        <v/>
      </c>
      <c r="D30" t="str" xml:space="preserve">
        <v xml:space="preserve">• All the required Jira tickets have been reviewed and align with the SA_x000d_
The dates committed, as well as assumptions and effort estimate made in Gate 1, remain valid  </v>
      </c>
      <c r="E30" t="str">
        <v>J</v>
      </c>
      <c r="F30" t="str">
        <v>2026-01-16</v>
      </c>
      <c r="G30" t="str">
        <v>2026-01-16</v>
      </c>
      <c r="H30" t="str">
        <v>2026-01-16</v>
      </c>
      <c r="I30" t="str">
        <v>2026-02-25</v>
      </c>
      <c r="J30" t="str">
        <v>2026-02-23</v>
      </c>
      <c r="K30" t="str">
        <v>2026-01-23</v>
      </c>
      <c r="L30" t="str">
        <v>2026-01-23</v>
      </c>
      <c r="M30" t="str">
        <v>2026-01-29</v>
      </c>
      <c r="N30" t="str">
        <v>Done</v>
      </c>
      <c r="O30" t="str">
        <v/>
      </c>
      <c r="P30" t="str">
        <v>Done</v>
      </c>
      <c r="Q30" t="str">
        <v>Done</v>
      </c>
      <c r="R30" t="str">
        <v/>
      </c>
      <c r="S30" t="str">
        <v>2026-02-13</v>
      </c>
      <c r="T30" t="str">
        <v>2026-02-17</v>
      </c>
      <c r="U30" t="str">
        <v>2026-02-16</v>
      </c>
      <c r="V30" t="str">
        <v>2026-02-13</v>
      </c>
      <c r="W30" t="str">
        <v>2026-02-20</v>
      </c>
      <c r="X30" t="str">
        <v>2026-02-20</v>
      </c>
      <c r="Y30" t="str">
        <v>2026-02-13</v>
      </c>
      <c r="Z30" t="str">
        <v>2026-02-20</v>
      </c>
      <c r="AA30" t="str">
        <v>2026-02-17</v>
      </c>
      <c r="AB30" t="str">
        <v>2026-02-25</v>
      </c>
      <c r="AC30" t="str">
        <v>Done</v>
      </c>
      <c r="AD30" t="str">
        <v>Done</v>
      </c>
      <c r="AE30" t="str">
        <v/>
      </c>
      <c r="AF30" t="str">
        <v>2026-02-16</v>
      </c>
      <c r="AG30" t="str">
        <v>2026-02-20</v>
      </c>
      <c r="AH30" t="str">
        <v>2026-02-23</v>
      </c>
      <c r="AI30" t="str">
        <v>2026-02-17</v>
      </c>
      <c r="AJ30" t="str">
        <v>2026-02-27</v>
      </c>
      <c r="AK30" t="str">
        <v>2026-02-27</v>
      </c>
      <c r="AL30" t="str">
        <v>2026-02-27</v>
      </c>
      <c r="AM30" t="str">
        <v>2026-03-27</v>
      </c>
      <c r="AN30" t="str">
        <v>Done</v>
      </c>
      <c r="AO30" t="str">
        <v/>
      </c>
      <c r="AP30" t="str">
        <v>2026-02-27</v>
      </c>
      <c r="AQ30" t="str">
        <v>2026-03-04</v>
      </c>
      <c r="AR30" t="str">
        <v>N/A</v>
      </c>
      <c r="AS30" t="str">
        <v/>
      </c>
      <c r="AT30" t="str">
        <v>2026-03-11</v>
      </c>
      <c r="AU30" t="str">
        <v/>
      </c>
      <c r="AV30" t="str">
        <v>2026-02-11</v>
      </c>
    </row>
    <row r="31">
      <c r="A31" t="str">
        <v>6. Performance-Aware Design Approved</v>
      </c>
      <c r="B31" t="str">
        <v>Yoong</v>
      </c>
      <c r="C31" t="str">
        <v>Ensures design and architectural decisions do not inherently introduce performance, scalability, or data-related risk.</v>
      </c>
      <c r="D31" t="str">
        <v>• NFR defined (SLOs, throughput, user capacity)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</row>
  </sheetData>
  <ignoredErrors>
    <ignoredError numberStoredAsText="1" sqref="A1:A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 Plan - Review SP (WIP)</vt:lpstr>
      <vt:lpstr>Capacity</vt:lpstr>
      <vt:lpstr>Teams Allocation</vt:lpstr>
      <vt:lpstr>MVP Meetings</vt:lpstr>
      <vt:lpstr>Action Log</vt:lpstr>
      <vt:lpstr>Current Defects</vt:lpstr>
      <vt:lpstr>stage</vt:lpstr>
      <vt:lpstr>Work Plan V3</vt:lpstr>
      <vt:lpstr>stage-gates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2025-12-11T00:37:51Z</dcterms:created>
  <dcterms:modified xsi:type="dcterms:W3CDTF">2026-02-16T15:58:57Z</dcterms:modified>
  <cp:lastModifiedBy>Richard Casey</cp:lastModifiedBy>
  <dc:creator>Minas Kamel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