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https://bmestimating.sharepoint.com/sites/NHPhase-3/Shared Documents/Project Plans/NH Project Artefacts/"/>
    </mc:Choice>
  </mc:AlternateContent>
  <xr:revisionPtr revIDLastSave="2348" documentId="13_ncr:1_{30910C2E-115F-724A-AD59-3B2F0C7C66F5}" xr6:coauthVersionLast="47" xr6:coauthVersionMax="47" xr10:uidLastSave="{EA8041B4-7E3E-194D-A7BB-D9C2DF375F45}"/>
  <bookViews>
    <workbookView xWindow="-22080" yWindow="-20980" windowWidth="36620" windowHeight="20680" firstSheet="5" activeTab="5" xr2:uid="{00000000-000D-0000-FFFF-FFFF00000000}"/>
  </bookViews>
  <sheets>
    <sheet name="Work Plan" sheetId="1" r:id="rId1"/>
    <sheet name="Capacity" sheetId="2" r:id="rId2"/>
    <sheet name="Work Plan - Review SP (WIP)" sheetId="3" r:id="rId3"/>
    <sheet name="Teams Allocation" sheetId="5" r:id="rId4"/>
    <sheet name="MVP Meetings" sheetId="6" r:id="rId5"/>
    <sheet name="Work Plan V2" sheetId="7" r:id="rId6"/>
    <sheet name="Stage Gate Tracker" sheetId="9" r:id="rId7"/>
    <sheet name="Weekly 05-Jan" sheetId="8" r:id="rId8"/>
    <sheet name="Action Log" sheetId="10" r:id="rId9"/>
  </sheets>
  <definedNames>
    <definedName name="_xlnm._FilterDatabase" localSheetId="0" hidden="1">'Work Plan'!$B$1:$CM$1011</definedName>
    <definedName name="_xlnm._FilterDatabase" localSheetId="5" hidden="1">'Work Plan V2'!$B$2:$DR$29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CRULuOHk2hpsi4p+ZwsVVCRD8MCY1+rmQwHFS40oSmc="/>
    </ext>
  </extLst>
</workbook>
</file>

<file path=xl/calcChain.xml><?xml version="1.0" encoding="utf-8"?>
<calcChain xmlns="http://schemas.openxmlformats.org/spreadsheetml/2006/main">
  <c r="CI31" i="7" l="1"/>
  <c r="CJ31" i="7"/>
  <c r="CI32" i="7"/>
  <c r="CJ32" i="7"/>
  <c r="CI33" i="7"/>
  <c r="CJ33" i="7"/>
  <c r="CI34" i="7"/>
  <c r="CJ34" i="7"/>
  <c r="CI35" i="7"/>
  <c r="CJ35" i="7"/>
  <c r="CP31" i="7"/>
  <c r="CQ31" i="7"/>
  <c r="CP32" i="7"/>
  <c r="CQ32" i="7"/>
  <c r="CP33" i="7"/>
  <c r="CQ33" i="7"/>
  <c r="CP34" i="7"/>
  <c r="CQ34" i="7"/>
  <c r="CP35" i="7"/>
  <c r="CQ35" i="7"/>
  <c r="CW31" i="7"/>
  <c r="CX31" i="7"/>
  <c r="CW32" i="7"/>
  <c r="CX32" i="7"/>
  <c r="CW33" i="7"/>
  <c r="CX33" i="7"/>
  <c r="CW34" i="7"/>
  <c r="CX34" i="7"/>
  <c r="CW35" i="7"/>
  <c r="CX35" i="7"/>
  <c r="DD31" i="7"/>
  <c r="DE31" i="7"/>
  <c r="DD32" i="7"/>
  <c r="DE32" i="7"/>
  <c r="DD33" i="7"/>
  <c r="DE33" i="7"/>
  <c r="DD34" i="7"/>
  <c r="DE34" i="7"/>
  <c r="DD35" i="7"/>
  <c r="DE35" i="7"/>
  <c r="AB4" i="7"/>
  <c r="AC4" i="7"/>
  <c r="AB5" i="7"/>
  <c r="AC5" i="7"/>
  <c r="AB6" i="7"/>
  <c r="AC6" i="7"/>
  <c r="AB7" i="7"/>
  <c r="AC7" i="7"/>
  <c r="AB8" i="7"/>
  <c r="AC8" i="7"/>
  <c r="AB9" i="7"/>
  <c r="AC9" i="7"/>
  <c r="AB10" i="7"/>
  <c r="AC10" i="7"/>
  <c r="AB11" i="7"/>
  <c r="AC11" i="7"/>
  <c r="AB12" i="7"/>
  <c r="AC12" i="7"/>
  <c r="AB13" i="7"/>
  <c r="AC13" i="7"/>
  <c r="AB14" i="7"/>
  <c r="AC14" i="7"/>
  <c r="AB15" i="7"/>
  <c r="AC15" i="7"/>
  <c r="AB16" i="7"/>
  <c r="AC16" i="7"/>
  <c r="AB17" i="7"/>
  <c r="AC17" i="7"/>
  <c r="AB18" i="7"/>
  <c r="AC18" i="7"/>
  <c r="AB19" i="7"/>
  <c r="AC19" i="7"/>
  <c r="AB20" i="7"/>
  <c r="AC20" i="7"/>
  <c r="AB21" i="7"/>
  <c r="AC21" i="7"/>
  <c r="AB22" i="7"/>
  <c r="AC22" i="7"/>
  <c r="AB23" i="7"/>
  <c r="AC23" i="7"/>
  <c r="AB24" i="7"/>
  <c r="AC24" i="7"/>
  <c r="AB25" i="7"/>
  <c r="AC25" i="7"/>
  <c r="AB26" i="7"/>
  <c r="AC26" i="7"/>
  <c r="AB27" i="7"/>
  <c r="AC27" i="7"/>
  <c r="AB28" i="7"/>
  <c r="AC28" i="7"/>
  <c r="AB3" i="7"/>
  <c r="AC3" i="7"/>
  <c r="DQ35" i="7"/>
  <c r="DP35" i="7"/>
  <c r="DO35" i="7"/>
  <c r="DN35" i="7"/>
  <c r="DM35" i="7"/>
  <c r="DL35" i="7"/>
  <c r="DK35" i="7"/>
  <c r="DJ35" i="7"/>
  <c r="DI35" i="7"/>
  <c r="DH35" i="7"/>
  <c r="DG35" i="7"/>
  <c r="DF35" i="7"/>
  <c r="DC35" i="7"/>
  <c r="DB35" i="7"/>
  <c r="DA35" i="7"/>
  <c r="CZ35" i="7"/>
  <c r="CY35" i="7"/>
  <c r="CV35" i="7"/>
  <c r="CU35" i="7"/>
  <c r="CT35" i="7"/>
  <c r="CS35" i="7"/>
  <c r="CR35" i="7"/>
  <c r="CO35" i="7"/>
  <c r="CN35" i="7"/>
  <c r="CM35" i="7"/>
  <c r="CL35" i="7"/>
  <c r="CK35" i="7"/>
  <c r="CH35" i="7"/>
  <c r="CG35" i="7"/>
  <c r="CF35" i="7"/>
  <c r="CE35" i="7"/>
  <c r="CD35" i="7"/>
  <c r="CC35" i="7"/>
  <c r="CB35" i="7"/>
  <c r="CA35" i="7"/>
  <c r="BZ35" i="7"/>
  <c r="BY35" i="7"/>
  <c r="BX35" i="7"/>
  <c r="BW35" i="7"/>
  <c r="BV35" i="7"/>
  <c r="BU35" i="7"/>
  <c r="BT35" i="7"/>
  <c r="BS35" i="7"/>
  <c r="BR35" i="7"/>
  <c r="BQ35" i="7"/>
  <c r="BP35" i="7"/>
  <c r="BO35" i="7"/>
  <c r="BN35" i="7"/>
  <c r="BM35" i="7"/>
  <c r="BL35" i="7"/>
  <c r="BK35" i="7"/>
  <c r="BJ35" i="7"/>
  <c r="BI35" i="7"/>
  <c r="BH35" i="7"/>
  <c r="BG35" i="7"/>
  <c r="BF35" i="7"/>
  <c r="BE35" i="7"/>
  <c r="BD35" i="7"/>
  <c r="BC35" i="7"/>
  <c r="BB35" i="7"/>
  <c r="BA35" i="7"/>
  <c r="AZ35" i="7"/>
  <c r="AY35" i="7"/>
  <c r="AX35" i="7"/>
  <c r="AW35" i="7"/>
  <c r="AV35" i="7"/>
  <c r="AU35" i="7"/>
  <c r="AT35" i="7"/>
  <c r="AS35" i="7"/>
  <c r="AR35" i="7"/>
  <c r="AQ35" i="7"/>
  <c r="AP35" i="7"/>
  <c r="AO35" i="7"/>
  <c r="AN35" i="7"/>
  <c r="AM35" i="7"/>
  <c r="AL35" i="7"/>
  <c r="AK35" i="7"/>
  <c r="AJ35" i="7"/>
  <c r="AI35" i="7"/>
  <c r="AH35" i="7"/>
  <c r="AG35" i="7"/>
  <c r="AF35" i="7"/>
  <c r="AE35" i="7"/>
  <c r="AD35" i="7"/>
  <c r="AD32" i="7"/>
  <c r="AE32" i="7"/>
  <c r="AF32" i="7"/>
  <c r="AG32" i="7"/>
  <c r="AH32" i="7"/>
  <c r="AI32" i="7"/>
  <c r="AJ32" i="7"/>
  <c r="AK32" i="7"/>
  <c r="AL32" i="7"/>
  <c r="AM32" i="7"/>
  <c r="AN32" i="7"/>
  <c r="AO32" i="7"/>
  <c r="AP32" i="7"/>
  <c r="AQ32" i="7"/>
  <c r="AR32" i="7"/>
  <c r="AS32" i="7"/>
  <c r="AT32" i="7"/>
  <c r="AU32" i="7"/>
  <c r="AV32" i="7"/>
  <c r="AW32" i="7"/>
  <c r="AX32" i="7"/>
  <c r="AY32" i="7"/>
  <c r="AZ32" i="7"/>
  <c r="BA32" i="7"/>
  <c r="BB32" i="7"/>
  <c r="BC32" i="7"/>
  <c r="BD32" i="7"/>
  <c r="BE32" i="7"/>
  <c r="BF32" i="7"/>
  <c r="BG32" i="7"/>
  <c r="BH32" i="7"/>
  <c r="BI32" i="7"/>
  <c r="BJ32" i="7"/>
  <c r="BK32" i="7"/>
  <c r="BL32" i="7"/>
  <c r="BM32" i="7"/>
  <c r="BN32" i="7"/>
  <c r="BO32" i="7"/>
  <c r="BP32" i="7"/>
  <c r="BQ32" i="7"/>
  <c r="BR32" i="7"/>
  <c r="BS32" i="7"/>
  <c r="BT32" i="7"/>
  <c r="BU32" i="7"/>
  <c r="BV32" i="7"/>
  <c r="BW32" i="7"/>
  <c r="BX32" i="7"/>
  <c r="BY32" i="7"/>
  <c r="BZ32" i="7"/>
  <c r="CA32" i="7"/>
  <c r="CB32" i="7"/>
  <c r="CC32" i="7"/>
  <c r="CD32" i="7"/>
  <c r="CE32" i="7"/>
  <c r="CF32" i="7"/>
  <c r="CG32" i="7"/>
  <c r="CH32" i="7"/>
  <c r="CK32" i="7"/>
  <c r="CL32" i="7"/>
  <c r="CM32" i="7"/>
  <c r="CN32" i="7"/>
  <c r="CO32" i="7"/>
  <c r="CR32" i="7"/>
  <c r="CS32" i="7"/>
  <c r="CT32" i="7"/>
  <c r="CU32" i="7"/>
  <c r="CV32" i="7"/>
  <c r="CY32" i="7"/>
  <c r="CZ32" i="7"/>
  <c r="DA32" i="7"/>
  <c r="DB32" i="7"/>
  <c r="DC32" i="7"/>
  <c r="DF32" i="7"/>
  <c r="DG32" i="7"/>
  <c r="DH32" i="7"/>
  <c r="DI32" i="7"/>
  <c r="DJ32" i="7"/>
  <c r="DK32" i="7"/>
  <c r="DL32" i="7"/>
  <c r="DM32" i="7"/>
  <c r="DN32" i="7"/>
  <c r="DO32" i="7"/>
  <c r="DP32" i="7"/>
  <c r="DQ32" i="7"/>
  <c r="AD33" i="7"/>
  <c r="AE33" i="7"/>
  <c r="AF33" i="7"/>
  <c r="AG33" i="7"/>
  <c r="AH33" i="7"/>
  <c r="AI33" i="7"/>
  <c r="AJ33" i="7"/>
  <c r="AK33" i="7"/>
  <c r="AL33" i="7"/>
  <c r="AM33" i="7"/>
  <c r="AN33" i="7"/>
  <c r="AO33" i="7"/>
  <c r="AP33" i="7"/>
  <c r="AQ33" i="7"/>
  <c r="AR33" i="7"/>
  <c r="AS33" i="7"/>
  <c r="AT33" i="7"/>
  <c r="AU33" i="7"/>
  <c r="AV33" i="7"/>
  <c r="AW33" i="7"/>
  <c r="AX33" i="7"/>
  <c r="AY33" i="7"/>
  <c r="AZ33" i="7"/>
  <c r="BA33" i="7"/>
  <c r="BB33" i="7"/>
  <c r="BC33" i="7"/>
  <c r="BD33" i="7"/>
  <c r="BE33" i="7"/>
  <c r="BF33" i="7"/>
  <c r="BG33" i="7"/>
  <c r="BH33" i="7"/>
  <c r="BI33" i="7"/>
  <c r="BJ33" i="7"/>
  <c r="BK33" i="7"/>
  <c r="BL33" i="7"/>
  <c r="BM33" i="7"/>
  <c r="BN33" i="7"/>
  <c r="BO33" i="7"/>
  <c r="BP33" i="7"/>
  <c r="BQ33" i="7"/>
  <c r="BR33" i="7"/>
  <c r="BS33" i="7"/>
  <c r="BT33" i="7"/>
  <c r="BU33" i="7"/>
  <c r="BV33" i="7"/>
  <c r="BW33" i="7"/>
  <c r="BX33" i="7"/>
  <c r="BY33" i="7"/>
  <c r="BZ33" i="7"/>
  <c r="CA33" i="7"/>
  <c r="CB33" i="7"/>
  <c r="CC33" i="7"/>
  <c r="CD33" i="7"/>
  <c r="CE33" i="7"/>
  <c r="CF33" i="7"/>
  <c r="CG33" i="7"/>
  <c r="CH33" i="7"/>
  <c r="CK33" i="7"/>
  <c r="CL33" i="7"/>
  <c r="CM33" i="7"/>
  <c r="CN33" i="7"/>
  <c r="CO33" i="7"/>
  <c r="CR33" i="7"/>
  <c r="CS33" i="7"/>
  <c r="CT33" i="7"/>
  <c r="CU33" i="7"/>
  <c r="CV33" i="7"/>
  <c r="CY33" i="7"/>
  <c r="CZ33" i="7"/>
  <c r="DA33" i="7"/>
  <c r="DB33" i="7"/>
  <c r="DC33" i="7"/>
  <c r="DF33" i="7"/>
  <c r="DG33" i="7"/>
  <c r="DH33" i="7"/>
  <c r="DI33" i="7"/>
  <c r="DJ33" i="7"/>
  <c r="DK33" i="7"/>
  <c r="DL33" i="7"/>
  <c r="DM33" i="7"/>
  <c r="DN33" i="7"/>
  <c r="DO33" i="7"/>
  <c r="DP33" i="7"/>
  <c r="DQ33" i="7"/>
  <c r="AD34" i="7"/>
  <c r="AE34" i="7"/>
  <c r="AF34" i="7"/>
  <c r="AG34" i="7"/>
  <c r="AH34" i="7"/>
  <c r="AI34" i="7"/>
  <c r="AJ34" i="7"/>
  <c r="AK34" i="7"/>
  <c r="AL34" i="7"/>
  <c r="AM34" i="7"/>
  <c r="AN34" i="7"/>
  <c r="AO34" i="7"/>
  <c r="AP34" i="7"/>
  <c r="AQ34" i="7"/>
  <c r="AR34" i="7"/>
  <c r="AS34" i="7"/>
  <c r="AT34" i="7"/>
  <c r="AU34" i="7"/>
  <c r="AV34" i="7"/>
  <c r="AW34" i="7"/>
  <c r="AX34" i="7"/>
  <c r="AY34" i="7"/>
  <c r="AZ34" i="7"/>
  <c r="BA34" i="7"/>
  <c r="BB34" i="7"/>
  <c r="BC34" i="7"/>
  <c r="BD34" i="7"/>
  <c r="BE34" i="7"/>
  <c r="BF34" i="7"/>
  <c r="BG34" i="7"/>
  <c r="BH34" i="7"/>
  <c r="BI34" i="7"/>
  <c r="BJ34" i="7"/>
  <c r="BK34" i="7"/>
  <c r="BL34" i="7"/>
  <c r="BM34" i="7"/>
  <c r="BN34" i="7"/>
  <c r="BO34" i="7"/>
  <c r="BP34" i="7"/>
  <c r="BQ34" i="7"/>
  <c r="BR34" i="7"/>
  <c r="BS34" i="7"/>
  <c r="BT34" i="7"/>
  <c r="BU34" i="7"/>
  <c r="BV34" i="7"/>
  <c r="BW34" i="7"/>
  <c r="BX34" i="7"/>
  <c r="BY34" i="7"/>
  <c r="BZ34" i="7"/>
  <c r="CA34" i="7"/>
  <c r="CB34" i="7"/>
  <c r="CC34" i="7"/>
  <c r="CD34" i="7"/>
  <c r="CE34" i="7"/>
  <c r="CF34" i="7"/>
  <c r="CG34" i="7"/>
  <c r="CH34" i="7"/>
  <c r="CK34" i="7"/>
  <c r="CL34" i="7"/>
  <c r="CM34" i="7"/>
  <c r="CN34" i="7"/>
  <c r="CO34" i="7"/>
  <c r="CR34" i="7"/>
  <c r="CS34" i="7"/>
  <c r="CT34" i="7"/>
  <c r="CU34" i="7"/>
  <c r="CV34" i="7"/>
  <c r="CY34" i="7"/>
  <c r="CZ34" i="7"/>
  <c r="DA34" i="7"/>
  <c r="DB34" i="7"/>
  <c r="DC34" i="7"/>
  <c r="DF34" i="7"/>
  <c r="DG34" i="7"/>
  <c r="DH34" i="7"/>
  <c r="DI34" i="7"/>
  <c r="DJ34" i="7"/>
  <c r="DK34" i="7"/>
  <c r="DL34" i="7"/>
  <c r="DM34" i="7"/>
  <c r="DN34" i="7"/>
  <c r="DO34" i="7"/>
  <c r="DP34" i="7"/>
  <c r="DQ34" i="7"/>
  <c r="AE31" i="7"/>
  <c r="AF31" i="7"/>
  <c r="AG31" i="7"/>
  <c r="AH31" i="7"/>
  <c r="AI31" i="7"/>
  <c r="AJ31" i="7"/>
  <c r="AK31" i="7"/>
  <c r="AL31" i="7"/>
  <c r="AM31" i="7"/>
  <c r="AN31" i="7"/>
  <c r="AO31" i="7"/>
  <c r="AP31" i="7"/>
  <c r="AQ31" i="7"/>
  <c r="AR31" i="7"/>
  <c r="AS31" i="7"/>
  <c r="AT31" i="7"/>
  <c r="AU31" i="7"/>
  <c r="AV31" i="7"/>
  <c r="AW31" i="7"/>
  <c r="AX31" i="7"/>
  <c r="AY31" i="7"/>
  <c r="AZ31" i="7"/>
  <c r="BA31" i="7"/>
  <c r="BB31" i="7"/>
  <c r="BC31" i="7"/>
  <c r="BD31" i="7"/>
  <c r="BE31" i="7"/>
  <c r="BF31" i="7"/>
  <c r="BG31" i="7"/>
  <c r="BH31" i="7"/>
  <c r="BI31" i="7"/>
  <c r="BJ31" i="7"/>
  <c r="BK31" i="7"/>
  <c r="BL31" i="7"/>
  <c r="BM31" i="7"/>
  <c r="BN31" i="7"/>
  <c r="BO31" i="7"/>
  <c r="BP31" i="7"/>
  <c r="BQ31" i="7"/>
  <c r="BR31" i="7"/>
  <c r="BS31" i="7"/>
  <c r="BT31" i="7"/>
  <c r="BU31" i="7"/>
  <c r="BV31" i="7"/>
  <c r="BW31" i="7"/>
  <c r="BX31" i="7"/>
  <c r="BY31" i="7"/>
  <c r="BZ31" i="7"/>
  <c r="CA31" i="7"/>
  <c r="CB31" i="7"/>
  <c r="CC31" i="7"/>
  <c r="CD31" i="7"/>
  <c r="CE31" i="7"/>
  <c r="CF31" i="7"/>
  <c r="CG31" i="7"/>
  <c r="CH31" i="7"/>
  <c r="CK31" i="7"/>
  <c r="CL31" i="7"/>
  <c r="CM31" i="7"/>
  <c r="CN31" i="7"/>
  <c r="CO31" i="7"/>
  <c r="CR31" i="7"/>
  <c r="CS31" i="7"/>
  <c r="CT31" i="7"/>
  <c r="CU31" i="7"/>
  <c r="CV31" i="7"/>
  <c r="CY31" i="7"/>
  <c r="CZ31" i="7"/>
  <c r="DA31" i="7"/>
  <c r="DB31" i="7"/>
  <c r="DC31" i="7"/>
  <c r="DF31" i="7"/>
  <c r="DG31" i="7"/>
  <c r="DH31" i="7"/>
  <c r="DI31" i="7"/>
  <c r="DJ31" i="7"/>
  <c r="DK31" i="7"/>
  <c r="DL31" i="7"/>
  <c r="DM31" i="7"/>
  <c r="DN31" i="7"/>
  <c r="DO31" i="7"/>
  <c r="DP31" i="7"/>
  <c r="DQ31" i="7"/>
  <c r="AD31" i="7"/>
  <c r="E31" i="5"/>
  <c r="D12" i="5"/>
  <c r="E13" i="5"/>
  <c r="E14" i="5"/>
  <c r="E15" i="5"/>
  <c r="E16" i="5"/>
  <c r="E17" i="5"/>
  <c r="E18" i="5"/>
  <c r="E19" i="5"/>
  <c r="AD36" i="7" l="1"/>
  <c r="CQ36" i="7"/>
  <c r="DQ36" i="7"/>
  <c r="CP36" i="7"/>
  <c r="AV36" i="7"/>
  <c r="BI36" i="7"/>
  <c r="DD36" i="7"/>
  <c r="CZ36" i="7"/>
  <c r="DB36" i="7"/>
  <c r="BZ36" i="7"/>
  <c r="DL36" i="7"/>
  <c r="AJ36" i="7"/>
  <c r="DE36" i="7"/>
  <c r="CJ36" i="7"/>
  <c r="CW36" i="7"/>
  <c r="CV36" i="7"/>
  <c r="BH36" i="7"/>
  <c r="DA36" i="7"/>
  <c r="DP36" i="7"/>
  <c r="CI36" i="7"/>
  <c r="CT36" i="7"/>
  <c r="CS36" i="7"/>
  <c r="AF36" i="7"/>
  <c r="CX36" i="7"/>
  <c r="AP36" i="7"/>
  <c r="DC36" i="7"/>
  <c r="BM36" i="7"/>
  <c r="CU36" i="7"/>
  <c r="CR36" i="7"/>
  <c r="AQ36" i="7"/>
  <c r="CN36" i="7"/>
  <c r="BB36" i="7"/>
  <c r="BY36" i="7"/>
  <c r="AO36" i="7"/>
  <c r="AR36" i="7"/>
  <c r="CA36" i="7"/>
  <c r="AE36" i="7"/>
  <c r="DF36" i="7"/>
  <c r="BN36" i="7"/>
  <c r="CM36" i="7"/>
  <c r="BA36" i="7"/>
  <c r="DM36" i="7"/>
  <c r="CY36" i="7"/>
  <c r="BU36" i="7"/>
  <c r="AW36" i="7"/>
  <c r="AK36" i="7"/>
  <c r="BT36" i="7"/>
  <c r="CG36" i="7"/>
  <c r="CF36" i="7"/>
  <c r="DN36" i="7"/>
  <c r="DO36" i="7"/>
  <c r="DK36" i="7"/>
  <c r="DJ36" i="7"/>
  <c r="DG36" i="7"/>
  <c r="DI36" i="7"/>
  <c r="DH36" i="7"/>
  <c r="BG36" i="7"/>
  <c r="CD36" i="7"/>
  <c r="AT36" i="7"/>
  <c r="BJ36" i="7"/>
  <c r="BQ36" i="7"/>
  <c r="BE36" i="7"/>
  <c r="AS36" i="7"/>
  <c r="AG36" i="7"/>
  <c r="AM36" i="7"/>
  <c r="AY36" i="7"/>
  <c r="BK36" i="7"/>
  <c r="BW36" i="7"/>
  <c r="CK36" i="7"/>
  <c r="CE36" i="7"/>
  <c r="AU36" i="7"/>
  <c r="BR36" i="7"/>
  <c r="AH36" i="7"/>
  <c r="AL36" i="7"/>
  <c r="BV36" i="7"/>
  <c r="CC36" i="7"/>
  <c r="BP36" i="7"/>
  <c r="BD36" i="7"/>
  <c r="AN36" i="7"/>
  <c r="AZ36" i="7"/>
  <c r="BL36" i="7"/>
  <c r="BX36" i="7"/>
  <c r="CL36" i="7"/>
  <c r="BS36" i="7"/>
  <c r="AI36" i="7"/>
  <c r="BF36" i="7"/>
  <c r="AX36" i="7"/>
  <c r="CH36" i="7"/>
  <c r="CB36" i="7"/>
  <c r="CO36" i="7"/>
  <c r="BO36" i="7"/>
  <c r="BC36" i="7"/>
  <c r="DB29" i="7" l="1"/>
  <c r="DC29" i="7"/>
  <c r="DD29" i="7"/>
  <c r="DE29" i="7"/>
  <c r="DF29" i="7"/>
  <c r="DG29" i="7"/>
  <c r="DH29" i="7"/>
  <c r="DI29" i="7"/>
  <c r="DJ29" i="7"/>
  <c r="DK29" i="7"/>
  <c r="DL29" i="7"/>
  <c r="DM29" i="7"/>
  <c r="DN29" i="7"/>
  <c r="DO29" i="7"/>
  <c r="DP29" i="7"/>
  <c r="DQ29" i="7"/>
  <c r="H21" i="7" l="1"/>
  <c r="DA29" i="7" l="1"/>
  <c r="CZ29" i="7"/>
  <c r="CY29" i="7"/>
  <c r="CX29" i="7"/>
  <c r="CW29" i="7"/>
  <c r="CV29" i="7"/>
  <c r="CU29" i="7"/>
  <c r="CT29" i="7"/>
  <c r="CS29" i="7"/>
  <c r="CR29" i="7"/>
  <c r="CQ29" i="7"/>
  <c r="CP29" i="7"/>
  <c r="CO29" i="7"/>
  <c r="CN29" i="7"/>
  <c r="CM29" i="7"/>
  <c r="CL29" i="7"/>
  <c r="CK29" i="7"/>
  <c r="CJ29" i="7"/>
  <c r="CI29" i="7"/>
  <c r="CH29" i="7"/>
  <c r="CG29" i="7"/>
  <c r="CF29" i="7"/>
  <c r="CE29" i="7"/>
  <c r="CD29" i="7"/>
  <c r="CC29" i="7"/>
  <c r="CB29" i="7"/>
  <c r="CA29" i="7"/>
  <c r="BZ29" i="7"/>
  <c r="BY29" i="7"/>
  <c r="BX29" i="7"/>
  <c r="BW29" i="7"/>
  <c r="BV29" i="7"/>
  <c r="BU29" i="7"/>
  <c r="BT29" i="7"/>
  <c r="BS29" i="7"/>
  <c r="BR29" i="7"/>
  <c r="BQ29" i="7"/>
  <c r="BP29" i="7"/>
  <c r="BO29" i="7"/>
  <c r="BN29" i="7"/>
  <c r="BM29" i="7"/>
  <c r="BL29" i="7"/>
  <c r="BK29" i="7"/>
  <c r="BJ29" i="7"/>
  <c r="BI29" i="7"/>
  <c r="BH29" i="7"/>
  <c r="BG29" i="7"/>
  <c r="BF29" i="7"/>
  <c r="BE29" i="7"/>
  <c r="BD29" i="7"/>
  <c r="BC29" i="7"/>
  <c r="BB29" i="7"/>
  <c r="BA29" i="7"/>
  <c r="AZ29" i="7"/>
  <c r="AY29" i="7"/>
  <c r="AX29" i="7"/>
  <c r="AW29" i="7"/>
  <c r="AV29" i="7"/>
  <c r="AU29" i="7"/>
  <c r="AT29" i="7"/>
  <c r="AS29" i="7"/>
  <c r="AR29" i="7"/>
  <c r="AQ29" i="7"/>
  <c r="AP29" i="7"/>
  <c r="AO29" i="7"/>
  <c r="AN29" i="7"/>
  <c r="AM29" i="7"/>
  <c r="AL29" i="7"/>
  <c r="AK29" i="7"/>
  <c r="AJ29" i="7"/>
  <c r="AI29" i="7"/>
  <c r="AH29" i="7"/>
  <c r="AG29" i="7"/>
  <c r="AF29" i="7"/>
  <c r="AE29" i="7"/>
  <c r="AD29" i="7"/>
  <c r="Z29" i="7"/>
  <c r="Y29" i="7"/>
  <c r="X29" i="7"/>
  <c r="DR28" i="7"/>
  <c r="DR27" i="7"/>
  <c r="DR26" i="7"/>
  <c r="DR25" i="7"/>
  <c r="DR24" i="7"/>
  <c r="DR23" i="7"/>
  <c r="J23" i="7"/>
  <c r="F23" i="7"/>
  <c r="H23" i="7" s="1"/>
  <c r="DR22" i="7"/>
  <c r="H22" i="7"/>
  <c r="I22" i="7" s="1"/>
  <c r="J22" i="7" s="1"/>
  <c r="DR21" i="7"/>
  <c r="I21" i="7"/>
  <c r="J21" i="7" s="1"/>
  <c r="DR20" i="7"/>
  <c r="F20" i="7"/>
  <c r="DR19" i="7"/>
  <c r="F19" i="7"/>
  <c r="G19" i="7" s="1"/>
  <c r="I19" i="7" s="1"/>
  <c r="J19" i="7" s="1"/>
  <c r="DR18" i="7"/>
  <c r="I18" i="7"/>
  <c r="J18" i="7" s="1"/>
  <c r="DR17" i="7"/>
  <c r="F17" i="7"/>
  <c r="G17" i="7" s="1"/>
  <c r="I17" i="7" s="1"/>
  <c r="J17" i="7" s="1"/>
  <c r="DR16" i="7"/>
  <c r="I16" i="7"/>
  <c r="J16" i="7" s="1"/>
  <c r="DR15" i="7"/>
  <c r="G15" i="7"/>
  <c r="I15" i="7" s="1"/>
  <c r="J15" i="7" s="1"/>
  <c r="DR14" i="7"/>
  <c r="I14" i="7"/>
  <c r="J14" i="7" s="1"/>
  <c r="DR13" i="7"/>
  <c r="G13" i="7"/>
  <c r="I13" i="7" s="1"/>
  <c r="J13" i="7" s="1"/>
  <c r="DR12" i="7"/>
  <c r="G12" i="7"/>
  <c r="I12" i="7" s="1"/>
  <c r="J12" i="7" s="1"/>
  <c r="DR11" i="7"/>
  <c r="G11" i="7"/>
  <c r="I11" i="7" s="1"/>
  <c r="J11" i="7" s="1"/>
  <c r="DR10" i="7"/>
  <c r="F10" i="7"/>
  <c r="G10" i="7" s="1"/>
  <c r="I10" i="7" s="1"/>
  <c r="J10" i="7" s="1"/>
  <c r="DR9" i="7"/>
  <c r="G9" i="7"/>
  <c r="I9" i="7" s="1"/>
  <c r="J9" i="7" s="1"/>
  <c r="DR8" i="7"/>
  <c r="G8" i="7"/>
  <c r="I8" i="7" s="1"/>
  <c r="J8" i="7" s="1"/>
  <c r="DR7" i="7"/>
  <c r="G7" i="7"/>
  <c r="I7" i="7" s="1"/>
  <c r="J7" i="7" s="1"/>
  <c r="DR6" i="7"/>
  <c r="G6" i="7"/>
  <c r="I6" i="7" s="1"/>
  <c r="J6" i="7" s="1"/>
  <c r="DR5" i="7"/>
  <c r="G5" i="7"/>
  <c r="I5" i="7" s="1"/>
  <c r="J5" i="7" s="1"/>
  <c r="DR4" i="7"/>
  <c r="G4" i="7"/>
  <c r="I4" i="7" s="1"/>
  <c r="J4" i="7" s="1"/>
  <c r="DR3" i="7"/>
  <c r="G3" i="7"/>
  <c r="I3" i="7" s="1"/>
  <c r="J3" i="7" s="1"/>
  <c r="AE2" i="7"/>
  <c r="AF2" i="7" s="1"/>
  <c r="AG2" i="7" s="1"/>
  <c r="AH2" i="7" s="1"/>
  <c r="AI2" i="7" s="1"/>
  <c r="AJ2" i="7" s="1"/>
  <c r="AK2" i="7" s="1"/>
  <c r="AL2" i="7" s="1"/>
  <c r="AM2" i="7" s="1"/>
  <c r="AN2" i="7" s="1"/>
  <c r="AO2" i="7" s="1"/>
  <c r="AP2" i="7" s="1"/>
  <c r="AQ2" i="7" s="1"/>
  <c r="AR2" i="7" s="1"/>
  <c r="AS2" i="7" s="1"/>
  <c r="AT2" i="7" s="1"/>
  <c r="AU2" i="7" s="1"/>
  <c r="AV2" i="7" s="1"/>
  <c r="AW2" i="7" s="1"/>
  <c r="AX2" i="7" s="1"/>
  <c r="AY2" i="7" s="1"/>
  <c r="AZ2" i="7" s="1"/>
  <c r="BA2" i="7" s="1"/>
  <c r="BB2" i="7" s="1"/>
  <c r="BC2" i="7" s="1"/>
  <c r="BD2" i="7" s="1"/>
  <c r="BE2" i="7" s="1"/>
  <c r="BF2" i="7" s="1"/>
  <c r="BG2" i="7" s="1"/>
  <c r="BH2" i="7" s="1"/>
  <c r="BI2" i="7" s="1"/>
  <c r="BJ2" i="7" s="1"/>
  <c r="BK2" i="7" s="1"/>
  <c r="BL2" i="7" s="1"/>
  <c r="BM2" i="7" s="1"/>
  <c r="BN2" i="7" s="1"/>
  <c r="BO2" i="7" s="1"/>
  <c r="BP2" i="7" s="1"/>
  <c r="BQ2" i="7" s="1"/>
  <c r="BR2" i="7" s="1"/>
  <c r="BS2" i="7" s="1"/>
  <c r="BT2" i="7" s="1"/>
  <c r="BU2" i="7" s="1"/>
  <c r="BV2" i="7" s="1"/>
  <c r="BW2" i="7" s="1"/>
  <c r="BX2" i="7" s="1"/>
  <c r="BY2" i="7" s="1"/>
  <c r="BZ2" i="7" s="1"/>
  <c r="CA2" i="7" s="1"/>
  <c r="CB2" i="7" s="1"/>
  <c r="CC2" i="7" s="1"/>
  <c r="CD2" i="7" s="1"/>
  <c r="CE2" i="7" s="1"/>
  <c r="CF2" i="7" s="1"/>
  <c r="CG2" i="7" s="1"/>
  <c r="CH2" i="7" s="1"/>
  <c r="CI2" i="7" s="1"/>
  <c r="CJ2" i="7" s="1"/>
  <c r="CK2" i="7" s="1"/>
  <c r="CL2" i="7" s="1"/>
  <c r="CM2" i="7" s="1"/>
  <c r="CN2" i="7" s="1"/>
  <c r="CO2" i="7" s="1"/>
  <c r="CP2" i="7" s="1"/>
  <c r="CQ2" i="7" s="1"/>
  <c r="CR2" i="7" s="1"/>
  <c r="CS2" i="7" s="1"/>
  <c r="CT2" i="7" s="1"/>
  <c r="CU2" i="7" s="1"/>
  <c r="CV2" i="7" s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CM5" i="1"/>
  <c r="CM6" i="1"/>
  <c r="CM7" i="1"/>
  <c r="CM8" i="1"/>
  <c r="CM9" i="1"/>
  <c r="CM10" i="1"/>
  <c r="CM11" i="1"/>
  <c r="CM12" i="1"/>
  <c r="CM13" i="1"/>
  <c r="CM14" i="1"/>
  <c r="CM15" i="1"/>
  <c r="CM16" i="1"/>
  <c r="CM17" i="1"/>
  <c r="CM18" i="1"/>
  <c r="CM19" i="1"/>
  <c r="CM20" i="1"/>
  <c r="CM21" i="1"/>
  <c r="CM22" i="1"/>
  <c r="CM23" i="1"/>
  <c r="CM24" i="1"/>
  <c r="CM25" i="1"/>
  <c r="CM26" i="1"/>
  <c r="CM27" i="1"/>
  <c r="CM28" i="1"/>
  <c r="CM29" i="1"/>
  <c r="CM30" i="1"/>
  <c r="CM31" i="1"/>
  <c r="CM32" i="1"/>
  <c r="CM4" i="1"/>
  <c r="P10" i="1"/>
  <c r="Q10" i="1"/>
  <c r="P11" i="1"/>
  <c r="Q11" i="1"/>
  <c r="Q9" i="1"/>
  <c r="P9" i="1"/>
  <c r="Q8" i="1"/>
  <c r="P8" i="1"/>
  <c r="Q7" i="1"/>
  <c r="P7" i="1"/>
  <c r="Q6" i="1"/>
  <c r="P6" i="1"/>
  <c r="Q5" i="1"/>
  <c r="P5" i="1"/>
  <c r="Q4" i="1"/>
  <c r="P4" i="1"/>
  <c r="M33" i="1"/>
  <c r="M3" i="1"/>
  <c r="J3" i="1"/>
  <c r="P3" i="1"/>
  <c r="Q3" i="1"/>
  <c r="CM3" i="1"/>
  <c r="L33" i="1"/>
  <c r="D3" i="2"/>
  <c r="D2" i="2"/>
  <c r="C3" i="2"/>
  <c r="C5" i="2" s="1"/>
  <c r="C2" i="2"/>
  <c r="C10" i="5"/>
  <c r="C8" i="5"/>
  <c r="C9" i="5" s="1"/>
  <c r="Q13" i="1"/>
  <c r="N33" i="1"/>
  <c r="DR33" i="7" l="1"/>
  <c r="DR31" i="7"/>
  <c r="DR34" i="7"/>
  <c r="DR32" i="7"/>
  <c r="DR35" i="7"/>
  <c r="AC29" i="7"/>
  <c r="AB29" i="7"/>
  <c r="DR29" i="7"/>
  <c r="CW2" i="7"/>
  <c r="CX2" i="7"/>
  <c r="CY2" i="7" s="1"/>
  <c r="CZ2" i="7" s="1"/>
  <c r="DA2" i="7" s="1"/>
  <c r="DB2" i="7" s="1"/>
  <c r="DC2" i="7" s="1"/>
  <c r="CM33" i="1"/>
  <c r="E28" i="5"/>
  <c r="E27" i="5"/>
  <c r="E32" i="5"/>
  <c r="E23" i="5"/>
  <c r="E22" i="5"/>
  <c r="E35" i="5"/>
  <c r="E40" i="5"/>
  <c r="E41" i="5"/>
  <c r="E25" i="5"/>
  <c r="E24" i="5"/>
  <c r="E39" i="5"/>
  <c r="E30" i="5"/>
  <c r="E29" i="5"/>
  <c r="E38" i="5"/>
  <c r="E37" i="5"/>
  <c r="E34" i="5"/>
  <c r="E12" i="5"/>
  <c r="G12" i="5" s="1"/>
  <c r="M25" i="3"/>
  <c r="L25" i="3"/>
  <c r="I3" i="3"/>
  <c r="J3" i="3"/>
  <c r="O3" i="3"/>
  <c r="I4" i="3"/>
  <c r="J4" i="3" s="1"/>
  <c r="O4" i="3"/>
  <c r="I5" i="3"/>
  <c r="J5" i="3" s="1"/>
  <c r="O5" i="3"/>
  <c r="I6" i="3"/>
  <c r="J6" i="3"/>
  <c r="O6" i="3"/>
  <c r="I7" i="3"/>
  <c r="J7" i="3" s="1"/>
  <c r="O7" i="3"/>
  <c r="I8" i="3"/>
  <c r="J8" i="3"/>
  <c r="O8" i="3"/>
  <c r="I9" i="3"/>
  <c r="J9" i="3"/>
  <c r="O9" i="3"/>
  <c r="O10" i="3"/>
  <c r="I11" i="3"/>
  <c r="J11" i="3"/>
  <c r="O11" i="3"/>
  <c r="I12" i="3"/>
  <c r="J12" i="3"/>
  <c r="O12" i="3"/>
  <c r="I13" i="3"/>
  <c r="J13" i="3"/>
  <c r="O13" i="3"/>
  <c r="I14" i="3"/>
  <c r="J14" i="3"/>
  <c r="O14" i="3"/>
  <c r="I15" i="3"/>
  <c r="J15" i="3"/>
  <c r="O15" i="3"/>
  <c r="I16" i="3"/>
  <c r="J16" i="3"/>
  <c r="O16" i="3"/>
  <c r="I17" i="3"/>
  <c r="J17" i="3"/>
  <c r="O17" i="3"/>
  <c r="O18" i="3"/>
  <c r="O19" i="3"/>
  <c r="O20" i="3"/>
  <c r="O21" i="3"/>
  <c r="O22" i="3"/>
  <c r="O23" i="3"/>
  <c r="O24" i="3"/>
  <c r="G22" i="5" l="1"/>
  <c r="DD2" i="7"/>
  <c r="DE2" i="7"/>
  <c r="DF2" i="7" s="1"/>
  <c r="DG2" i="7" s="1"/>
  <c r="DH2" i="7" s="1"/>
  <c r="DI2" i="7" s="1"/>
  <c r="DJ2" i="7" s="1"/>
  <c r="G27" i="5"/>
  <c r="G37" i="5"/>
  <c r="G34" i="5"/>
  <c r="O25" i="3"/>
  <c r="DK2" i="7" l="1"/>
  <c r="DL2" i="7"/>
  <c r="DM2" i="7" s="1"/>
  <c r="DN2" i="7" s="1"/>
  <c r="DO2" i="7" s="1"/>
  <c r="DP2" i="7" s="1"/>
  <c r="DQ2" i="7" s="1"/>
  <c r="S2" i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BH2" i="1" s="1"/>
  <c r="BI2" i="1" s="1"/>
  <c r="BJ2" i="1" s="1"/>
  <c r="BK2" i="1" s="1"/>
  <c r="BL2" i="1" s="1"/>
  <c r="BM2" i="1" s="1"/>
  <c r="BN2" i="1" s="1"/>
  <c r="BO2" i="1" s="1"/>
  <c r="BP2" i="1" s="1"/>
  <c r="BQ2" i="1" s="1"/>
  <c r="BR2" i="1" s="1"/>
  <c r="BS2" i="1" s="1"/>
  <c r="BT2" i="1" s="1"/>
  <c r="BU2" i="1" s="1"/>
  <c r="BV2" i="1" s="1"/>
  <c r="BW2" i="1" s="1"/>
  <c r="I15" i="1"/>
  <c r="J15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6" i="1"/>
  <c r="J16" i="1" s="1"/>
  <c r="I17" i="1"/>
  <c r="J17" i="1" s="1"/>
  <c r="I12" i="1"/>
  <c r="J12" i="1" s="1"/>
  <c r="I13" i="1"/>
  <c r="J13" i="1" s="1"/>
  <c r="I14" i="1"/>
  <c r="J14" i="1" s="1"/>
  <c r="Q12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Q33" i="1" l="1"/>
  <c r="BX2" i="1"/>
  <c r="BY2" i="1" s="1"/>
  <c r="BZ2" i="1" s="1"/>
  <c r="CA2" i="1" s="1"/>
  <c r="CB2" i="1" s="1"/>
  <c r="CC2" i="1" s="1"/>
  <c r="CD2" i="1" s="1"/>
  <c r="CE2" i="1" s="1"/>
  <c r="CF2" i="1" s="1"/>
  <c r="CG2" i="1" s="1"/>
  <c r="CH2" i="1" s="1"/>
  <c r="CI2" i="1" s="1"/>
  <c r="CJ2" i="1" s="1"/>
  <c r="CK2" i="1" s="1"/>
  <c r="CL2" i="1" s="1"/>
  <c r="P3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Minas Kamel</author>
  </authors>
  <commentList>
    <comment ref="B3" authorId="0" shapeId="0" xr:uid="{69ED9F75-8944-49DF-AD02-AE13995FAC23}">
      <text>
        <r>
          <rPr>
            <b/>
            <sz val="9"/>
            <color rgb="FF000000"/>
            <rFont val="Tahoma"/>
            <family val="2"/>
          </rPr>
          <t>Minas Kamel: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Funsho's:
</t>
        </r>
        <r>
          <rPr>
            <sz val="9"/>
            <color rgb="FF000000"/>
            <rFont val="Tahoma"/>
            <family val="2"/>
          </rPr>
          <t xml:space="preserve">- Auto Allocate
</t>
        </r>
        <r>
          <rPr>
            <sz val="9"/>
            <color rgb="FF000000"/>
            <rFont val="Tahoma"/>
            <family val="2"/>
          </rPr>
          <t>- Carbon Reporting</t>
        </r>
      </text>
    </comment>
    <comment ref="C20" authorId="0" shapeId="0" xr:uid="{CCBA0613-C122-45B2-80C6-E11986160E81}">
      <text>
        <r>
          <rPr>
            <b/>
            <sz val="9"/>
            <color indexed="81"/>
            <rFont val="Tahoma"/>
            <family val="2"/>
          </rPr>
          <t>Minas Kamel:</t>
        </r>
        <r>
          <rPr>
            <sz val="9"/>
            <color indexed="81"/>
            <rFont val="Tahoma"/>
            <family val="2"/>
          </rPr>
          <t xml:space="preserve">
Richard?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Minas Kamel</author>
  </authors>
  <commentList>
    <comment ref="C1" authorId="0" shapeId="0" xr:uid="{E46C1A49-31AB-49D9-B1D2-3367EA9211E7}">
      <text>
        <r>
          <rPr>
            <b/>
            <sz val="9"/>
            <color indexed="81"/>
            <rFont val="Tahoma"/>
            <family val="2"/>
          </rPr>
          <t>Minas Kamel:</t>
        </r>
        <r>
          <rPr>
            <sz val="9"/>
            <color indexed="81"/>
            <rFont val="Tahoma"/>
            <family val="2"/>
          </rPr>
          <t xml:space="preserve">
Assumption: Teams do 25 points a day
</t>
        </r>
      </text>
    </comment>
    <comment ref="C12" authorId="0" shapeId="0" xr:uid="{5D602C8D-9078-4B88-B34B-FC4E44EAE43D}">
      <text>
        <r>
          <rPr>
            <b/>
            <sz val="9"/>
            <color rgb="FF000000"/>
            <rFont val="Tahoma"/>
            <family val="2"/>
          </rPr>
          <t>Minas Kamel: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Funsho's:
</t>
        </r>
        <r>
          <rPr>
            <sz val="9"/>
            <color rgb="FF000000"/>
            <rFont val="Tahoma"/>
            <family val="2"/>
          </rPr>
          <t xml:space="preserve">- Auto Allocate
</t>
        </r>
        <r>
          <rPr>
            <sz val="9"/>
            <color rgb="FF000000"/>
            <rFont val="Tahoma"/>
            <family val="2"/>
          </rPr>
          <t>- Carbon Reporting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Minas Kamel</author>
  </authors>
  <commentList>
    <comment ref="C17" authorId="0" shapeId="0" xr:uid="{3EC25A7F-940B-B24E-B527-AEC36DD4CD22}">
      <text>
        <r>
          <rPr>
            <b/>
            <sz val="9"/>
            <color rgb="FF000000"/>
            <rFont val="Tahoma"/>
            <family val="2"/>
          </rPr>
          <t>Minas Kamel: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Richard?</t>
        </r>
      </text>
    </comment>
  </commentList>
</comments>
</file>

<file path=xl/sharedStrings.xml><?xml version="1.0" encoding="utf-8"?>
<sst xmlns="http://schemas.openxmlformats.org/spreadsheetml/2006/main" count="1545" uniqueCount="336">
  <si>
    <t>Design Due Dates</t>
  </si>
  <si>
    <t xml:space="preserve">  Workstream</t>
  </si>
  <si>
    <t>Owner</t>
  </si>
  <si>
    <t>NH upfront clarifcation needed?</t>
  </si>
  <si>
    <t xml:space="preserve">PRD (sent to NH for review)   </t>
  </si>
  <si>
    <t>NH Sign Off</t>
  </si>
  <si>
    <t>VIGO: UI/UX Design</t>
  </si>
  <si>
    <t>Internal: UI/UX Design</t>
  </si>
  <si>
    <t>SA (Technical Solution Design)</t>
  </si>
  <si>
    <t>All Design Activities Due Date</t>
  </si>
  <si>
    <t>Epics</t>
  </si>
  <si>
    <t>Original Estimate</t>
  </si>
  <si>
    <t>Updated Estimate</t>
  </si>
  <si>
    <t>Priority</t>
  </si>
  <si>
    <t>Allocated Team</t>
  </si>
  <si>
    <t>Team Days  (current 25SP/d)</t>
  </si>
  <si>
    <t>Team Days (Uplifted 30SP/d)</t>
  </si>
  <si>
    <t>Total</t>
  </si>
  <si>
    <t>Estimate Build – Carbon (incl. EPD)</t>
  </si>
  <si>
    <t>Venkatesh&amp; Minas</t>
  </si>
  <si>
    <t xml:space="preserve"> </t>
  </si>
  <si>
    <t>VER10-8954, VER10-9428, VER10-9464, VER10-9527, VER10-9523</t>
  </si>
  <si>
    <t>2 x Teams</t>
  </si>
  <si>
    <t>Carbon Resource Library</t>
  </si>
  <si>
    <t>Venkatesh</t>
  </si>
  <si>
    <t xml:space="preserve">Team 1  </t>
  </si>
  <si>
    <t>X</t>
  </si>
  <si>
    <t>F</t>
  </si>
  <si>
    <t>Carbon Item Library</t>
  </si>
  <si>
    <t>Team  4</t>
  </si>
  <si>
    <t>UnLk</t>
  </si>
  <si>
    <t>WBS Carbon &amp; Calc</t>
  </si>
  <si>
    <t>Team 4</t>
  </si>
  <si>
    <t>Baseline Assumption</t>
  </si>
  <si>
    <t>Team 1</t>
  </si>
  <si>
    <t>EPD</t>
  </si>
  <si>
    <t>Cost to Carbon Library</t>
  </si>
  <si>
    <t>Auto-Allocate</t>
  </si>
  <si>
    <t>Carbon Reports</t>
  </si>
  <si>
    <t>MInas</t>
  </si>
  <si>
    <t>?</t>
  </si>
  <si>
    <t>Team 3</t>
  </si>
  <si>
    <t xml:space="preserve"> Interim Forecasting Tool (incl EPD)</t>
  </si>
  <si>
    <t>N/A</t>
  </si>
  <si>
    <t xml:space="preserve">VER10-8678, VER10-8680, VER10-8682, VER10-8858,, VER10-8679, VER10-8921, VER10-9049,, VER10-9128, </t>
  </si>
  <si>
    <t xml:space="preserve"> Long-Term Appraisal</t>
  </si>
  <si>
    <t>Funsho</t>
  </si>
  <si>
    <t>Fri 12 Dec 2025 (Done on time)</t>
  </si>
  <si>
    <t>VER10-8565</t>
  </si>
  <si>
    <t>Team 2</t>
  </si>
  <si>
    <t xml:space="preserve">Comparator </t>
  </si>
  <si>
    <t>Y</t>
  </si>
  <si>
    <t>19/12/2025 (Done on time)</t>
  </si>
  <si>
    <t>VER10-8953</t>
  </si>
  <si>
    <t>Team 5</t>
  </si>
  <si>
    <t>Workflow </t>
  </si>
  <si>
    <t>Wed 17 Dec 2025 (1 day delay)</t>
  </si>
  <si>
    <t>VER10-9028</t>
  </si>
  <si>
    <t>Tasks</t>
  </si>
  <si>
    <t>VER10-9027</t>
  </si>
  <si>
    <t>Portfolio/Programme Risk</t>
  </si>
  <si>
    <t>VER10-9494</t>
  </si>
  <si>
    <t>Calculators/Cost Models (Chapter 10)</t>
  </si>
  <si>
    <t>Minas</t>
  </si>
  <si>
    <t>Thu 18 Dec 2025 (Done on time)</t>
  </si>
  <si>
    <t>No Epic</t>
  </si>
  <si>
    <t>Scenario Analysis (Chapter 7)</t>
  </si>
  <si>
    <t>Venkatesh? (TBC)</t>
  </si>
  <si>
    <t>Fri, 13 Feb 2026</t>
  </si>
  <si>
    <t>Fri, 20 Feb 2026</t>
  </si>
  <si>
    <t>VER10-8958</t>
  </si>
  <si>
    <t>Star Rates</t>
  </si>
  <si>
    <t>Minas? (TBC)</t>
  </si>
  <si>
    <t>TPE</t>
  </si>
  <si>
    <t>VER10-9184</t>
  </si>
  <si>
    <t>Dashboards (Power BI)</t>
  </si>
  <si>
    <t>Fri, 16 Jan 2026 (Original 24/12/2025)</t>
  </si>
  <si>
    <t>Wed, 21 Jan 2026 (Original 31/12/2025)</t>
  </si>
  <si>
    <t>Dashboard Team</t>
  </si>
  <si>
    <t>Contractor Fee Library</t>
  </si>
  <si>
    <t>VER10-9271</t>
  </si>
  <si>
    <t>System Access</t>
  </si>
  <si>
    <t>Audit Log</t>
  </si>
  <si>
    <t>VER10-8955</t>
  </si>
  <si>
    <t>WBS Tags and Custom Fields</t>
  </si>
  <si>
    <t>Done</t>
  </si>
  <si>
    <t>VER10-8916, VER10-8268</t>
  </si>
  <si>
    <t>Need Estimate</t>
  </si>
  <si>
    <t>Reporting Foundation Admin</t>
  </si>
  <si>
    <t>VER10-8476</t>
  </si>
  <si>
    <t>Inflation</t>
  </si>
  <si>
    <t>VER10-8903, VER10-8570</t>
  </si>
  <si>
    <t>AR and O&amp;M fixed reports</t>
  </si>
  <si>
    <t>VER10-7878, VER10-7879</t>
  </si>
  <si>
    <t>CCESS</t>
  </si>
  <si>
    <t>VER10-6966</t>
  </si>
  <si>
    <t>per week</t>
  </si>
  <si>
    <t>whole team</t>
  </si>
  <si>
    <t>Required per team per day</t>
  </si>
  <si>
    <t>Ideal per team per day</t>
  </si>
  <si>
    <t>per dev per day</t>
  </si>
  <si>
    <t>Story Point Estimate for Dev</t>
  </si>
  <si>
    <t>Assumed Estimate</t>
  </si>
  <si>
    <t>Estimate Build – Carbon</t>
  </si>
  <si>
    <t>Venkatesh &amp; Funsho</t>
  </si>
  <si>
    <t xml:space="preserve"> Interim Forecasting Tool</t>
  </si>
  <si>
    <t># points / week</t>
  </si>
  <si>
    <t>Team 1
Venkatesh &amp; Sunjeet (3 devs)</t>
  </si>
  <si>
    <t>Regression/UAT</t>
  </si>
  <si>
    <t>UAT</t>
  </si>
  <si>
    <t>Team 2
Minas &amp; Manish (3 devs)</t>
  </si>
  <si>
    <t>Team 3
Minas &amp; Vivek (2 devs)</t>
  </si>
  <si>
    <t>Team 4
Venkatesh &amp; Amit (4 devs)</t>
  </si>
  <si>
    <t>Team 5
Minas &amp; Laurence (2 devs)</t>
  </si>
  <si>
    <t>TOTAL</t>
  </si>
  <si>
    <t>To deliver 1500 points (weeks)</t>
  </si>
  <si>
    <t>To deliver 1500 points in 9 weeks (SP per week)</t>
  </si>
  <si>
    <t>Team</t>
  </si>
  <si>
    <t>Epic</t>
  </si>
  <si>
    <t>Reduced Estimate</t>
  </si>
  <si>
    <t># weeks</t>
  </si>
  <si>
    <t>Dependent On</t>
  </si>
  <si>
    <t>Extra Weeks</t>
  </si>
  <si>
    <t>Team 1
Venkatesh &amp; Sunjeet</t>
  </si>
  <si>
    <t>Carbon (incl EPD, Auto Allocate)</t>
  </si>
  <si>
    <t>Carbon Resource</t>
  </si>
  <si>
    <t>Carbon Libraries</t>
  </si>
  <si>
    <t>Carbon WBS</t>
  </si>
  <si>
    <t>-</t>
  </si>
  <si>
    <t>Team 2
Minas &amp; Manish</t>
  </si>
  <si>
    <t>LTA</t>
  </si>
  <si>
    <t>IFT?</t>
  </si>
  <si>
    <t>Team 3
Minas &amp; Vivek</t>
  </si>
  <si>
    <t>Carbon &amp; Reporting Foundation Admin</t>
  </si>
  <si>
    <t>Carbon</t>
  </si>
  <si>
    <t>Workflow</t>
  </si>
  <si>
    <t>Team 4
Venkatesh &amp; Amit</t>
  </si>
  <si>
    <t>Supply Chain - Interim Forecasting Tool</t>
  </si>
  <si>
    <t>Team 5
Minas &amp; Laurence</t>
  </si>
  <si>
    <t>Calculators/Cost Models</t>
  </si>
  <si>
    <t>Scenario Analysis</t>
  </si>
  <si>
    <t>Comparator</t>
  </si>
  <si>
    <t>Work Streams</t>
  </si>
  <si>
    <t>Jonny?</t>
  </si>
  <si>
    <t>Topic</t>
  </si>
  <si>
    <t>Meeting (UK timezone)</t>
  </si>
  <si>
    <t>Meeting (AU timezone)</t>
  </si>
  <si>
    <t>Notes</t>
  </si>
  <si>
    <t>EPD/Cost to Carbon Factor</t>
  </si>
  <si>
    <t>Tue 23rd Dec 10PM-11PM</t>
  </si>
  <si>
    <t>Wed 24th Dec 9AM-10AM</t>
  </si>
  <si>
    <t>Meeting done</t>
  </si>
  <si>
    <t>Wed 24th Dec 8AM-9:30AM</t>
  </si>
  <si>
    <t>Wed24th Dec 7PM-8:30PM</t>
  </si>
  <si>
    <t>TPE &amp; Auto Allocate (Cost &amp; Carbon)</t>
  </si>
  <si>
    <t>Sun 28th Dec 10PM-11:30PM</t>
  </si>
  <si>
    <t>Mon 29th Dec 9AM-10:30AM</t>
  </si>
  <si>
    <t>Mon 29th Dec 7AM-8:30AM</t>
  </si>
  <si>
    <t>Mon 29th Dec 6PM-7:30PM</t>
  </si>
  <si>
    <t>Supply Chain - Interim Forecasting Tool (incl EPD)</t>
  </si>
  <si>
    <t>Venkatesh needs meeting with NH</t>
  </si>
  <si>
    <t>UK</t>
  </si>
  <si>
    <t>AU</t>
  </si>
  <si>
    <t>Status</t>
  </si>
  <si>
    <t>Mark's avail.</t>
  </si>
  <si>
    <t>Wed 24th Dec UK morning</t>
  </si>
  <si>
    <t>Wed 24th AU evening</t>
  </si>
  <si>
    <t>Taken</t>
  </si>
  <si>
    <t>Sat 27th Dec 7AM-9AM</t>
  </si>
  <si>
    <t>Sat 27th Dec 6PM-8PM</t>
  </si>
  <si>
    <t>Sun 28th Dec 7AM-9AM</t>
  </si>
  <si>
    <t>Sun 28th Dec 6PM-8PM</t>
  </si>
  <si>
    <t>Mon 29th Dec 7AM-9AM</t>
  </si>
  <si>
    <t>Mon 29th Dec 6PM-8PM</t>
  </si>
  <si>
    <t>Mon 29th Dec 10PM-11:30PM</t>
  </si>
  <si>
    <t>Tue 30th Dec 9AM-10:30AM</t>
  </si>
  <si>
    <t>After MVP deadline (Mon 29th)</t>
  </si>
  <si>
    <t>Fri 2nd Jan UK morning</t>
  </si>
  <si>
    <t>Fri 2nd Jan AU evening</t>
  </si>
  <si>
    <t>SG1</t>
  </si>
  <si>
    <t>SG2</t>
  </si>
  <si>
    <t>SG3</t>
  </si>
  <si>
    <t>SG4</t>
  </si>
  <si>
    <t>SG5</t>
  </si>
  <si>
    <t>SG6</t>
  </si>
  <si>
    <t>SG7</t>
  </si>
  <si>
    <t>SG8</t>
  </si>
  <si>
    <t>SG9</t>
  </si>
  <si>
    <t>SG10</t>
  </si>
  <si>
    <t>Team Work Days (7 SP pd)</t>
  </si>
  <si>
    <t>Team Work Days (8 SP pd)</t>
  </si>
  <si>
    <t>√</t>
  </si>
  <si>
    <t xml:space="preserve">Fri 12 Dec 2025 </t>
  </si>
  <si>
    <t>Wed 17 Dec 2025</t>
  </si>
  <si>
    <t>Fri 12 Dec 2025</t>
  </si>
  <si>
    <t xml:space="preserve">Thu 18 Dec 2025 </t>
  </si>
  <si>
    <t>Gate</t>
  </si>
  <si>
    <t>Rationale</t>
  </si>
  <si>
    <t>Pass Criteria (Evidence Required)</t>
  </si>
  <si>
    <t>1. Individual PRDs Drafted</t>
  </si>
  <si>
    <t>Ensures scope and requirements are explicit before design and build begin, avoiding downstream rework and ambiguity.</t>
  </si>
  <si>
    <t>• PRDs drafted for each of the MVP epics</t>
  </si>
  <si>
    <t>• Functional requirements prioritised (Must / Should / Deferred)</t>
  </si>
  <si>
    <t>• In-scope vs out-of-scope clearly defined</t>
  </si>
  <si>
    <t>• Dependencies and assumptions explicitly documented</t>
  </si>
  <si>
    <t>2. PRDs Reviewed &amp; Signed Off (NH)</t>
  </si>
  <si>
    <t>Richard</t>
  </si>
  <si>
    <t>Confirms shared understanding and agreement with NH to prevent late scope disputes or rework.</t>
  </si>
  <si>
    <t>• NH review completed</t>
  </si>
  <si>
    <t>• Explicit NH sign-off received</t>
  </si>
  <si>
    <t>• No open scope alignment questions</t>
  </si>
  <si>
    <t>• Any gaps documented, escalated and resolved</t>
  </si>
  <si>
    <t>3. UX/UI Designs Completed</t>
  </si>
  <si>
    <t>Richard (coordination)</t>
  </si>
  <si>
    <t>Prevents design churn during development and ensures build teams are working from stable designs.</t>
  </si>
  <si>
    <t>• UX/UI designs completed for all in-scope MVP flows</t>
  </si>
  <si>
    <t>• Designs reviewed and accepted internally</t>
  </si>
  <si>
    <t>• Ownership agreed (Vigo vs in-house)</t>
  </si>
  <si>
    <t>• No critical design work outstanding for sprint execution</t>
  </si>
  <si>
    <t>4. Solution Architectures (SAs) Drafted</t>
  </si>
  <si>
    <t>Grounds delivery commitments in technical reality and surfaces assumptions, risks, and trade-offs early.</t>
  </si>
  <si>
    <t>• SAs drafted for each epic</t>
  </si>
  <si>
    <t>• Architecture simplified to MVP</t>
  </si>
  <si>
    <t>• Technical assumptions and risks explicit</t>
  </si>
  <si>
    <t>• Key trade-offs documented</t>
  </si>
  <si>
    <t>5. SAs Reviewed &amp; Approved</t>
  </si>
  <si>
    <t>Jerome</t>
  </si>
  <si>
    <t>Locks technical feasibility before commitments are made and avoids late architectural rework.</t>
  </si>
  <si>
    <t>• SAs reviewed and approved</t>
  </si>
  <si>
    <t>• Risks accepted or mitigated</t>
  </si>
  <si>
    <t>• No unresolved feasibility questions</t>
  </si>
  <si>
    <t>• Delivery implications understood by Delivery Manager</t>
  </si>
  <si>
    <t>6. Sprint Planning by Epic Completed</t>
  </si>
  <si>
    <t>Ensures execution commitments are realistic, capacity-aligned, and dependency-aware before development starts.</t>
  </si>
  <si>
    <t>• Sprint plan complete by epic</t>
  </si>
  <si>
    <t>• Scope aligned to PRDs, UX/UI, and SAs</t>
  </si>
  <si>
    <t>• Dependencies explicit</t>
  </si>
  <si>
    <t>• Capacity and story points validated</t>
  </si>
  <si>
    <t>7. Sprint Execution Completed</t>
  </si>
  <si>
    <t>Confirms committed sprint scope is fully built and integrated before validation.</t>
  </si>
  <si>
    <t>• All committed stories meet Definition of Done</t>
  </si>
  <si>
    <t>• Code merged with reviews completed</t>
  </si>
  <si>
    <t>• No open critical or high-severity defects</t>
  </si>
  <si>
    <t>• Sprint review completed and recorded</t>
  </si>
  <si>
    <t>8. QA Testing Completed</t>
  </si>
  <si>
    <t>Caroline</t>
  </si>
  <si>
    <t>Validates functional correctness and stability prior to business testing.</t>
  </si>
  <si>
    <t>• Functional and regression tests executed</t>
  </si>
  <si>
    <t>• Critical/high defects resolved or accepted</t>
  </si>
  <si>
    <t>• Test summary report completed</t>
  </si>
  <si>
    <t>• QA sign-off provided</t>
  </si>
  <si>
    <t>9. DevOps Deployment to UAT</t>
  </si>
  <si>
    <t>Ensures solution is correctly deployed and stable in the UAT environment.</t>
  </si>
  <si>
    <t>• Successful deployment to UAT completed</t>
  </si>
  <si>
    <t>• Environment configuration validated</t>
  </si>
  <si>
    <t>• Monitoring, logging, and rollback in place</t>
  </si>
  <si>
    <t>• Release notes shared with UAT stakeholders</t>
  </si>
  <si>
    <t>10. UAT Completed &amp; Accepted</t>
  </si>
  <si>
    <t>Confirms solution meets business needs and is approved for production readiness.</t>
  </si>
  <si>
    <t>• UAT scenarios executed for all in-scope flows</t>
  </si>
  <si>
    <t>• Business acceptance criteria met</t>
  </si>
  <si>
    <t>• No unresolved critical/high UAT defects</t>
  </si>
  <si>
    <t>• Formal UAT sign-off received</t>
  </si>
  <si>
    <t>Day</t>
  </si>
  <si>
    <t>Deliverable / Task</t>
  </si>
  <si>
    <t>Stage Gate</t>
  </si>
  <si>
    <t>RAG</t>
  </si>
  <si>
    <t>Escalation Request</t>
  </si>
  <si>
    <t>Monday</t>
  </si>
  <si>
    <t>Confirm Engineering Team Allocation</t>
  </si>
  <si>
    <t>No</t>
  </si>
  <si>
    <t>Confirm Capacity and Resource Level Mapping</t>
  </si>
  <si>
    <t xml:space="preserve">Send Plan Dates to Vigo for Designs </t>
  </si>
  <si>
    <t>External UAT Sanity Checks (R1D)</t>
  </si>
  <si>
    <t>SG8 - QA Complete</t>
  </si>
  <si>
    <t>Tuesday</t>
  </si>
  <si>
    <t>Sprint Planning Session 1 for Release 2A</t>
  </si>
  <si>
    <t>Internal UAT Complete (R1D)</t>
  </si>
  <si>
    <t>Wednesday</t>
  </si>
  <si>
    <t>UAT Handover to NH (Release 1D)</t>
  </si>
  <si>
    <t>Thursday</t>
  </si>
  <si>
    <t>Sprint Planning Session 2 for Release 2A</t>
  </si>
  <si>
    <t>SG6 - Sprint Planning</t>
  </si>
  <si>
    <t>Friday</t>
  </si>
  <si>
    <t>Audit Log Released</t>
  </si>
  <si>
    <t>SG1 - PRD</t>
  </si>
  <si>
    <t>PowerBI Dashboards</t>
  </si>
  <si>
    <t>Interim Forecasting Tool</t>
  </si>
  <si>
    <t>SG2 - NH Sign-Off</t>
  </si>
  <si>
    <t>WBS Carbon and Calcs</t>
  </si>
  <si>
    <t>Calculators and Cost Models</t>
  </si>
  <si>
    <t>SG3 - UX/UI Design</t>
  </si>
  <si>
    <t>VER10-9697, VER10-9698, VER10-9699, VER10-9700, VER10-9701, VER10-9702</t>
  </si>
  <si>
    <t>VER10-8452</t>
  </si>
  <si>
    <t>VER10-8955, VER10-6972</t>
  </si>
  <si>
    <t>ID</t>
  </si>
  <si>
    <t>Action</t>
  </si>
  <si>
    <t>A01</t>
  </si>
  <si>
    <t>Confirm SharePoint NH Project Artifacts area is live (master tracker R&amp;R recap folder structure)</t>
  </si>
  <si>
    <t>Open</t>
  </si>
  <si>
    <t>A02</t>
  </si>
  <si>
    <t>Create separate Stage Gate tracking sheet with criteria-level granularity and target dates</t>
  </si>
  <si>
    <t>A03</t>
  </si>
  <si>
    <t>Maintain visible daily escalation log carried forward from previous day</t>
  </si>
  <si>
    <t>A04</t>
  </si>
  <si>
    <t>A05</t>
  </si>
  <si>
    <t>A06</t>
  </si>
  <si>
    <t>Fix 3 x P2 defects blocking internal UAT</t>
  </si>
  <si>
    <t>A07</t>
  </si>
  <si>
    <t>Complete internal UAT execution and issue UAT documentation to Louise</t>
  </si>
  <si>
    <t>A08</t>
  </si>
  <si>
    <t>A09</t>
  </si>
  <si>
    <t>Finalise onboarding plan for 4 additional engineers chase profiles and shortlist</t>
  </si>
  <si>
    <t>A10</t>
  </si>
  <si>
    <t>Confirm Vigo resourcing assumptions remain sufficient</t>
  </si>
  <si>
    <t>Richard / Jerome</t>
  </si>
  <si>
    <t>A11</t>
  </si>
  <si>
    <t>Brief John Vigo and book design sessions priority LTA then Comparator</t>
  </si>
  <si>
    <t>A12</t>
  </si>
  <si>
    <t>Re-establish full-team priority alignment session including Vigo</t>
  </si>
  <si>
    <t>Attend NH IFT clarification meeting</t>
  </si>
  <si>
    <t>Post-IFT impact assessment on timeline</t>
  </si>
  <si>
    <t>Venkatesh / Richard</t>
  </si>
  <si>
    <t>Raised Date</t>
  </si>
  <si>
    <t>Due Date / RAG</t>
  </si>
  <si>
    <t>In Prog</t>
  </si>
  <si>
    <t>Escalation - P2 defect retested in Regression/Internal UAT but not working in Ext UAT</t>
  </si>
  <si>
    <t>Escalation - meeting needed with NH - set-up for Weds 8am UK time - Go to green after</t>
  </si>
  <si>
    <t>Closely monitor NH PRD sign-offs and flag early slippage</t>
  </si>
  <si>
    <t>Key</t>
  </si>
  <si>
    <t>Complete</t>
  </si>
  <si>
    <t>At risk (Mitigation)</t>
  </si>
  <si>
    <t>Blocked</t>
  </si>
  <si>
    <t>In progress</t>
  </si>
  <si>
    <t>Dev Start</t>
  </si>
  <si>
    <t>Dev 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</si>
</sst>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d\,\ d\ mmm\ yyyy"/>
    <numFmt numFmtId="165" formatCode="0.0"/>
  </numFmts>
  <fonts count="61" x14ac:knownFonts="1">
    <font>
      <sz val="12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</font>
    <font>
      <b/>
      <sz val="9"/>
      <color theme="1"/>
      <name val="Aptos"/>
      <family val="2"/>
    </font>
    <font>
      <sz val="12"/>
      <name val="Aptos Narrow"/>
      <family val="2"/>
    </font>
    <font>
      <b/>
      <sz val="8"/>
      <color rgb="FFFFFFFF"/>
      <name val="Aptos"/>
      <family val="2"/>
    </font>
    <font>
      <sz val="8"/>
      <color theme="1"/>
      <name val="Aptos"/>
      <family val="2"/>
    </font>
    <font>
      <sz val="8"/>
      <color rgb="FF000000"/>
      <name val="Aptos"/>
      <family val="2"/>
    </font>
    <font>
      <sz val="8"/>
      <color rgb="FF000000"/>
      <name val="Arial"/>
      <family val="2"/>
    </font>
    <font>
      <sz val="8"/>
      <color rgb="FF006100"/>
      <name val="Aptos"/>
      <family val="2"/>
    </font>
    <font>
      <sz val="8"/>
      <color theme="9"/>
      <name val="Arial"/>
      <family val="2"/>
    </font>
    <font>
      <b/>
      <sz val="8"/>
      <color rgb="FF000000"/>
      <name val="Aptos"/>
      <family val="2"/>
    </font>
    <font>
      <b/>
      <sz val="6"/>
      <color rgb="FFFFFFFF"/>
      <name val="Aptos"/>
      <family val="2"/>
    </font>
    <font>
      <sz val="8"/>
      <color rgb="FFFF0000"/>
      <name val="Arial"/>
      <family val="2"/>
    </font>
    <font>
      <sz val="8"/>
      <color rgb="FFFF0000"/>
      <name val="Aptos"/>
      <family val="2"/>
    </font>
    <font>
      <sz val="8"/>
      <color theme="1"/>
      <name val="Arial"/>
      <family val="2"/>
    </font>
    <font>
      <sz val="12"/>
      <color theme="1"/>
      <name val="Aptos Narrow"/>
      <family val="2"/>
    </font>
    <font>
      <b/>
      <sz val="9"/>
      <color theme="1"/>
      <name val="Aptos"/>
      <family val="2"/>
    </font>
    <font>
      <sz val="12"/>
      <name val="Aptos Narrow"/>
      <family val="2"/>
    </font>
    <font>
      <b/>
      <sz val="8"/>
      <color rgb="FFFFFFFF"/>
      <name val="Aptos"/>
      <family val="2"/>
    </font>
    <font>
      <sz val="8"/>
      <color theme="1"/>
      <name val="Aptos"/>
      <family val="2"/>
    </font>
    <font>
      <sz val="8"/>
      <color rgb="FF000000"/>
      <name val="Aptos"/>
      <family val="2"/>
    </font>
    <font>
      <b/>
      <sz val="8"/>
      <color rgb="FF000000"/>
      <name val="Aptos"/>
      <family val="2"/>
    </font>
    <font>
      <sz val="8"/>
      <color rgb="FF006100"/>
      <name val="Apto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Aptos Narrow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2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rgb="FFE8E8E8"/>
      <name val="Aptos Narrow"/>
      <family val="2"/>
    </font>
    <font>
      <sz val="11"/>
      <color theme="1"/>
      <name val="Aptos"/>
      <family val="2"/>
    </font>
    <font>
      <sz val="12"/>
      <color theme="1"/>
      <name val="Aptos"/>
      <family val="2"/>
    </font>
    <font>
      <sz val="12"/>
      <color rgb="FF000000"/>
      <name val="Aptos"/>
      <family val="2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"/>
      <family val="2"/>
    </font>
    <font>
      <b/>
      <sz val="11"/>
      <color theme="1"/>
      <name val="Aptos"/>
      <family val="2"/>
    </font>
    <font>
      <b/>
      <sz val="11"/>
      <color rgb="FF000000"/>
      <name val="Aptos"/>
      <family val="2"/>
    </font>
    <font>
      <strike/>
      <sz val="8"/>
      <color rgb="FF000000"/>
      <name val="Aptos"/>
      <family val="2"/>
    </font>
    <font>
      <sz val="8"/>
      <color rgb="FFFF0000"/>
      <name val="Aptos"/>
      <family val="2"/>
    </font>
    <font>
      <sz val="8"/>
      <color theme="1"/>
      <name val="Aptos Narrow"/>
      <family val="2"/>
      <scheme val="minor"/>
    </font>
    <font>
      <i/>
      <sz val="8"/>
      <color rgb="FFFF0000"/>
      <name val="Aptos"/>
      <family val="2"/>
    </font>
    <font>
      <b/>
      <sz val="8"/>
      <color theme="1"/>
      <name val="Aptos Narrow"/>
      <family val="2"/>
      <scheme val="minor"/>
    </font>
    <font>
      <b/>
      <sz val="8"/>
      <color theme="1"/>
      <name val="Aptos"/>
      <family val="2"/>
    </font>
    <font>
      <b/>
      <sz val="8"/>
      <color rgb="FFFF0000"/>
      <name val="Aptos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trike/>
      <sz val="8"/>
      <color rgb="FF000000"/>
      <name val="Aptos"/>
      <family val="2"/>
    </font>
    <font>
      <b/>
      <sz val="12"/>
      <color theme="1"/>
      <name val="Aptos"/>
      <family val="2"/>
    </font>
    <font>
      <sz val="9"/>
      <color rgb="FF000000"/>
      <name val="Aptos"/>
      <family val="2"/>
    </font>
    <font>
      <sz val="9"/>
      <color theme="1"/>
      <name val="Aptos"/>
      <family val="2"/>
    </font>
    <font>
      <sz val="9"/>
      <color theme="1"/>
      <name val="Aptos"/>
      <family val="2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</font>
    <font>
      <sz val="8"/>
      <color theme="1"/>
      <name val="Aptos Narrow"/>
      <scheme val="minor"/>
    </font>
    <font>
      <b/>
      <sz val="8"/>
      <color theme="1"/>
      <name val="Aptos"/>
    </font>
  </fonts>
  <fills count="32">
    <fill>
      <patternFill patternType="none"/>
    </fill>
    <fill>
      <patternFill patternType="gray125"/>
    </fill>
    <fill>
      <patternFill patternType="solid">
        <fgColor rgb="FFB8BCD2"/>
        <bgColor rgb="FFB8BCD2"/>
      </patternFill>
    </fill>
    <fill>
      <patternFill patternType="solid">
        <fgColor rgb="FF4F577A"/>
        <bgColor rgb="FF4F577A"/>
      </patternFill>
    </fill>
    <fill>
      <patternFill patternType="solid">
        <fgColor rgb="FFE9EAEC"/>
        <bgColor rgb="FFE9EAEC"/>
      </patternFill>
    </fill>
    <fill>
      <patternFill patternType="solid">
        <fgColor theme="0"/>
        <bgColor theme="0"/>
      </patternFill>
    </fill>
    <fill>
      <patternFill patternType="solid">
        <fgColor rgb="FF83DFB6"/>
        <bgColor rgb="FF83DFB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rgb="FF4F577A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E2841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ED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rgb="FFE9EAEC"/>
      </patternFill>
    </fill>
    <fill>
      <patternFill patternType="solid">
        <fgColor rgb="FFFFC000"/>
        <bgColor rgb="FFE9EAEC"/>
      </patternFill>
    </fill>
    <fill>
      <patternFill patternType="solid">
        <fgColor theme="0" tint="-4.9989318521683403E-2"/>
        <bgColor rgb="FFE9EAE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E9EAEC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249977111117893"/>
        <bgColor rgb="FFE9EAEC"/>
      </patternFill>
    </fill>
    <fill>
      <patternFill patternType="solid">
        <fgColor theme="7" tint="-0.249977111117893"/>
        <bgColor rgb="FF83DFB6"/>
      </patternFill>
    </fill>
    <fill>
      <patternFill patternType="solid">
        <fgColor rgb="FFECAFCE"/>
        <bgColor rgb="FFE9EAEC"/>
      </patternFill>
    </fill>
  </fills>
  <borders count="25">
    <border>
      <left/>
      <right/>
      <top/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6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 readingOrder="1"/>
    </xf>
    <xf numFmtId="0" fontId="5" fillId="3" borderId="3" xfId="0" applyFont="1" applyFill="1" applyBorder="1" applyAlignment="1">
      <alignment horizontal="left" vertical="center" wrapText="1" readingOrder="1"/>
    </xf>
    <xf numFmtId="0" fontId="5" fillId="3" borderId="3" xfId="0" applyFont="1" applyFill="1" applyBorder="1" applyAlignment="1">
      <alignment horizontal="center" vertical="center" wrapText="1" readingOrder="1"/>
    </xf>
    <xf numFmtId="0" fontId="6" fillId="4" borderId="4" xfId="0" applyFont="1" applyFill="1" applyBorder="1" applyAlignment="1">
      <alignment horizontal="left" vertical="center" wrapText="1" readingOrder="1"/>
    </xf>
    <xf numFmtId="0" fontId="6" fillId="4" borderId="5" xfId="0" applyFont="1" applyFill="1" applyBorder="1" applyAlignment="1">
      <alignment horizontal="center" vertical="center" wrapText="1" readingOrder="1"/>
    </xf>
    <xf numFmtId="164" fontId="7" fillId="4" borderId="5" xfId="0" applyNumberFormat="1" applyFont="1" applyFill="1" applyBorder="1" applyAlignment="1">
      <alignment horizontal="center" wrapText="1" readingOrder="1"/>
    </xf>
    <xf numFmtId="164" fontId="8" fillId="4" borderId="5" xfId="0" applyNumberFormat="1" applyFont="1" applyFill="1" applyBorder="1" applyAlignment="1">
      <alignment horizontal="center" wrapText="1" readingOrder="1"/>
    </xf>
    <xf numFmtId="0" fontId="7" fillId="4" borderId="5" xfId="0" applyFont="1" applyFill="1" applyBorder="1" applyAlignment="1">
      <alignment horizontal="center" vertical="center" wrapText="1" readingOrder="1"/>
    </xf>
    <xf numFmtId="0" fontId="6" fillId="5" borderId="4" xfId="0" applyFont="1" applyFill="1" applyBorder="1" applyAlignment="1">
      <alignment horizontal="left" vertical="center" wrapText="1" readingOrder="1"/>
    </xf>
    <xf numFmtId="0" fontId="6" fillId="5" borderId="5" xfId="0" applyFont="1" applyFill="1" applyBorder="1" applyAlignment="1">
      <alignment horizontal="center" vertical="center" wrapText="1" readingOrder="1"/>
    </xf>
    <xf numFmtId="164" fontId="7" fillId="5" borderId="5" xfId="0" applyNumberFormat="1" applyFont="1" applyFill="1" applyBorder="1" applyAlignment="1">
      <alignment horizontal="center" wrapText="1" readingOrder="1"/>
    </xf>
    <xf numFmtId="0" fontId="6" fillId="4" borderId="4" xfId="0" applyFont="1" applyFill="1" applyBorder="1" applyAlignment="1">
      <alignment horizontal="center" vertical="center" wrapText="1" readingOrder="1"/>
    </xf>
    <xf numFmtId="0" fontId="9" fillId="6" borderId="4" xfId="0" applyFont="1" applyFill="1" applyBorder="1" applyAlignment="1">
      <alignment horizontal="center" vertical="center" wrapText="1" readingOrder="1"/>
    </xf>
    <xf numFmtId="0" fontId="9" fillId="6" borderId="5" xfId="0" applyFont="1" applyFill="1" applyBorder="1" applyAlignment="1">
      <alignment horizontal="center" wrapText="1" readingOrder="1"/>
    </xf>
    <xf numFmtId="0" fontId="4" fillId="0" borderId="2" xfId="0" applyFont="1" applyBorder="1"/>
    <xf numFmtId="1" fontId="7" fillId="4" borderId="5" xfId="0" applyNumberFormat="1" applyFont="1" applyFill="1" applyBorder="1" applyAlignment="1">
      <alignment horizontal="center" wrapText="1" readingOrder="1"/>
    </xf>
    <xf numFmtId="1" fontId="7" fillId="5" borderId="5" xfId="0" applyNumberFormat="1" applyFont="1" applyFill="1" applyBorder="1" applyAlignment="1">
      <alignment horizontal="center" wrapText="1" readingOrder="1"/>
    </xf>
    <xf numFmtId="164" fontId="6" fillId="4" borderId="5" xfId="0" applyNumberFormat="1" applyFont="1" applyFill="1" applyBorder="1" applyAlignment="1">
      <alignment horizontal="center" wrapText="1" readingOrder="1"/>
    </xf>
    <xf numFmtId="1" fontId="6" fillId="4" borderId="5" xfId="0" applyNumberFormat="1" applyFont="1" applyFill="1" applyBorder="1" applyAlignment="1">
      <alignment horizontal="center" wrapText="1" readingOrder="1"/>
    </xf>
    <xf numFmtId="0" fontId="6" fillId="4" borderId="6" xfId="0" applyFont="1" applyFill="1" applyBorder="1" applyAlignment="1">
      <alignment horizontal="left" vertical="center" wrapText="1" readingOrder="1"/>
    </xf>
    <xf numFmtId="0" fontId="6" fillId="4" borderId="6" xfId="0" applyFont="1" applyFill="1" applyBorder="1" applyAlignment="1">
      <alignment horizontal="center" vertical="center" wrapText="1" readingOrder="1"/>
    </xf>
    <xf numFmtId="0" fontId="9" fillId="6" borderId="6" xfId="0" applyFont="1" applyFill="1" applyBorder="1" applyAlignment="1">
      <alignment horizontal="center" vertical="center" wrapText="1" readingOrder="1"/>
    </xf>
    <xf numFmtId="0" fontId="9" fillId="6" borderId="7" xfId="0" applyFont="1" applyFill="1" applyBorder="1" applyAlignment="1">
      <alignment horizontal="center" wrapText="1" readingOrder="1"/>
    </xf>
    <xf numFmtId="1" fontId="7" fillId="4" borderId="7" xfId="0" applyNumberFormat="1" applyFont="1" applyFill="1" applyBorder="1" applyAlignment="1">
      <alignment horizontal="center" wrapText="1" readingOrder="1"/>
    </xf>
    <xf numFmtId="0" fontId="0" fillId="7" borderId="8" xfId="0" applyFill="1" applyBorder="1"/>
    <xf numFmtId="0" fontId="2" fillId="7" borderId="9" xfId="0" applyFont="1" applyFill="1" applyBorder="1" applyAlignment="1">
      <alignment horizontal="center" vertical="center"/>
    </xf>
    <xf numFmtId="0" fontId="0" fillId="7" borderId="9" xfId="0" applyFill="1" applyBorder="1"/>
    <xf numFmtId="1" fontId="0" fillId="7" borderId="10" xfId="0" applyNumberFormat="1" applyFill="1" applyBorder="1" applyAlignment="1">
      <alignment horizontal="center"/>
    </xf>
    <xf numFmtId="164" fontId="11" fillId="4" borderId="5" xfId="0" applyNumberFormat="1" applyFont="1" applyFill="1" applyBorder="1" applyAlignment="1">
      <alignment horizontal="center" wrapText="1" readingOrder="1"/>
    </xf>
    <xf numFmtId="16" fontId="5" fillId="3" borderId="3" xfId="0" applyNumberFormat="1" applyFont="1" applyFill="1" applyBorder="1" applyAlignment="1">
      <alignment horizontal="center" vertical="center" wrapText="1" readingOrder="1"/>
    </xf>
    <xf numFmtId="16" fontId="12" fillId="3" borderId="3" xfId="0" applyNumberFormat="1" applyFont="1" applyFill="1" applyBorder="1" applyAlignment="1">
      <alignment horizontal="center" vertical="center" wrapText="1" readingOrder="1"/>
    </xf>
    <xf numFmtId="16" fontId="12" fillId="8" borderId="3" xfId="0" applyNumberFormat="1" applyFont="1" applyFill="1" applyBorder="1" applyAlignment="1">
      <alignment horizontal="center" vertical="center" wrapText="1" readingOrder="1"/>
    </xf>
    <xf numFmtId="164" fontId="13" fillId="4" borderId="5" xfId="0" applyNumberFormat="1" applyFont="1" applyFill="1" applyBorder="1" applyAlignment="1">
      <alignment horizontal="center" wrapText="1" readingOrder="1"/>
    </xf>
    <xf numFmtId="164" fontId="14" fillId="4" borderId="5" xfId="0" applyNumberFormat="1" applyFont="1" applyFill="1" applyBorder="1" applyAlignment="1">
      <alignment horizontal="center" wrapText="1" readingOrder="1"/>
    </xf>
    <xf numFmtId="164" fontId="7" fillId="9" borderId="5" xfId="0" applyNumberFormat="1" applyFont="1" applyFill="1" applyBorder="1" applyAlignment="1">
      <alignment horizontal="center" wrapText="1" readingOrder="1"/>
    </xf>
    <xf numFmtId="164" fontId="10" fillId="10" borderId="5" xfId="0" applyNumberFormat="1" applyFont="1" applyFill="1" applyBorder="1" applyAlignment="1">
      <alignment horizontal="center" wrapText="1" readingOrder="1"/>
    </xf>
    <xf numFmtId="164" fontId="15" fillId="4" borderId="5" xfId="0" applyNumberFormat="1" applyFont="1" applyFill="1" applyBorder="1" applyAlignment="1">
      <alignment horizontal="center" wrapText="1" readingOrder="1"/>
    </xf>
    <xf numFmtId="0" fontId="16" fillId="0" borderId="0" xfId="0" applyFont="1" applyAlignment="1">
      <alignment horizontal="center" vertical="center"/>
    </xf>
    <xf numFmtId="0" fontId="18" fillId="0" borderId="2" xfId="0" applyFont="1" applyBorder="1"/>
    <xf numFmtId="0" fontId="17" fillId="2" borderId="2" xfId="0" applyFont="1" applyFill="1" applyBorder="1" applyAlignment="1">
      <alignment horizontal="center" vertical="center" wrapText="1" readingOrder="1"/>
    </xf>
    <xf numFmtId="0" fontId="19" fillId="3" borderId="3" xfId="0" applyFont="1" applyFill="1" applyBorder="1" applyAlignment="1">
      <alignment horizontal="left" vertical="center" wrapText="1" readingOrder="1"/>
    </xf>
    <xf numFmtId="0" fontId="19" fillId="3" borderId="3" xfId="0" applyFont="1" applyFill="1" applyBorder="1" applyAlignment="1">
      <alignment horizontal="center" vertical="center" wrapText="1" readingOrder="1"/>
    </xf>
    <xf numFmtId="0" fontId="20" fillId="4" borderId="4" xfId="0" applyFont="1" applyFill="1" applyBorder="1" applyAlignment="1">
      <alignment horizontal="left" vertical="center" wrapText="1" readingOrder="1"/>
    </xf>
    <xf numFmtId="0" fontId="20" fillId="4" borderId="5" xfId="0" applyFont="1" applyFill="1" applyBorder="1" applyAlignment="1">
      <alignment horizontal="center" vertical="center" wrapText="1" readingOrder="1"/>
    </xf>
    <xf numFmtId="164" fontId="21" fillId="4" borderId="5" xfId="0" applyNumberFormat="1" applyFont="1" applyFill="1" applyBorder="1" applyAlignment="1">
      <alignment horizontal="center" wrapText="1" readingOrder="1"/>
    </xf>
    <xf numFmtId="164" fontId="22" fillId="4" borderId="5" xfId="0" applyNumberFormat="1" applyFont="1" applyFill="1" applyBorder="1" applyAlignment="1">
      <alignment horizontal="center" wrapText="1" readingOrder="1"/>
    </xf>
    <xf numFmtId="1" fontId="21" fillId="4" borderId="5" xfId="0" applyNumberFormat="1" applyFont="1" applyFill="1" applyBorder="1" applyAlignment="1">
      <alignment horizontal="center" wrapText="1" readingOrder="1"/>
    </xf>
    <xf numFmtId="0" fontId="23" fillId="6" borderId="4" xfId="0" applyFont="1" applyFill="1" applyBorder="1" applyAlignment="1">
      <alignment horizontal="center" vertical="center" wrapText="1" readingOrder="1"/>
    </xf>
    <xf numFmtId="164" fontId="21" fillId="9" borderId="5" xfId="0" applyNumberFormat="1" applyFont="1" applyFill="1" applyBorder="1" applyAlignment="1">
      <alignment horizontal="center" wrapText="1" readingOrder="1"/>
    </xf>
    <xf numFmtId="0" fontId="21" fillId="4" borderId="5" xfId="0" applyFont="1" applyFill="1" applyBorder="1" applyAlignment="1">
      <alignment horizontal="center" vertical="center" wrapText="1" readingOrder="1"/>
    </xf>
    <xf numFmtId="0" fontId="20" fillId="5" borderId="4" xfId="0" applyFont="1" applyFill="1" applyBorder="1" applyAlignment="1">
      <alignment horizontal="left" vertical="center" wrapText="1" readingOrder="1"/>
    </xf>
    <xf numFmtId="0" fontId="20" fillId="5" borderId="5" xfId="0" applyFont="1" applyFill="1" applyBorder="1" applyAlignment="1">
      <alignment horizontal="center" vertical="center" wrapText="1" readingOrder="1"/>
    </xf>
    <xf numFmtId="164" fontId="21" fillId="5" borderId="5" xfId="0" applyNumberFormat="1" applyFont="1" applyFill="1" applyBorder="1" applyAlignment="1">
      <alignment horizontal="center" wrapText="1" readingOrder="1"/>
    </xf>
    <xf numFmtId="1" fontId="21" fillId="5" borderId="5" xfId="0" applyNumberFormat="1" applyFont="1" applyFill="1" applyBorder="1" applyAlignment="1">
      <alignment horizontal="center" wrapText="1" readingOrder="1"/>
    </xf>
    <xf numFmtId="164" fontId="20" fillId="4" borderId="5" xfId="0" applyNumberFormat="1" applyFont="1" applyFill="1" applyBorder="1" applyAlignment="1">
      <alignment horizontal="center" wrapText="1" readingOrder="1"/>
    </xf>
    <xf numFmtId="1" fontId="20" fillId="4" borderId="5" xfId="0" applyNumberFormat="1" applyFont="1" applyFill="1" applyBorder="1" applyAlignment="1">
      <alignment horizontal="center" wrapText="1" readingOrder="1"/>
    </xf>
    <xf numFmtId="0" fontId="23" fillId="6" borderId="5" xfId="0" applyFont="1" applyFill="1" applyBorder="1" applyAlignment="1">
      <alignment horizontal="center" wrapText="1" readingOrder="1"/>
    </xf>
    <xf numFmtId="0" fontId="20" fillId="4" borderId="4" xfId="0" applyFont="1" applyFill="1" applyBorder="1" applyAlignment="1">
      <alignment horizontal="center" vertical="center" wrapText="1" readingOrder="1"/>
    </xf>
    <xf numFmtId="0" fontId="20" fillId="4" borderId="6" xfId="0" applyFont="1" applyFill="1" applyBorder="1" applyAlignment="1">
      <alignment horizontal="left" vertical="center" wrapText="1" readingOrder="1"/>
    </xf>
    <xf numFmtId="0" fontId="20" fillId="4" borderId="6" xfId="0" applyFont="1" applyFill="1" applyBorder="1" applyAlignment="1">
      <alignment horizontal="center" vertical="center" wrapText="1" readingOrder="1"/>
    </xf>
    <xf numFmtId="0" fontId="23" fillId="6" borderId="6" xfId="0" applyFont="1" applyFill="1" applyBorder="1" applyAlignment="1">
      <alignment horizontal="center" vertical="center" wrapText="1" readingOrder="1"/>
    </xf>
    <xf numFmtId="0" fontId="23" fillId="6" borderId="7" xfId="0" applyFont="1" applyFill="1" applyBorder="1" applyAlignment="1">
      <alignment horizontal="center" wrapText="1" readingOrder="1"/>
    </xf>
    <xf numFmtId="1" fontId="21" fillId="4" borderId="7" xfId="0" applyNumberFormat="1" applyFont="1" applyFill="1" applyBorder="1" applyAlignment="1">
      <alignment horizontal="center" wrapText="1" readingOrder="1"/>
    </xf>
    <xf numFmtId="0" fontId="16" fillId="7" borderId="9" xfId="0" applyFont="1" applyFill="1" applyBorder="1" applyAlignment="1">
      <alignment horizontal="center" vertical="center"/>
    </xf>
    <xf numFmtId="1" fontId="0" fillId="7" borderId="9" xfId="0" applyNumberFormat="1" applyFill="1" applyBorder="1"/>
    <xf numFmtId="164" fontId="7" fillId="11" borderId="5" xfId="0" applyNumberFormat="1" applyFont="1" applyFill="1" applyBorder="1" applyAlignment="1">
      <alignment horizontal="center" wrapText="1" readingOrder="1"/>
    </xf>
    <xf numFmtId="164" fontId="21" fillId="11" borderId="5" xfId="0" applyNumberFormat="1" applyFont="1" applyFill="1" applyBorder="1" applyAlignment="1">
      <alignment horizontal="center" wrapText="1" readingOrder="1"/>
    </xf>
    <xf numFmtId="0" fontId="26" fillId="13" borderId="12" xfId="0" applyFont="1" applyFill="1" applyBorder="1" applyAlignment="1">
      <alignment horizontal="center" vertical="center" wrapText="1"/>
    </xf>
    <xf numFmtId="0" fontId="26" fillId="14" borderId="12" xfId="0" applyFont="1" applyFill="1" applyBorder="1" applyAlignment="1">
      <alignment horizontal="center" vertical="center" wrapText="1"/>
    </xf>
    <xf numFmtId="0" fontId="29" fillId="0" borderId="0" xfId="0" applyFont="1"/>
    <xf numFmtId="0" fontId="30" fillId="0" borderId="0" xfId="0" applyFont="1" applyAlignment="1">
      <alignment horizontal="left" vertical="center" wrapText="1" readingOrder="1"/>
    </xf>
    <xf numFmtId="0" fontId="0" fillId="15" borderId="0" xfId="0" applyFill="1"/>
    <xf numFmtId="16" fontId="31" fillId="16" borderId="0" xfId="0" applyNumberFormat="1" applyFont="1" applyFill="1" applyAlignment="1">
      <alignment horizontal="center" vertical="center"/>
    </xf>
    <xf numFmtId="0" fontId="32" fillId="0" borderId="0" xfId="0" applyFont="1" applyAlignment="1">
      <alignment horizontal="left" vertical="center" wrapText="1" readingOrder="1"/>
    </xf>
    <xf numFmtId="0" fontId="26" fillId="0" borderId="0" xfId="0" applyFont="1"/>
    <xf numFmtId="0" fontId="33" fillId="0" borderId="0" xfId="0" applyFont="1" applyAlignment="1">
      <alignment horizontal="left" vertical="center" wrapText="1" readingOrder="1"/>
    </xf>
    <xf numFmtId="1" fontId="34" fillId="0" borderId="0" xfId="0" applyNumberFormat="1" applyFont="1" applyAlignment="1">
      <alignment horizontal="center" wrapText="1" readingOrder="1"/>
    </xf>
    <xf numFmtId="0" fontId="35" fillId="0" borderId="0" xfId="0" applyFont="1"/>
    <xf numFmtId="0" fontId="0" fillId="17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12" borderId="11" xfId="0" applyFill="1" applyBorder="1" applyAlignment="1">
      <alignment horizontal="center" vertical="center" wrapText="1"/>
    </xf>
    <xf numFmtId="0" fontId="35" fillId="0" borderId="0" xfId="0" applyFont="1" applyAlignment="1">
      <alignment horizontal="left" vertical="center"/>
    </xf>
    <xf numFmtId="0" fontId="29" fillId="0" borderId="0" xfId="0" applyFont="1" applyAlignment="1">
      <alignment wrapText="1"/>
    </xf>
    <xf numFmtId="0" fontId="29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37" fillId="12" borderId="11" xfId="0" applyFont="1" applyFill="1" applyBorder="1" applyAlignment="1">
      <alignment horizontal="left" vertical="center" wrapText="1"/>
    </xf>
    <xf numFmtId="0" fontId="37" fillId="13" borderId="11" xfId="0" applyFont="1" applyFill="1" applyBorder="1" applyAlignment="1">
      <alignment horizontal="left" vertical="center" wrapText="1"/>
    </xf>
    <xf numFmtId="0" fontId="32" fillId="14" borderId="11" xfId="0" applyFont="1" applyFill="1" applyBorder="1" applyAlignment="1">
      <alignment horizontal="left" vertical="center" wrapText="1" readingOrder="1"/>
    </xf>
    <xf numFmtId="0" fontId="32" fillId="18" borderId="12" xfId="0" applyFont="1" applyFill="1" applyBorder="1" applyAlignment="1">
      <alignment horizontal="left" vertical="center" wrapText="1" readingOrder="1"/>
    </xf>
    <xf numFmtId="0" fontId="37" fillId="11" borderId="11" xfId="0" applyFont="1" applyFill="1" applyBorder="1" applyAlignment="1">
      <alignment horizontal="left" vertical="center" wrapText="1"/>
    </xf>
    <xf numFmtId="0" fontId="37" fillId="12" borderId="11" xfId="0" applyFont="1" applyFill="1" applyBorder="1" applyAlignment="1">
      <alignment horizontal="left" vertical="center"/>
    </xf>
    <xf numFmtId="0" fontId="37" fillId="13" borderId="11" xfId="0" applyFont="1" applyFill="1" applyBorder="1" applyAlignment="1">
      <alignment horizontal="left" vertical="center"/>
    </xf>
    <xf numFmtId="1" fontId="38" fillId="14" borderId="11" xfId="0" applyNumberFormat="1" applyFont="1" applyFill="1" applyBorder="1" applyAlignment="1">
      <alignment horizontal="left" vertical="center" wrapText="1" readingOrder="1"/>
    </xf>
    <xf numFmtId="1" fontId="38" fillId="18" borderId="12" xfId="0" applyNumberFormat="1" applyFont="1" applyFill="1" applyBorder="1" applyAlignment="1">
      <alignment horizontal="left" vertical="center" wrapText="1" readingOrder="1"/>
    </xf>
    <xf numFmtId="0" fontId="37" fillId="11" borderId="11" xfId="0" applyFont="1" applyFill="1" applyBorder="1" applyAlignment="1">
      <alignment horizontal="left" vertical="center"/>
    </xf>
    <xf numFmtId="0" fontId="37" fillId="0" borderId="0" xfId="0" applyFont="1"/>
    <xf numFmtId="0" fontId="39" fillId="12" borderId="11" xfId="0" applyFont="1" applyFill="1" applyBorder="1" applyAlignment="1">
      <alignment horizontal="left" vertical="center" wrapText="1" readingOrder="1"/>
    </xf>
    <xf numFmtId="1" fontId="40" fillId="12" borderId="11" xfId="0" applyNumberFormat="1" applyFont="1" applyFill="1" applyBorder="1" applyAlignment="1">
      <alignment horizontal="left" vertical="center" wrapText="1" readingOrder="1"/>
    </xf>
    <xf numFmtId="0" fontId="36" fillId="13" borderId="11" xfId="0" applyFont="1" applyFill="1" applyBorder="1" applyAlignment="1">
      <alignment horizontal="left" vertical="center" wrapText="1"/>
    </xf>
    <xf numFmtId="0" fontId="36" fillId="13" borderId="11" xfId="0" applyFont="1" applyFill="1" applyBorder="1" applyAlignment="1">
      <alignment horizontal="left" vertical="center"/>
    </xf>
    <xf numFmtId="0" fontId="39" fillId="18" borderId="12" xfId="0" applyFont="1" applyFill="1" applyBorder="1" applyAlignment="1">
      <alignment horizontal="left" vertical="center" wrapText="1" readingOrder="1"/>
    </xf>
    <xf numFmtId="1" fontId="40" fillId="18" borderId="12" xfId="0" applyNumberFormat="1" applyFont="1" applyFill="1" applyBorder="1" applyAlignment="1">
      <alignment horizontal="left" vertical="center" wrapText="1" readingOrder="1"/>
    </xf>
    <xf numFmtId="165" fontId="37" fillId="11" borderId="11" xfId="0" applyNumberFormat="1" applyFont="1" applyFill="1" applyBorder="1" applyAlignment="1">
      <alignment horizontal="left" vertical="center"/>
    </xf>
    <xf numFmtId="165" fontId="36" fillId="12" borderId="11" xfId="0" applyNumberFormat="1" applyFont="1" applyFill="1" applyBorder="1" applyAlignment="1">
      <alignment horizontal="left" vertical="center"/>
    </xf>
    <xf numFmtId="165" fontId="37" fillId="12" borderId="11" xfId="0" applyNumberFormat="1" applyFont="1" applyFill="1" applyBorder="1" applyAlignment="1">
      <alignment horizontal="left" vertical="center"/>
    </xf>
    <xf numFmtId="165" fontId="37" fillId="13" borderId="11" xfId="0" applyNumberFormat="1" applyFont="1" applyFill="1" applyBorder="1" applyAlignment="1">
      <alignment horizontal="left" vertical="center"/>
    </xf>
    <xf numFmtId="165" fontId="36" fillId="13" borderId="11" xfId="0" applyNumberFormat="1" applyFont="1" applyFill="1" applyBorder="1" applyAlignment="1">
      <alignment horizontal="left" vertical="center"/>
    </xf>
    <xf numFmtId="165" fontId="37" fillId="14" borderId="11" xfId="0" applyNumberFormat="1" applyFont="1" applyFill="1" applyBorder="1" applyAlignment="1">
      <alignment horizontal="left" vertical="center"/>
    </xf>
    <xf numFmtId="165" fontId="36" fillId="18" borderId="12" xfId="0" applyNumberFormat="1" applyFont="1" applyFill="1" applyBorder="1" applyAlignment="1">
      <alignment horizontal="left" vertical="center"/>
    </xf>
    <xf numFmtId="165" fontId="37" fillId="18" borderId="12" xfId="0" applyNumberFormat="1" applyFont="1" applyFill="1" applyBorder="1" applyAlignment="1">
      <alignment horizontal="left" vertical="center"/>
    </xf>
    <xf numFmtId="0" fontId="39" fillId="11" borderId="11" xfId="0" applyFont="1" applyFill="1" applyBorder="1" applyAlignment="1">
      <alignment horizontal="left" vertical="center" wrapText="1" readingOrder="1"/>
    </xf>
    <xf numFmtId="1" fontId="40" fillId="11" borderId="11" xfId="0" applyNumberFormat="1" applyFont="1" applyFill="1" applyBorder="1" applyAlignment="1">
      <alignment horizontal="left" vertical="center" wrapText="1" readingOrder="1"/>
    </xf>
    <xf numFmtId="165" fontId="36" fillId="11" borderId="11" xfId="0" applyNumberFormat="1" applyFont="1" applyFill="1" applyBorder="1" applyAlignment="1">
      <alignment horizontal="left" vertical="center"/>
    </xf>
    <xf numFmtId="0" fontId="36" fillId="11" borderId="0" xfId="0" applyFont="1" applyFill="1" applyAlignment="1">
      <alignment horizontal="left" vertical="center" wrapText="1"/>
    </xf>
    <xf numFmtId="0" fontId="36" fillId="11" borderId="11" xfId="0" applyFont="1" applyFill="1" applyBorder="1" applyAlignment="1">
      <alignment horizontal="left" vertical="center"/>
    </xf>
    <xf numFmtId="1" fontId="38" fillId="19" borderId="11" xfId="0" applyNumberFormat="1" applyFont="1" applyFill="1" applyBorder="1" applyAlignment="1">
      <alignment horizontal="left" vertical="center" wrapText="1" readingOrder="1"/>
    </xf>
    <xf numFmtId="1" fontId="14" fillId="4" borderId="5" xfId="0" applyNumberFormat="1" applyFont="1" applyFill="1" applyBorder="1" applyAlignment="1">
      <alignment horizontal="center" wrapText="1" readingOrder="1"/>
    </xf>
    <xf numFmtId="1" fontId="41" fillId="4" borderId="5" xfId="0" applyNumberFormat="1" applyFont="1" applyFill="1" applyBorder="1" applyAlignment="1">
      <alignment horizontal="center" wrapText="1" readingOrder="1"/>
    </xf>
    <xf numFmtId="164" fontId="42" fillId="9" borderId="5" xfId="0" applyNumberFormat="1" applyFont="1" applyFill="1" applyBorder="1" applyAlignment="1">
      <alignment horizontal="center" wrapText="1" readingOrder="1"/>
    </xf>
    <xf numFmtId="1" fontId="7" fillId="20" borderId="5" xfId="0" applyNumberFormat="1" applyFont="1" applyFill="1" applyBorder="1" applyAlignment="1">
      <alignment horizontal="center" wrapText="1" readingOrder="1"/>
    </xf>
    <xf numFmtId="0" fontId="0" fillId="0" borderId="0" xfId="0" applyAlignment="1">
      <alignment horizontal="right" wrapText="1"/>
    </xf>
    <xf numFmtId="165" fontId="0" fillId="0" borderId="0" xfId="0" applyNumberFormat="1" applyAlignment="1">
      <alignment wrapText="1"/>
    </xf>
    <xf numFmtId="0" fontId="0" fillId="0" borderId="0" xfId="0" applyAlignment="1">
      <alignment horizontal="right"/>
    </xf>
    <xf numFmtId="164" fontId="7" fillId="20" borderId="5" xfId="0" applyNumberFormat="1" applyFont="1" applyFill="1" applyBorder="1" applyAlignment="1">
      <alignment horizontal="center" wrapText="1" readingOrder="1"/>
    </xf>
    <xf numFmtId="0" fontId="43" fillId="21" borderId="0" xfId="0" applyFont="1" applyFill="1" applyAlignment="1">
      <alignment horizontal="left" indent="2"/>
    </xf>
    <xf numFmtId="0" fontId="43" fillId="0" borderId="0" xfId="0" applyFont="1" applyAlignment="1">
      <alignment horizontal="left" indent="2"/>
    </xf>
    <xf numFmtId="1" fontId="44" fillId="4" borderId="5" xfId="0" applyNumberFormat="1" applyFont="1" applyFill="1" applyBorder="1" applyAlignment="1">
      <alignment horizontal="center" wrapText="1" readingOrder="1"/>
    </xf>
    <xf numFmtId="1" fontId="42" fillId="4" borderId="5" xfId="0" applyNumberFormat="1" applyFont="1" applyFill="1" applyBorder="1" applyAlignment="1">
      <alignment horizontal="center" wrapText="1" readingOrder="1"/>
    </xf>
    <xf numFmtId="0" fontId="6" fillId="19" borderId="4" xfId="0" applyFont="1" applyFill="1" applyBorder="1" applyAlignment="1">
      <alignment horizontal="left" vertical="center" wrapText="1" readingOrder="1"/>
    </xf>
    <xf numFmtId="0" fontId="6" fillId="19" borderId="5" xfId="0" applyFont="1" applyFill="1" applyBorder="1" applyAlignment="1">
      <alignment horizontal="center" vertical="center" wrapText="1" readingOrder="1"/>
    </xf>
    <xf numFmtId="0" fontId="9" fillId="19" borderId="4" xfId="0" applyFont="1" applyFill="1" applyBorder="1" applyAlignment="1">
      <alignment horizontal="center" vertical="center" wrapText="1" readingOrder="1"/>
    </xf>
    <xf numFmtId="164" fontId="7" fillId="19" borderId="5" xfId="0" applyNumberFormat="1" applyFont="1" applyFill="1" applyBorder="1" applyAlignment="1">
      <alignment horizontal="center" wrapText="1" readingOrder="1"/>
    </xf>
    <xf numFmtId="164" fontId="8" fillId="19" borderId="5" xfId="0" applyNumberFormat="1" applyFont="1" applyFill="1" applyBorder="1" applyAlignment="1">
      <alignment horizontal="center" wrapText="1" readingOrder="1"/>
    </xf>
    <xf numFmtId="164" fontId="11" fillId="19" borderId="5" xfId="0" applyNumberFormat="1" applyFont="1" applyFill="1" applyBorder="1" applyAlignment="1">
      <alignment horizontal="center" wrapText="1" readingOrder="1"/>
    </xf>
    <xf numFmtId="1" fontId="21" fillId="19" borderId="5" xfId="0" applyNumberFormat="1" applyFont="1" applyFill="1" applyBorder="1" applyAlignment="1">
      <alignment horizontal="center" wrapText="1" readingOrder="1"/>
    </xf>
    <xf numFmtId="1" fontId="7" fillId="19" borderId="5" xfId="0" applyNumberFormat="1" applyFont="1" applyFill="1" applyBorder="1" applyAlignment="1">
      <alignment horizontal="center" wrapText="1" readingOrder="1"/>
    </xf>
    <xf numFmtId="0" fontId="0" fillId="19" borderId="0" xfId="0" applyFill="1"/>
    <xf numFmtId="1" fontId="41" fillId="19" borderId="5" xfId="0" applyNumberFormat="1" applyFont="1" applyFill="1" applyBorder="1" applyAlignment="1">
      <alignment horizontal="center" wrapText="1" readingOrder="1"/>
    </xf>
    <xf numFmtId="0" fontId="45" fillId="22" borderId="0" xfId="0" applyFont="1" applyFill="1" applyAlignment="1">
      <alignment horizontal="left"/>
    </xf>
    <xf numFmtId="1" fontId="7" fillId="23" borderId="5" xfId="0" applyNumberFormat="1" applyFont="1" applyFill="1" applyBorder="1" applyAlignment="1">
      <alignment horizontal="center" wrapText="1" readingOrder="1"/>
    </xf>
    <xf numFmtId="0" fontId="46" fillId="4" borderId="4" xfId="0" applyFont="1" applyFill="1" applyBorder="1" applyAlignment="1">
      <alignment horizontal="left" vertical="center" wrapText="1" readingOrder="1"/>
    </xf>
    <xf numFmtId="0" fontId="37" fillId="11" borderId="11" xfId="0" applyFont="1" applyFill="1" applyBorder="1" applyAlignment="1">
      <alignment wrapText="1"/>
    </xf>
    <xf numFmtId="164" fontId="7" fillId="23" borderId="5" xfId="0" applyNumberFormat="1" applyFont="1" applyFill="1" applyBorder="1" applyAlignment="1">
      <alignment horizontal="center" wrapText="1" readingOrder="1"/>
    </xf>
    <xf numFmtId="0" fontId="32" fillId="12" borderId="11" xfId="0" applyFont="1" applyFill="1" applyBorder="1" applyAlignment="1">
      <alignment horizontal="left" vertical="center" wrapText="1" readingOrder="1"/>
    </xf>
    <xf numFmtId="1" fontId="38" fillId="12" borderId="11" xfId="0" applyNumberFormat="1" applyFont="1" applyFill="1" applyBorder="1" applyAlignment="1">
      <alignment horizontal="left" vertical="center" wrapText="1" readingOrder="1"/>
    </xf>
    <xf numFmtId="165" fontId="1" fillId="12" borderId="11" xfId="0" applyNumberFormat="1" applyFont="1" applyFill="1" applyBorder="1" applyAlignment="1">
      <alignment horizontal="left" vertical="center"/>
    </xf>
    <xf numFmtId="0" fontId="1" fillId="0" borderId="0" xfId="0" applyFont="1"/>
    <xf numFmtId="0" fontId="6" fillId="25" borderId="5" xfId="0" applyFont="1" applyFill="1" applyBorder="1" applyAlignment="1">
      <alignment horizontal="center" vertical="center" wrapText="1" readingOrder="1"/>
    </xf>
    <xf numFmtId="164" fontId="7" fillId="25" borderId="5" xfId="0" applyNumberFormat="1" applyFont="1" applyFill="1" applyBorder="1" applyAlignment="1">
      <alignment horizontal="center" wrapText="1" readingOrder="1"/>
    </xf>
    <xf numFmtId="164" fontId="8" fillId="25" borderId="5" xfId="0" applyNumberFormat="1" applyFont="1" applyFill="1" applyBorder="1" applyAlignment="1">
      <alignment horizontal="center" wrapText="1" readingOrder="1"/>
    </xf>
    <xf numFmtId="164" fontId="11" fillId="25" borderId="5" xfId="0" applyNumberFormat="1" applyFont="1" applyFill="1" applyBorder="1" applyAlignment="1">
      <alignment horizontal="center" wrapText="1" readingOrder="1"/>
    </xf>
    <xf numFmtId="164" fontId="47" fillId="4" borderId="5" xfId="0" applyNumberFormat="1" applyFont="1" applyFill="1" applyBorder="1" applyAlignment="1">
      <alignment horizontal="center" wrapText="1" readingOrder="1"/>
    </xf>
    <xf numFmtId="1" fontId="20" fillId="24" borderId="5" xfId="0" applyNumberFormat="1" applyFont="1" applyFill="1" applyBorder="1" applyAlignment="1">
      <alignment horizontal="center" wrapText="1" readingOrder="1"/>
    </xf>
    <xf numFmtId="0" fontId="2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8" fillId="0" borderId="0" xfId="0" applyFont="1"/>
    <xf numFmtId="0" fontId="50" fillId="0" borderId="0" xfId="0" applyFont="1"/>
    <xf numFmtId="0" fontId="51" fillId="0" borderId="0" xfId="0" applyFont="1"/>
    <xf numFmtId="0" fontId="51" fillId="0" borderId="0" xfId="0" applyFont="1" applyAlignment="1">
      <alignment horizontal="center"/>
    </xf>
    <xf numFmtId="0" fontId="50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8" xfId="0" applyBorder="1" applyAlignment="1">
      <alignment horizontal="center"/>
    </xf>
    <xf numFmtId="0" fontId="0" fillId="0" borderId="10" xfId="0" applyBorder="1"/>
    <xf numFmtId="0" fontId="29" fillId="0" borderId="17" xfId="0" applyFont="1" applyBorder="1"/>
    <xf numFmtId="0" fontId="29" fillId="0" borderId="22" xfId="0" applyFont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5" xfId="0" applyBorder="1"/>
    <xf numFmtId="0" fontId="29" fillId="0" borderId="22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20" borderId="23" xfId="0" applyFill="1" applyBorder="1" applyAlignment="1">
      <alignment horizontal="center"/>
    </xf>
    <xf numFmtId="0" fontId="0" fillId="12" borderId="22" xfId="0" applyFill="1" applyBorder="1" applyAlignment="1">
      <alignment horizontal="center"/>
    </xf>
    <xf numFmtId="0" fontId="0" fillId="12" borderId="15" xfId="0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9" fillId="6" borderId="5" xfId="0" applyFont="1" applyFill="1" applyBorder="1" applyAlignment="1">
      <alignment horizontal="center" vertical="center" wrapText="1" readingOrder="1"/>
    </xf>
    <xf numFmtId="0" fontId="9" fillId="6" borderId="7" xfId="0" applyFont="1" applyFill="1" applyBorder="1" applyAlignment="1">
      <alignment horizontal="center" vertical="center" wrapText="1" readingOrder="1"/>
    </xf>
    <xf numFmtId="164" fontId="11" fillId="23" borderId="5" xfId="0" applyNumberFormat="1" applyFont="1" applyFill="1" applyBorder="1" applyAlignment="1">
      <alignment horizontal="center" wrapText="1" readingOrder="1"/>
    </xf>
    <xf numFmtId="0" fontId="1" fillId="13" borderId="11" xfId="0" applyFont="1" applyFill="1" applyBorder="1" applyAlignment="1">
      <alignment horizontal="left" vertical="center" wrapText="1"/>
    </xf>
    <xf numFmtId="0" fontId="1" fillId="13" borderId="11" xfId="0" applyFont="1" applyFill="1" applyBorder="1" applyAlignment="1">
      <alignment horizontal="left" vertical="center"/>
    </xf>
    <xf numFmtId="165" fontId="1" fillId="13" borderId="11" xfId="0" applyNumberFormat="1" applyFont="1" applyFill="1" applyBorder="1" applyAlignment="1">
      <alignment horizontal="left" vertical="center"/>
    </xf>
    <xf numFmtId="165" fontId="1" fillId="14" borderId="11" xfId="0" applyNumberFormat="1" applyFont="1" applyFill="1" applyBorder="1" applyAlignment="1">
      <alignment horizontal="left" vertical="center"/>
    </xf>
    <xf numFmtId="0" fontId="0" fillId="20" borderId="22" xfId="0" applyFill="1" applyBorder="1" applyAlignment="1">
      <alignment horizontal="center"/>
    </xf>
    <xf numFmtId="164" fontId="52" fillId="4" borderId="5" xfId="0" applyNumberFormat="1" applyFont="1" applyFill="1" applyBorder="1" applyAlignment="1">
      <alignment horizontal="center" wrapText="1" readingOrder="1"/>
    </xf>
    <xf numFmtId="14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0" fontId="0" fillId="20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29" fillId="26" borderId="11" xfId="0" applyFont="1" applyFill="1" applyBorder="1" applyAlignment="1">
      <alignment horizontal="center" vertical="center" textRotation="45"/>
    </xf>
    <xf numFmtId="0" fontId="53" fillId="27" borderId="11" xfId="0" applyFont="1" applyFill="1" applyBorder="1" applyAlignment="1">
      <alignment horizontal="center" vertical="center" textRotation="45" wrapText="1" readingOrder="1"/>
    </xf>
    <xf numFmtId="14" fontId="54" fillId="4" borderId="5" xfId="0" applyNumberFormat="1" applyFont="1" applyFill="1" applyBorder="1" applyAlignment="1">
      <alignment horizontal="center" wrapText="1" readingOrder="1"/>
    </xf>
    <xf numFmtId="14" fontId="54" fillId="25" borderId="5" xfId="0" applyNumberFormat="1" applyFont="1" applyFill="1" applyBorder="1" applyAlignment="1">
      <alignment horizontal="center" wrapText="1" readingOrder="1"/>
    </xf>
    <xf numFmtId="14" fontId="56" fillId="4" borderId="5" xfId="0" applyNumberFormat="1" applyFont="1" applyFill="1" applyBorder="1" applyAlignment="1">
      <alignment horizontal="center" wrapText="1" readingOrder="1"/>
    </xf>
    <xf numFmtId="14" fontId="57" fillId="0" borderId="11" xfId="0" applyNumberFormat="1" applyFont="1" applyBorder="1"/>
    <xf numFmtId="14" fontId="57" fillId="0" borderId="11" xfId="0" applyNumberFormat="1" applyFont="1" applyBorder="1" applyAlignment="1">
      <alignment vertical="center"/>
    </xf>
    <xf numFmtId="0" fontId="0" fillId="9" borderId="15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 readingOrder="1"/>
    </xf>
    <xf numFmtId="0" fontId="4" fillId="0" borderId="2" xfId="0" applyFont="1" applyBorder="1"/>
    <xf numFmtId="0" fontId="17" fillId="2" borderId="1" xfId="0" applyFont="1" applyFill="1" applyBorder="1" applyAlignment="1">
      <alignment horizontal="center" vertical="center" wrapText="1" readingOrder="1"/>
    </xf>
    <xf numFmtId="0" fontId="18" fillId="0" borderId="2" xfId="0" applyFont="1" applyBorder="1"/>
    <xf numFmtId="0" fontId="37" fillId="12" borderId="11" xfId="0" applyFont="1" applyFill="1" applyBorder="1" applyAlignment="1">
      <alignment horizontal="center" vertical="center" wrapText="1"/>
    </xf>
    <xf numFmtId="0" fontId="37" fillId="13" borderId="11" xfId="0" applyFont="1" applyFill="1" applyBorder="1" applyAlignment="1">
      <alignment horizontal="center" vertical="center" wrapText="1"/>
    </xf>
    <xf numFmtId="0" fontId="37" fillId="14" borderId="12" xfId="0" applyFont="1" applyFill="1" applyBorder="1" applyAlignment="1">
      <alignment horizontal="center" vertical="center" wrapText="1"/>
    </xf>
    <xf numFmtId="0" fontId="37" fillId="14" borderId="13" xfId="0" applyFont="1" applyFill="1" applyBorder="1" applyAlignment="1">
      <alignment horizontal="center" vertical="center" wrapText="1"/>
    </xf>
    <xf numFmtId="0" fontId="37" fillId="14" borderId="14" xfId="0" applyFont="1" applyFill="1" applyBorder="1" applyAlignment="1">
      <alignment horizontal="center" vertical="center" wrapText="1"/>
    </xf>
    <xf numFmtId="0" fontId="37" fillId="11" borderId="12" xfId="0" applyFont="1" applyFill="1" applyBorder="1" applyAlignment="1">
      <alignment horizontal="center" vertical="center" wrapText="1"/>
    </xf>
    <xf numFmtId="0" fontId="37" fillId="11" borderId="13" xfId="0" applyFont="1" applyFill="1" applyBorder="1" applyAlignment="1">
      <alignment horizontal="center" vertical="center" wrapText="1"/>
    </xf>
    <xf numFmtId="0" fontId="37" fillId="18" borderId="12" xfId="0" applyFont="1" applyFill="1" applyBorder="1" applyAlignment="1">
      <alignment horizontal="center" vertical="center" wrapText="1"/>
    </xf>
    <xf numFmtId="0" fontId="37" fillId="18" borderId="13" xfId="0" applyFont="1" applyFill="1" applyBorder="1" applyAlignment="1">
      <alignment horizontal="center" vertical="center" wrapText="1"/>
    </xf>
    <xf numFmtId="0" fontId="37" fillId="18" borderId="14" xfId="0" applyFont="1" applyFill="1" applyBorder="1" applyAlignment="1">
      <alignment horizontal="center" vertical="center" wrapText="1"/>
    </xf>
    <xf numFmtId="0" fontId="51" fillId="0" borderId="0" xfId="0" applyFont="1" applyAlignment="1">
      <alignment vertical="center" wrapText="1"/>
    </xf>
    <xf numFmtId="0" fontId="50" fillId="0" borderId="0" xfId="0" applyFont="1" applyAlignment="1">
      <alignment horizontal="center" vertical="center"/>
    </xf>
    <xf numFmtId="0" fontId="50" fillId="0" borderId="0" xfId="0" applyFont="1" applyAlignment="1">
      <alignment vertical="center" wrapText="1"/>
    </xf>
    <xf numFmtId="0" fontId="49" fillId="0" borderId="0" xfId="0" applyFont="1" applyAlignment="1">
      <alignment vertical="center" wrapText="1"/>
    </xf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vertical="center" wrapText="1"/>
    </xf>
    <xf numFmtId="164" fontId="7" fillId="28" borderId="5" xfId="0" applyNumberFormat="1" applyFont="1" applyFill="1" applyBorder="1" applyAlignment="1">
      <alignment horizontal="center" wrapText="1" readingOrder="1"/>
    </xf>
    <xf numFmtId="164" fontId="7" fillId="29" borderId="5" xfId="0" applyNumberFormat="1" applyFont="1" applyFill="1" applyBorder="1" applyAlignment="1">
      <alignment horizontal="center" wrapText="1" readingOrder="1"/>
    </xf>
    <xf numFmtId="0" fontId="6" fillId="30" borderId="4" xfId="0" applyFont="1" applyFill="1" applyBorder="1" applyAlignment="1">
      <alignment horizontal="center" vertical="center" wrapText="1" readingOrder="1"/>
    </xf>
    <xf numFmtId="164" fontId="6" fillId="22" borderId="5" xfId="0" applyNumberFormat="1" applyFont="1" applyFill="1" applyBorder="1" applyAlignment="1">
      <alignment horizontal="center" wrapText="1" readingOrder="1"/>
    </xf>
    <xf numFmtId="164" fontId="6" fillId="7" borderId="5" xfId="0" applyNumberFormat="1" applyFont="1" applyFill="1" applyBorder="1" applyAlignment="1">
      <alignment horizontal="center" wrapText="1" readingOrder="1"/>
    </xf>
    <xf numFmtId="164" fontId="20" fillId="23" borderId="5" xfId="0" applyNumberFormat="1" applyFont="1" applyFill="1" applyBorder="1" applyAlignment="1">
      <alignment horizontal="center" wrapText="1" readingOrder="1"/>
    </xf>
    <xf numFmtId="0" fontId="59" fillId="0" borderId="0" xfId="0" applyFont="1"/>
    <xf numFmtId="0" fontId="58" fillId="0" borderId="0" xfId="0" applyFont="1" applyAlignment="1">
      <alignment horizontal="center" vertical="center"/>
    </xf>
    <xf numFmtId="0" fontId="6" fillId="4" borderId="11" xfId="0" applyFont="1" applyFill="1" applyBorder="1" applyAlignment="1">
      <alignment horizontal="left" vertical="center" wrapText="1" readingOrder="1"/>
    </xf>
    <xf numFmtId="0" fontId="58" fillId="20" borderId="11" xfId="0" applyFont="1" applyFill="1" applyBorder="1" applyAlignment="1">
      <alignment horizontal="center" vertical="center"/>
    </xf>
    <xf numFmtId="0" fontId="59" fillId="0" borderId="11" xfId="0" applyFont="1" applyBorder="1"/>
    <xf numFmtId="0" fontId="58" fillId="28" borderId="11" xfId="0" applyFont="1" applyFill="1" applyBorder="1" applyAlignment="1">
      <alignment horizontal="center" vertical="center"/>
    </xf>
    <xf numFmtId="0" fontId="58" fillId="9" borderId="11" xfId="0" applyFont="1" applyFill="1" applyBorder="1" applyAlignment="1">
      <alignment horizontal="center" vertical="center"/>
    </xf>
    <xf numFmtId="0" fontId="58" fillId="19" borderId="11" xfId="0" applyFont="1" applyFill="1" applyBorder="1" applyAlignment="1">
      <alignment horizontal="center" vertical="center"/>
    </xf>
    <xf numFmtId="0" fontId="6" fillId="30" borderId="5" xfId="0" applyFont="1" applyFill="1" applyBorder="1" applyAlignment="1">
      <alignment horizontal="center" wrapText="1" readingOrder="1"/>
    </xf>
    <xf numFmtId="0" fontId="6" fillId="30" borderId="6" xfId="0" applyFont="1" applyFill="1" applyBorder="1" applyAlignment="1">
      <alignment horizontal="center" vertical="center" wrapText="1" readingOrder="1"/>
    </xf>
    <xf numFmtId="0" fontId="6" fillId="30" borderId="7" xfId="0" applyFont="1" applyFill="1" applyBorder="1" applyAlignment="1">
      <alignment horizontal="center" wrapText="1" readingOrder="1"/>
    </xf>
    <xf numFmtId="0" fontId="60" fillId="25" borderId="4" xfId="0" applyFont="1" applyFill="1" applyBorder="1" applyAlignment="1">
      <alignment horizontal="left" vertical="center" wrapText="1" readingOrder="1"/>
    </xf>
    <xf numFmtId="14" fontId="54" fillId="29" borderId="5" xfId="0" applyNumberFormat="1" applyFont="1" applyFill="1" applyBorder="1" applyAlignment="1">
      <alignment horizontal="center" wrapText="1" readingOrder="1"/>
    </xf>
    <xf numFmtId="14" fontId="55" fillId="30" borderId="4" xfId="0" applyNumberFormat="1" applyFont="1" applyFill="1" applyBorder="1" applyAlignment="1">
      <alignment horizontal="center" vertical="center" wrapText="1" readingOrder="1"/>
    </xf>
    <xf numFmtId="14" fontId="54" fillId="28" borderId="5" xfId="0" applyNumberFormat="1" applyFont="1" applyFill="1" applyBorder="1" applyAlignment="1">
      <alignment horizontal="center" wrapText="1" readingOrder="1"/>
    </xf>
    <xf numFmtId="1" fontId="7" fillId="31" borderId="5" xfId="0" applyNumberFormat="1" applyFont="1" applyFill="1" applyBorder="1" applyAlignment="1">
      <alignment horizontal="center" wrapText="1" readingOrder="1"/>
    </xf>
    <xf numFmtId="164" fontId="46" fillId="4" borderId="5" xfId="0" applyNumberFormat="1" applyFont="1" applyFill="1" applyBorder="1" applyAlignment="1">
      <alignment horizontal="center" wrapText="1" readingOrder="1"/>
    </xf>
    <xf numFmtId="0" fontId="59" fillId="0" borderId="0" xfId="0" applyFont="1" applyAlignment="1">
      <alignment horizontal="center"/>
    </xf>
    <xf numFmtId="0" fontId="6" fillId="30" borderId="5" xfId="0" applyFont="1" applyFill="1" applyBorder="1" applyAlignment="1">
      <alignment horizontal="center" vertical="center" wrapText="1" readingOrder="1"/>
    </xf>
    <xf numFmtId="0" fontId="6" fillId="30" borderId="7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CA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M1011"/>
  <sheetViews>
    <sheetView zoomScale="60" zoomScaleNormal="110" workbookViewId="0">
      <selection activeCell="E9" sqref="E9"/>
    </sheetView>
  </sheetViews>
  <sheetFormatPr baseColWidth="10" defaultColWidth="11.1640625" defaultRowHeight="15" customHeight="1" x14ac:dyDescent="0.2"/>
  <cols>
    <col min="1" max="1" width="3" customWidth="1"/>
    <col min="2" max="2" width="26.1640625" customWidth="1"/>
    <col min="3" max="3" width="10.6640625" customWidth="1"/>
    <col min="4" max="4" width="10" customWidth="1"/>
    <col min="5" max="5" width="16.83203125" customWidth="1"/>
    <col min="6" max="6" width="14.33203125" customWidth="1"/>
    <col min="7" max="7" width="13.1640625" customWidth="1"/>
    <col min="8" max="8" width="12.5" customWidth="1"/>
    <col min="9" max="9" width="13.5" customWidth="1"/>
    <col min="10" max="10" width="12.6640625" customWidth="1"/>
    <col min="11" max="11" width="26" customWidth="1"/>
    <col min="12" max="12" width="15.1640625" customWidth="1"/>
    <col min="13" max="13" width="12.1640625" customWidth="1"/>
    <col min="14" max="17" width="10.6640625" customWidth="1"/>
    <col min="18" max="90" width="3.6640625" customWidth="1"/>
    <col min="91" max="91" width="7.1640625" customWidth="1"/>
  </cols>
  <sheetData>
    <row r="1" spans="2:91" ht="15.75" customHeight="1" x14ac:dyDescent="0.2">
      <c r="C1" s="1"/>
      <c r="D1" s="1"/>
      <c r="E1" s="210" t="s">
        <v>0</v>
      </c>
      <c r="F1" s="211"/>
      <c r="G1" s="211"/>
      <c r="H1" s="211"/>
      <c r="I1" s="211"/>
      <c r="J1" s="211"/>
      <c r="K1" s="16"/>
      <c r="L1" s="41"/>
      <c r="M1" s="4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</row>
    <row r="2" spans="2:91" ht="36" x14ac:dyDescent="0.2"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3" t="s">
        <v>11</v>
      </c>
      <c r="M2" s="43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32">
        <v>46024</v>
      </c>
      <c r="S2" s="33">
        <f t="shared" ref="S2:AX2" si="0">R2+1</f>
        <v>46025</v>
      </c>
      <c r="T2" s="33">
        <f t="shared" si="0"/>
        <v>46026</v>
      </c>
      <c r="U2" s="32">
        <f t="shared" si="0"/>
        <v>46027</v>
      </c>
      <c r="V2" s="32">
        <f t="shared" si="0"/>
        <v>46028</v>
      </c>
      <c r="W2" s="32">
        <f t="shared" si="0"/>
        <v>46029</v>
      </c>
      <c r="X2" s="32">
        <f t="shared" si="0"/>
        <v>46030</v>
      </c>
      <c r="Y2" s="32">
        <f t="shared" si="0"/>
        <v>46031</v>
      </c>
      <c r="Z2" s="33">
        <f t="shared" si="0"/>
        <v>46032</v>
      </c>
      <c r="AA2" s="33">
        <f t="shared" si="0"/>
        <v>46033</v>
      </c>
      <c r="AB2" s="32">
        <f t="shared" si="0"/>
        <v>46034</v>
      </c>
      <c r="AC2" s="32">
        <f t="shared" si="0"/>
        <v>46035</v>
      </c>
      <c r="AD2" s="32">
        <f t="shared" si="0"/>
        <v>46036</v>
      </c>
      <c r="AE2" s="32">
        <f t="shared" si="0"/>
        <v>46037</v>
      </c>
      <c r="AF2" s="32">
        <f t="shared" si="0"/>
        <v>46038</v>
      </c>
      <c r="AG2" s="33">
        <f t="shared" si="0"/>
        <v>46039</v>
      </c>
      <c r="AH2" s="33">
        <f t="shared" si="0"/>
        <v>46040</v>
      </c>
      <c r="AI2" s="32">
        <f t="shared" si="0"/>
        <v>46041</v>
      </c>
      <c r="AJ2" s="32">
        <f t="shared" si="0"/>
        <v>46042</v>
      </c>
      <c r="AK2" s="32">
        <f t="shared" si="0"/>
        <v>46043</v>
      </c>
      <c r="AL2" s="32">
        <f t="shared" si="0"/>
        <v>46044</v>
      </c>
      <c r="AM2" s="32">
        <f t="shared" si="0"/>
        <v>46045</v>
      </c>
      <c r="AN2" s="33">
        <f t="shared" si="0"/>
        <v>46046</v>
      </c>
      <c r="AO2" s="33">
        <f t="shared" si="0"/>
        <v>46047</v>
      </c>
      <c r="AP2" s="32">
        <f t="shared" si="0"/>
        <v>46048</v>
      </c>
      <c r="AQ2" s="32">
        <f t="shared" si="0"/>
        <v>46049</v>
      </c>
      <c r="AR2" s="32">
        <f t="shared" si="0"/>
        <v>46050</v>
      </c>
      <c r="AS2" s="32">
        <f t="shared" si="0"/>
        <v>46051</v>
      </c>
      <c r="AT2" s="32">
        <f t="shared" si="0"/>
        <v>46052</v>
      </c>
      <c r="AU2" s="33">
        <f t="shared" si="0"/>
        <v>46053</v>
      </c>
      <c r="AV2" s="33">
        <f t="shared" si="0"/>
        <v>46054</v>
      </c>
      <c r="AW2" s="32">
        <f t="shared" si="0"/>
        <v>46055</v>
      </c>
      <c r="AX2" s="32">
        <f t="shared" si="0"/>
        <v>46056</v>
      </c>
      <c r="AY2" s="32">
        <f t="shared" ref="AY2:CC2" si="1">AX2+1</f>
        <v>46057</v>
      </c>
      <c r="AZ2" s="32">
        <f t="shared" si="1"/>
        <v>46058</v>
      </c>
      <c r="BA2" s="32">
        <f t="shared" si="1"/>
        <v>46059</v>
      </c>
      <c r="BB2" s="33">
        <f t="shared" si="1"/>
        <v>46060</v>
      </c>
      <c r="BC2" s="33">
        <f t="shared" si="1"/>
        <v>46061</v>
      </c>
      <c r="BD2" s="32">
        <f t="shared" si="1"/>
        <v>46062</v>
      </c>
      <c r="BE2" s="32">
        <f t="shared" si="1"/>
        <v>46063</v>
      </c>
      <c r="BF2" s="32">
        <f t="shared" si="1"/>
        <v>46064</v>
      </c>
      <c r="BG2" s="32">
        <f t="shared" si="1"/>
        <v>46065</v>
      </c>
      <c r="BH2" s="32">
        <f t="shared" si="1"/>
        <v>46066</v>
      </c>
      <c r="BI2" s="33">
        <f t="shared" si="1"/>
        <v>46067</v>
      </c>
      <c r="BJ2" s="33">
        <f t="shared" si="1"/>
        <v>46068</v>
      </c>
      <c r="BK2" s="32">
        <f t="shared" si="1"/>
        <v>46069</v>
      </c>
      <c r="BL2" s="32">
        <f t="shared" si="1"/>
        <v>46070</v>
      </c>
      <c r="BM2" s="32">
        <f t="shared" si="1"/>
        <v>46071</v>
      </c>
      <c r="BN2" s="32">
        <f t="shared" si="1"/>
        <v>46072</v>
      </c>
      <c r="BO2" s="32">
        <f t="shared" si="1"/>
        <v>46073</v>
      </c>
      <c r="BP2" s="33">
        <f t="shared" si="1"/>
        <v>46074</v>
      </c>
      <c r="BQ2" s="33">
        <f t="shared" si="1"/>
        <v>46075</v>
      </c>
      <c r="BR2" s="32">
        <f t="shared" si="1"/>
        <v>46076</v>
      </c>
      <c r="BS2" s="32">
        <f t="shared" si="1"/>
        <v>46077</v>
      </c>
      <c r="BT2" s="32">
        <f t="shared" si="1"/>
        <v>46078</v>
      </c>
      <c r="BU2" s="32">
        <f t="shared" si="1"/>
        <v>46079</v>
      </c>
      <c r="BV2" s="32">
        <f t="shared" si="1"/>
        <v>46080</v>
      </c>
      <c r="BW2" s="33">
        <f t="shared" si="1"/>
        <v>46081</v>
      </c>
      <c r="BX2" s="33">
        <f t="shared" si="1"/>
        <v>46082</v>
      </c>
      <c r="BY2" s="32">
        <f t="shared" si="1"/>
        <v>46083</v>
      </c>
      <c r="BZ2" s="32">
        <f t="shared" si="1"/>
        <v>46084</v>
      </c>
      <c r="CA2" s="32">
        <f t="shared" si="1"/>
        <v>46085</v>
      </c>
      <c r="CB2" s="32">
        <f t="shared" si="1"/>
        <v>46086</v>
      </c>
      <c r="CC2" s="32">
        <f t="shared" si="1"/>
        <v>46087</v>
      </c>
      <c r="CD2" s="33">
        <f t="shared" ref="CD2:CL2" si="2">CC2+1</f>
        <v>46088</v>
      </c>
      <c r="CE2" s="33">
        <f t="shared" si="2"/>
        <v>46089</v>
      </c>
      <c r="CF2" s="32">
        <f t="shared" si="2"/>
        <v>46090</v>
      </c>
      <c r="CG2" s="32">
        <f t="shared" si="2"/>
        <v>46091</v>
      </c>
      <c r="CH2" s="32">
        <f t="shared" si="2"/>
        <v>46092</v>
      </c>
      <c r="CI2" s="32">
        <f t="shared" si="2"/>
        <v>46093</v>
      </c>
      <c r="CJ2" s="32">
        <f t="shared" si="2"/>
        <v>46094</v>
      </c>
      <c r="CK2" s="33">
        <f t="shared" si="2"/>
        <v>46095</v>
      </c>
      <c r="CL2" s="33">
        <f t="shared" si="2"/>
        <v>46096</v>
      </c>
      <c r="CM2" s="31" t="s">
        <v>17</v>
      </c>
    </row>
    <row r="3" spans="2:91" ht="28.25" customHeight="1" x14ac:dyDescent="0.2">
      <c r="B3" s="5" t="s">
        <v>18</v>
      </c>
      <c r="C3" s="6" t="s">
        <v>19</v>
      </c>
      <c r="D3" s="6"/>
      <c r="E3" s="126">
        <v>46015</v>
      </c>
      <c r="F3" s="8"/>
      <c r="G3" s="8" t="s">
        <v>20</v>
      </c>
      <c r="H3" s="8" t="s">
        <v>20</v>
      </c>
      <c r="I3" s="7" t="s">
        <v>20</v>
      </c>
      <c r="J3" s="30" t="str">
        <f>I3</f>
        <v xml:space="preserve"> </v>
      </c>
      <c r="K3" s="7" t="s">
        <v>21</v>
      </c>
      <c r="L3" s="48">
        <v>575</v>
      </c>
      <c r="M3" s="119">
        <f>SUM(M4:M11)</f>
        <v>495</v>
      </c>
      <c r="N3" s="17" t="s">
        <v>20</v>
      </c>
      <c r="O3" s="17" t="s">
        <v>22</v>
      </c>
      <c r="P3" s="17">
        <f>SUM(M3:N3) / Capacity!$B$2</f>
        <v>70.714285714285708</v>
      </c>
      <c r="Q3" s="17">
        <f>SUM(M3:N3)/(Capacity!$B$3*2)</f>
        <v>30.9375</v>
      </c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>
        <f>SUM(R3:BI3)</f>
        <v>0</v>
      </c>
    </row>
    <row r="4" spans="2:91" ht="28.25" customHeight="1" x14ac:dyDescent="0.2">
      <c r="B4" s="127" t="s">
        <v>23</v>
      </c>
      <c r="C4" s="6" t="s">
        <v>24</v>
      </c>
      <c r="D4" s="6"/>
      <c r="E4" s="126">
        <v>46015</v>
      </c>
      <c r="F4" s="8">
        <v>46031</v>
      </c>
      <c r="G4" s="8"/>
      <c r="H4" s="8"/>
      <c r="I4" s="7"/>
      <c r="J4" s="30"/>
      <c r="K4" s="7"/>
      <c r="L4" s="48"/>
      <c r="M4" s="119">
        <v>55</v>
      </c>
      <c r="N4" s="17">
        <v>1</v>
      </c>
      <c r="O4" s="17" t="s">
        <v>25</v>
      </c>
      <c r="P4" s="17">
        <f>SUM(M4:N4) / Capacity!$B$2</f>
        <v>8</v>
      </c>
      <c r="Q4" s="17">
        <f>SUM(M4:N4)/Capacity!$B$3</f>
        <v>7</v>
      </c>
      <c r="R4" s="17"/>
      <c r="S4" s="17"/>
      <c r="T4" s="17"/>
      <c r="U4" s="17"/>
      <c r="V4" s="17"/>
      <c r="W4" s="17"/>
      <c r="X4" s="17"/>
      <c r="Y4" s="17" t="s">
        <v>26</v>
      </c>
      <c r="Z4" s="17"/>
      <c r="AA4" s="17"/>
      <c r="AB4" s="17" t="s">
        <v>26</v>
      </c>
      <c r="AC4" s="17" t="s">
        <v>26</v>
      </c>
      <c r="AD4" s="17" t="s">
        <v>26</v>
      </c>
      <c r="AE4" s="17" t="s">
        <v>26</v>
      </c>
      <c r="AF4" s="17" t="s">
        <v>26</v>
      </c>
      <c r="AG4" s="17"/>
      <c r="AH4" s="17"/>
      <c r="AI4" s="17" t="s">
        <v>26</v>
      </c>
      <c r="AJ4" s="122" t="s">
        <v>27</v>
      </c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>
        <f t="shared" ref="CM4:CM32" si="3">COUNTIF(R4:CL4,"X")</f>
        <v>7</v>
      </c>
    </row>
    <row r="5" spans="2:91" ht="28.25" customHeight="1" x14ac:dyDescent="0.2">
      <c r="B5" s="128" t="s">
        <v>28</v>
      </c>
      <c r="C5" s="6" t="s">
        <v>24</v>
      </c>
      <c r="D5" s="6"/>
      <c r="E5" s="126">
        <v>46015</v>
      </c>
      <c r="F5" s="8">
        <v>46031</v>
      </c>
      <c r="G5" s="8"/>
      <c r="H5" s="8"/>
      <c r="I5" s="7"/>
      <c r="J5" s="30"/>
      <c r="K5" s="7"/>
      <c r="L5" s="48"/>
      <c r="M5" s="119">
        <v>85</v>
      </c>
      <c r="N5" s="17">
        <v>2</v>
      </c>
      <c r="O5" s="17" t="s">
        <v>29</v>
      </c>
      <c r="P5" s="17">
        <f>SUM(M5:N5) / Capacity!$B$2</f>
        <v>12.428571428571429</v>
      </c>
      <c r="Q5" s="17">
        <f>SUM(M5:N5)/Capacity!$B$3</f>
        <v>10.875</v>
      </c>
      <c r="R5" s="17"/>
      <c r="S5" s="17"/>
      <c r="T5" s="17"/>
      <c r="U5" s="17"/>
      <c r="V5" s="17"/>
      <c r="W5" s="17"/>
      <c r="X5" s="17"/>
      <c r="Y5" s="17" t="s">
        <v>26</v>
      </c>
      <c r="Z5" s="17"/>
      <c r="AA5" s="17"/>
      <c r="AB5" s="17" t="s">
        <v>26</v>
      </c>
      <c r="AC5" s="17" t="s">
        <v>26</v>
      </c>
      <c r="AD5" s="17" t="s">
        <v>26</v>
      </c>
      <c r="AE5" s="17" t="s">
        <v>26</v>
      </c>
      <c r="AF5" s="17" t="s">
        <v>26</v>
      </c>
      <c r="AG5" s="17"/>
      <c r="AH5" s="17"/>
      <c r="AI5" s="17" t="s">
        <v>26</v>
      </c>
      <c r="AJ5" s="17" t="s">
        <v>26</v>
      </c>
      <c r="AK5" s="17" t="s">
        <v>26</v>
      </c>
      <c r="AL5" s="17" t="s">
        <v>26</v>
      </c>
      <c r="AM5" s="17" t="s">
        <v>26</v>
      </c>
      <c r="AN5" s="17"/>
      <c r="AO5" s="17"/>
      <c r="AP5" s="122" t="s">
        <v>30</v>
      </c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>
        <f t="shared" si="3"/>
        <v>11</v>
      </c>
    </row>
    <row r="6" spans="2:91" ht="28.25" customHeight="1" x14ac:dyDescent="0.2">
      <c r="B6" s="127" t="s">
        <v>31</v>
      </c>
      <c r="C6" s="6" t="s">
        <v>24</v>
      </c>
      <c r="D6" s="6"/>
      <c r="E6" s="126">
        <v>46015</v>
      </c>
      <c r="F6" s="8">
        <v>46031</v>
      </c>
      <c r="G6" s="8"/>
      <c r="H6" s="8"/>
      <c r="I6" s="7"/>
      <c r="J6" s="30"/>
      <c r="K6" s="7"/>
      <c r="L6" s="48"/>
      <c r="M6" s="119">
        <v>75</v>
      </c>
      <c r="N6" s="17">
        <v>4</v>
      </c>
      <c r="O6" s="17" t="s">
        <v>32</v>
      </c>
      <c r="P6" s="17">
        <f>SUM(M6:N6) / Capacity!$B$2</f>
        <v>11.285714285714286</v>
      </c>
      <c r="Q6" s="17">
        <f>SUM(M6:N6)/Capacity!$B$3</f>
        <v>9.875</v>
      </c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 t="s">
        <v>26</v>
      </c>
      <c r="AQ6" s="17" t="s">
        <v>26</v>
      </c>
      <c r="AR6" s="17" t="s">
        <v>26</v>
      </c>
      <c r="AS6" s="17" t="s">
        <v>26</v>
      </c>
      <c r="AT6" s="17" t="s">
        <v>26</v>
      </c>
      <c r="AU6" s="17"/>
      <c r="AV6" s="17"/>
      <c r="AW6" s="17" t="s">
        <v>26</v>
      </c>
      <c r="AX6" s="17" t="s">
        <v>26</v>
      </c>
      <c r="AY6" s="17" t="s">
        <v>26</v>
      </c>
      <c r="AZ6" s="17" t="s">
        <v>26</v>
      </c>
      <c r="BA6" s="17" t="s">
        <v>26</v>
      </c>
      <c r="BB6" s="17"/>
      <c r="BC6" s="17"/>
      <c r="BD6" s="122" t="s">
        <v>30</v>
      </c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>
        <f t="shared" si="3"/>
        <v>10</v>
      </c>
    </row>
    <row r="7" spans="2:91" ht="28.25" customHeight="1" x14ac:dyDescent="0.2">
      <c r="B7" s="128" t="s">
        <v>33</v>
      </c>
      <c r="C7" s="6" t="s">
        <v>24</v>
      </c>
      <c r="D7" s="6"/>
      <c r="E7" s="126">
        <v>46015</v>
      </c>
      <c r="F7" s="8">
        <v>46031</v>
      </c>
      <c r="G7" s="8"/>
      <c r="H7" s="8"/>
      <c r="I7" s="7"/>
      <c r="J7" s="30"/>
      <c r="K7" s="7"/>
      <c r="L7" s="48"/>
      <c r="M7" s="119">
        <v>40</v>
      </c>
      <c r="N7" s="17">
        <v>3</v>
      </c>
      <c r="O7" s="17" t="s">
        <v>34</v>
      </c>
      <c r="P7" s="17">
        <f>SUM(M7:N7) / Capacity!$B$2</f>
        <v>6.1428571428571432</v>
      </c>
      <c r="Q7" s="17">
        <f>SUM(M7:N7)/Capacity!$B$3</f>
        <v>5.375</v>
      </c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 t="s">
        <v>26</v>
      </c>
      <c r="AL7" s="17" t="s">
        <v>26</v>
      </c>
      <c r="AM7" s="17" t="s">
        <v>26</v>
      </c>
      <c r="AN7" s="17"/>
      <c r="AO7" s="17"/>
      <c r="AP7" s="17" t="s">
        <v>26</v>
      </c>
      <c r="AQ7" s="17" t="s">
        <v>26</v>
      </c>
      <c r="AR7" s="122" t="s">
        <v>27</v>
      </c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>
        <f t="shared" si="3"/>
        <v>5</v>
      </c>
    </row>
    <row r="8" spans="2:91" ht="28.25" customHeight="1" x14ac:dyDescent="0.2">
      <c r="B8" s="127" t="s">
        <v>35</v>
      </c>
      <c r="C8" s="6" t="s">
        <v>24</v>
      </c>
      <c r="D8" s="6"/>
      <c r="E8" s="126">
        <v>46015</v>
      </c>
      <c r="F8" s="8">
        <v>46031</v>
      </c>
      <c r="G8" s="8"/>
      <c r="H8" s="8"/>
      <c r="I8" s="7"/>
      <c r="J8" s="30"/>
      <c r="K8" s="7"/>
      <c r="L8" s="48"/>
      <c r="M8" s="119">
        <v>75</v>
      </c>
      <c r="N8" s="17">
        <v>5</v>
      </c>
      <c r="O8" s="17" t="s">
        <v>34</v>
      </c>
      <c r="P8" s="17">
        <f>SUM(M8:N8) / Capacity!$B$2</f>
        <v>11.428571428571429</v>
      </c>
      <c r="Q8" s="17">
        <f>SUM(M8:N8)/Capacity!$B$3</f>
        <v>10</v>
      </c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 t="s">
        <v>26</v>
      </c>
      <c r="AT8" s="17" t="s">
        <v>26</v>
      </c>
      <c r="AU8" s="17"/>
      <c r="AV8" s="17"/>
      <c r="AW8" s="17" t="s">
        <v>26</v>
      </c>
      <c r="AX8" s="17" t="s">
        <v>26</v>
      </c>
      <c r="AY8" s="17" t="s">
        <v>26</v>
      </c>
      <c r="AZ8" s="17" t="s">
        <v>26</v>
      </c>
      <c r="BA8" s="17" t="s">
        <v>26</v>
      </c>
      <c r="BB8" s="17"/>
      <c r="BC8" s="17"/>
      <c r="BD8" s="17" t="s">
        <v>26</v>
      </c>
      <c r="BE8" s="17" t="s">
        <v>26</v>
      </c>
      <c r="BF8" s="17" t="s">
        <v>26</v>
      </c>
      <c r="BG8" s="122" t="s">
        <v>27</v>
      </c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>
        <f t="shared" si="3"/>
        <v>10</v>
      </c>
    </row>
    <row r="9" spans="2:91" ht="28.25" customHeight="1" x14ac:dyDescent="0.2">
      <c r="B9" s="128" t="s">
        <v>36</v>
      </c>
      <c r="C9" s="6" t="s">
        <v>24</v>
      </c>
      <c r="D9" s="6"/>
      <c r="E9" s="126">
        <v>46015</v>
      </c>
      <c r="F9" s="8">
        <v>46031</v>
      </c>
      <c r="G9" s="8"/>
      <c r="H9" s="8"/>
      <c r="I9" s="7"/>
      <c r="J9" s="30"/>
      <c r="K9" s="7"/>
      <c r="L9" s="48"/>
      <c r="M9" s="119">
        <v>85</v>
      </c>
      <c r="N9" s="17">
        <v>7</v>
      </c>
      <c r="O9" s="17" t="s">
        <v>34</v>
      </c>
      <c r="P9" s="17">
        <f>SUM(M9:N9) / Capacity!$B$2</f>
        <v>13.142857142857142</v>
      </c>
      <c r="Q9" s="17">
        <f>SUM(M9:N9)/Capacity!$B$3</f>
        <v>11.5</v>
      </c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 t="s">
        <v>26</v>
      </c>
      <c r="BI9" s="17"/>
      <c r="BJ9" s="17"/>
      <c r="BK9" s="17" t="s">
        <v>26</v>
      </c>
      <c r="BL9" s="17" t="s">
        <v>26</v>
      </c>
      <c r="BM9" s="17" t="s">
        <v>26</v>
      </c>
      <c r="BN9" s="17" t="s">
        <v>26</v>
      </c>
      <c r="BO9" s="17" t="s">
        <v>26</v>
      </c>
      <c r="BP9" s="17"/>
      <c r="BQ9" s="17"/>
      <c r="BR9" s="17" t="s">
        <v>26</v>
      </c>
      <c r="BS9" s="17" t="s">
        <v>26</v>
      </c>
      <c r="BT9" s="17" t="s">
        <v>26</v>
      </c>
      <c r="BU9" s="17" t="s">
        <v>26</v>
      </c>
      <c r="BV9" s="17" t="s">
        <v>26</v>
      </c>
      <c r="BW9" s="17"/>
      <c r="BX9" s="17"/>
      <c r="BY9" s="17" t="s">
        <v>26</v>
      </c>
      <c r="BZ9" s="122" t="s">
        <v>27</v>
      </c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>
        <f t="shared" si="3"/>
        <v>12</v>
      </c>
    </row>
    <row r="10" spans="2:91" ht="28.25" customHeight="1" x14ac:dyDescent="0.2">
      <c r="B10" s="127" t="s">
        <v>37</v>
      </c>
      <c r="C10" s="6" t="s">
        <v>24</v>
      </c>
      <c r="D10" s="6"/>
      <c r="E10" s="126">
        <v>46015</v>
      </c>
      <c r="F10" s="8">
        <v>46031</v>
      </c>
      <c r="G10" s="8"/>
      <c r="H10" s="8"/>
      <c r="I10" s="7"/>
      <c r="J10" s="30"/>
      <c r="K10" s="7"/>
      <c r="L10" s="48"/>
      <c r="M10" s="129">
        <v>40</v>
      </c>
      <c r="N10" s="17">
        <v>6</v>
      </c>
      <c r="O10" s="17" t="s">
        <v>32</v>
      </c>
      <c r="P10" s="17">
        <f>SUM(M10:N10) / Capacity!$B$2</f>
        <v>6.5714285714285712</v>
      </c>
      <c r="Q10" s="17">
        <f>SUM(M10:N10)/Capacity!$B$3</f>
        <v>5.75</v>
      </c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 t="s">
        <v>26</v>
      </c>
      <c r="BF10" s="17" t="s">
        <v>26</v>
      </c>
      <c r="BG10" s="17" t="s">
        <v>26</v>
      </c>
      <c r="BH10" s="17" t="s">
        <v>26</v>
      </c>
      <c r="BI10" s="17"/>
      <c r="BJ10" s="17"/>
      <c r="BK10" s="17" t="s">
        <v>26</v>
      </c>
      <c r="BL10" s="17" t="s">
        <v>26</v>
      </c>
      <c r="BM10" s="122" t="s">
        <v>27</v>
      </c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>
        <f t="shared" si="3"/>
        <v>6</v>
      </c>
    </row>
    <row r="11" spans="2:91" ht="28.25" customHeight="1" x14ac:dyDescent="0.2">
      <c r="B11" s="128" t="s">
        <v>38</v>
      </c>
      <c r="C11" s="6" t="s">
        <v>39</v>
      </c>
      <c r="D11" s="6"/>
      <c r="E11" s="126" t="s">
        <v>40</v>
      </c>
      <c r="F11" s="8">
        <v>46031</v>
      </c>
      <c r="G11" s="8"/>
      <c r="H11" s="8"/>
      <c r="I11" s="7"/>
      <c r="J11" s="30"/>
      <c r="K11" s="7"/>
      <c r="L11" s="48"/>
      <c r="M11" s="129">
        <v>40</v>
      </c>
      <c r="N11" s="17"/>
      <c r="O11" s="17" t="s">
        <v>41</v>
      </c>
      <c r="P11" s="17">
        <f>SUM(M11:N11) / Capacity!$B$2</f>
        <v>5.7142857142857144</v>
      </c>
      <c r="Q11" s="17">
        <f>SUM(M11:N11)/Capacity!$B$3</f>
        <v>5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 t="s">
        <v>26</v>
      </c>
      <c r="BS11" s="17" t="s">
        <v>26</v>
      </c>
      <c r="BT11" s="17" t="s">
        <v>26</v>
      </c>
      <c r="BU11" s="17" t="s">
        <v>26</v>
      </c>
      <c r="BV11" s="17" t="s">
        <v>26</v>
      </c>
      <c r="BW11" s="17"/>
      <c r="BX11" s="17"/>
      <c r="BY11" s="122" t="s">
        <v>27</v>
      </c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>
        <f t="shared" si="3"/>
        <v>5</v>
      </c>
    </row>
    <row r="12" spans="2:91" ht="30" customHeight="1" x14ac:dyDescent="0.2">
      <c r="B12" s="5" t="s">
        <v>42</v>
      </c>
      <c r="C12" s="6" t="s">
        <v>24</v>
      </c>
      <c r="D12" s="6"/>
      <c r="E12" s="7">
        <v>46031</v>
      </c>
      <c r="F12" s="7">
        <v>46035</v>
      </c>
      <c r="G12" s="8">
        <v>46043</v>
      </c>
      <c r="H12" s="8" t="s">
        <v>43</v>
      </c>
      <c r="I12" s="7">
        <f t="shared" ref="I12:I17" si="4">G12+7</f>
        <v>46050</v>
      </c>
      <c r="J12" s="30">
        <f t="shared" ref="J12:J25" si="5">I12</f>
        <v>46050</v>
      </c>
      <c r="K12" s="7" t="s">
        <v>44</v>
      </c>
      <c r="L12" s="48">
        <v>177</v>
      </c>
      <c r="M12" s="48">
        <v>200</v>
      </c>
      <c r="N12" s="17">
        <v>1</v>
      </c>
      <c r="O12" s="17" t="s">
        <v>32</v>
      </c>
      <c r="P12" s="17">
        <f>SUM(M12:N12) / Capacity!$B$2</f>
        <v>28.714285714285715</v>
      </c>
      <c r="Q12" s="17">
        <f>SUM(M12:N12)/Capacity!$B$3</f>
        <v>25.125</v>
      </c>
      <c r="R12" s="17" t="s">
        <v>26</v>
      </c>
      <c r="S12" s="17"/>
      <c r="T12" s="17"/>
      <c r="U12" s="17" t="s">
        <v>26</v>
      </c>
      <c r="V12" s="17" t="s">
        <v>26</v>
      </c>
      <c r="W12" s="17" t="s">
        <v>26</v>
      </c>
      <c r="X12" s="17" t="s">
        <v>26</v>
      </c>
      <c r="Y12" s="17"/>
      <c r="Z12" s="17"/>
      <c r="AA12" s="17"/>
      <c r="AB12" s="17"/>
      <c r="AC12" s="17"/>
      <c r="AD12" s="17" t="s">
        <v>20</v>
      </c>
      <c r="AE12" s="17" t="s">
        <v>20</v>
      </c>
      <c r="AF12" s="17" t="s">
        <v>20</v>
      </c>
      <c r="AG12" s="17" t="s">
        <v>20</v>
      </c>
      <c r="AH12" s="17" t="s">
        <v>20</v>
      </c>
      <c r="AI12" s="17" t="s">
        <v>20</v>
      </c>
      <c r="AJ12" s="17"/>
      <c r="AK12" s="17"/>
      <c r="AL12" s="17"/>
      <c r="AM12" s="17"/>
      <c r="AN12" s="17"/>
      <c r="AO12" s="17"/>
      <c r="AP12" s="17"/>
      <c r="AQ12" s="17"/>
      <c r="AR12" s="17" t="s">
        <v>20</v>
      </c>
      <c r="AS12" s="17" t="s">
        <v>20</v>
      </c>
      <c r="AT12" s="17" t="s">
        <v>20</v>
      </c>
      <c r="AU12" s="17" t="s">
        <v>20</v>
      </c>
      <c r="AV12" s="17" t="s">
        <v>20</v>
      </c>
      <c r="AW12" s="17" t="s">
        <v>20</v>
      </c>
      <c r="AX12" s="17" t="s">
        <v>20</v>
      </c>
      <c r="AY12" s="17" t="s">
        <v>20</v>
      </c>
      <c r="AZ12" s="17" t="s">
        <v>20</v>
      </c>
      <c r="BA12" s="17" t="s">
        <v>20</v>
      </c>
      <c r="BB12" s="17"/>
      <c r="BC12" s="17"/>
      <c r="BD12" s="17"/>
      <c r="BE12" s="17" t="s">
        <v>26</v>
      </c>
      <c r="BF12" s="17" t="s">
        <v>26</v>
      </c>
      <c r="BG12" s="17" t="s">
        <v>26</v>
      </c>
      <c r="BH12" s="17" t="s">
        <v>26</v>
      </c>
      <c r="BI12" s="17" t="s">
        <v>26</v>
      </c>
      <c r="BJ12" s="17"/>
      <c r="BK12" s="17" t="s">
        <v>26</v>
      </c>
      <c r="BL12" s="17" t="s">
        <v>26</v>
      </c>
      <c r="BM12" s="17" t="s">
        <v>26</v>
      </c>
      <c r="BN12" s="17" t="s">
        <v>26</v>
      </c>
      <c r="BO12" s="17" t="s">
        <v>26</v>
      </c>
      <c r="BP12" s="17"/>
      <c r="BQ12" s="17"/>
      <c r="BR12" s="17" t="s">
        <v>26</v>
      </c>
      <c r="BS12" s="17" t="s">
        <v>26</v>
      </c>
      <c r="BT12" s="17" t="s">
        <v>26</v>
      </c>
      <c r="BU12" s="17" t="s">
        <v>26</v>
      </c>
      <c r="BV12" s="17" t="s">
        <v>26</v>
      </c>
      <c r="BW12" s="17"/>
      <c r="BX12" s="17"/>
      <c r="BY12" s="17" t="s">
        <v>26</v>
      </c>
      <c r="BZ12" s="17" t="s">
        <v>26</v>
      </c>
      <c r="CA12" s="17" t="s">
        <v>26</v>
      </c>
      <c r="CB12" s="17" t="s">
        <v>26</v>
      </c>
      <c r="CC12" s="122" t="s">
        <v>27</v>
      </c>
      <c r="CD12" s="17"/>
      <c r="CE12" s="17"/>
      <c r="CF12" s="17"/>
      <c r="CG12" s="17"/>
      <c r="CH12" s="17"/>
      <c r="CI12" s="17"/>
      <c r="CJ12" s="17"/>
      <c r="CK12" s="17"/>
      <c r="CL12" s="17"/>
      <c r="CM12" s="17">
        <f t="shared" si="3"/>
        <v>24</v>
      </c>
    </row>
    <row r="13" spans="2:91" ht="24" x14ac:dyDescent="0.2">
      <c r="B13" s="5" t="s">
        <v>45</v>
      </c>
      <c r="C13" s="6" t="s">
        <v>46</v>
      </c>
      <c r="D13" s="6"/>
      <c r="E13" s="14" t="s">
        <v>47</v>
      </c>
      <c r="F13" s="121">
        <v>46008</v>
      </c>
      <c r="G13" s="38">
        <v>46037</v>
      </c>
      <c r="H13" s="8" t="s">
        <v>43</v>
      </c>
      <c r="I13" s="7">
        <f t="shared" si="4"/>
        <v>46044</v>
      </c>
      <c r="J13" s="30">
        <f t="shared" si="5"/>
        <v>46044</v>
      </c>
      <c r="K13" s="7" t="s">
        <v>48</v>
      </c>
      <c r="L13" s="48">
        <v>260</v>
      </c>
      <c r="M13" s="48">
        <v>180</v>
      </c>
      <c r="N13" s="17">
        <v>4</v>
      </c>
      <c r="O13" s="17" t="s">
        <v>49</v>
      </c>
      <c r="P13" s="17">
        <f>SUM(M13:N13) / Capacity!$B$2</f>
        <v>26.285714285714285</v>
      </c>
      <c r="Q13" s="17">
        <f>SUM(M13:N13)/(Capacity!$B$3*2)</f>
        <v>11.5</v>
      </c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 t="s">
        <v>26</v>
      </c>
      <c r="BI13" s="17"/>
      <c r="BJ13" s="17"/>
      <c r="BK13" s="17" t="s">
        <v>26</v>
      </c>
      <c r="BL13" s="17" t="s">
        <v>26</v>
      </c>
      <c r="BM13" s="17" t="s">
        <v>26</v>
      </c>
      <c r="BN13" s="17" t="s">
        <v>26</v>
      </c>
      <c r="BO13" s="17" t="s">
        <v>26</v>
      </c>
      <c r="BP13" s="17"/>
      <c r="BQ13" s="17"/>
      <c r="BR13" s="17" t="s">
        <v>26</v>
      </c>
      <c r="BS13" s="17" t="s">
        <v>26</v>
      </c>
      <c r="BT13" s="17" t="s">
        <v>26</v>
      </c>
      <c r="BU13" s="17" t="s">
        <v>26</v>
      </c>
      <c r="BV13" s="17" t="s">
        <v>26</v>
      </c>
      <c r="BW13" s="17"/>
      <c r="BX13" s="17"/>
      <c r="BY13" s="17" t="s">
        <v>26</v>
      </c>
      <c r="BZ13" s="122" t="s">
        <v>27</v>
      </c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>
        <f t="shared" si="3"/>
        <v>12</v>
      </c>
    </row>
    <row r="14" spans="2:91" ht="22.25" customHeight="1" x14ac:dyDescent="0.2">
      <c r="B14" s="5" t="s">
        <v>50</v>
      </c>
      <c r="C14" s="6" t="s">
        <v>46</v>
      </c>
      <c r="D14" s="6" t="s">
        <v>51</v>
      </c>
      <c r="E14" s="14" t="s">
        <v>52</v>
      </c>
      <c r="F14" s="7">
        <v>46015</v>
      </c>
      <c r="G14" s="38">
        <v>46037</v>
      </c>
      <c r="H14" s="8" t="s">
        <v>43</v>
      </c>
      <c r="I14" s="7">
        <f t="shared" si="4"/>
        <v>46044</v>
      </c>
      <c r="J14" s="30">
        <f t="shared" si="5"/>
        <v>46044</v>
      </c>
      <c r="K14" s="7" t="s">
        <v>53</v>
      </c>
      <c r="L14" s="48">
        <v>120</v>
      </c>
      <c r="M14" s="48">
        <v>120</v>
      </c>
      <c r="N14" s="17">
        <v>4</v>
      </c>
      <c r="O14" s="17" t="s">
        <v>54</v>
      </c>
      <c r="P14" s="17">
        <f>SUM(M14:N14) / Capacity!$B$2</f>
        <v>17.714285714285715</v>
      </c>
      <c r="Q14" s="17">
        <f>SUM(M14:N14)/Capacity!$B$3</f>
        <v>15.5</v>
      </c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 t="s">
        <v>26</v>
      </c>
      <c r="BE14" s="17" t="s">
        <v>26</v>
      </c>
      <c r="BF14" s="17" t="s">
        <v>26</v>
      </c>
      <c r="BG14" s="17" t="s">
        <v>26</v>
      </c>
      <c r="BH14" s="17" t="s">
        <v>26</v>
      </c>
      <c r="BI14" s="17"/>
      <c r="BJ14" s="17"/>
      <c r="BK14" s="17" t="s">
        <v>26</v>
      </c>
      <c r="BL14" s="17" t="s">
        <v>26</v>
      </c>
      <c r="BM14" s="17" t="s">
        <v>26</v>
      </c>
      <c r="BN14" s="17" t="s">
        <v>26</v>
      </c>
      <c r="BO14" s="17" t="s">
        <v>26</v>
      </c>
      <c r="BP14" s="17"/>
      <c r="BQ14" s="17"/>
      <c r="BR14" s="17" t="s">
        <v>26</v>
      </c>
      <c r="BS14" s="17" t="s">
        <v>26</v>
      </c>
      <c r="BT14" s="17" t="s">
        <v>26</v>
      </c>
      <c r="BU14" s="17" t="s">
        <v>26</v>
      </c>
      <c r="BV14" s="17" t="s">
        <v>26</v>
      </c>
      <c r="BW14" s="17"/>
      <c r="BX14" s="17"/>
      <c r="BY14" s="17" t="s">
        <v>26</v>
      </c>
      <c r="BZ14" s="122" t="s">
        <v>27</v>
      </c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>
        <f t="shared" si="3"/>
        <v>16</v>
      </c>
    </row>
    <row r="15" spans="2:91" ht="24" x14ac:dyDescent="0.2">
      <c r="B15" s="5" t="s">
        <v>55</v>
      </c>
      <c r="C15" s="6" t="s">
        <v>46</v>
      </c>
      <c r="D15" s="6" t="s">
        <v>51</v>
      </c>
      <c r="E15" s="14" t="s">
        <v>56</v>
      </c>
      <c r="F15" s="36">
        <v>46010</v>
      </c>
      <c r="G15" s="8" t="s">
        <v>43</v>
      </c>
      <c r="H15" s="7">
        <v>46031</v>
      </c>
      <c r="I15" s="7">
        <f>H15+7</f>
        <v>46038</v>
      </c>
      <c r="J15" s="30">
        <f t="shared" si="5"/>
        <v>46038</v>
      </c>
      <c r="K15" s="7" t="s">
        <v>57</v>
      </c>
      <c r="L15" s="48">
        <v>35</v>
      </c>
      <c r="M15" s="48">
        <v>35</v>
      </c>
      <c r="N15" s="17">
        <v>5</v>
      </c>
      <c r="O15" s="17" t="s">
        <v>41</v>
      </c>
      <c r="P15" s="17">
        <f>SUM(M15:N15) / Capacity!$B$2</f>
        <v>5.7142857142857144</v>
      </c>
      <c r="Q15" s="17">
        <f>SUM(M15:N15)/Capacity!$B$3</f>
        <v>5</v>
      </c>
      <c r="R15" s="17" t="s">
        <v>20</v>
      </c>
      <c r="S15" s="17"/>
      <c r="T15" s="17"/>
      <c r="U15" s="17" t="s">
        <v>26</v>
      </c>
      <c r="V15" s="17" t="s">
        <v>26</v>
      </c>
      <c r="W15" s="17" t="s">
        <v>26</v>
      </c>
      <c r="X15" s="17" t="s">
        <v>26</v>
      </c>
      <c r="Y15" s="17" t="s">
        <v>26</v>
      </c>
      <c r="Z15" s="17"/>
      <c r="AA15" s="17"/>
      <c r="AB15" s="122" t="s">
        <v>27</v>
      </c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>
        <f t="shared" si="3"/>
        <v>5</v>
      </c>
    </row>
    <row r="16" spans="2:91" s="139" customFormat="1" ht="24" x14ac:dyDescent="0.2">
      <c r="B16" s="131" t="s">
        <v>58</v>
      </c>
      <c r="C16" s="132" t="s">
        <v>46</v>
      </c>
      <c r="D16" s="132"/>
      <c r="E16" s="133" t="s">
        <v>56</v>
      </c>
      <c r="F16" s="134">
        <v>46010</v>
      </c>
      <c r="G16" s="135" t="s">
        <v>43</v>
      </c>
      <c r="H16" s="134">
        <v>46031</v>
      </c>
      <c r="I16" s="134">
        <f>H16+7</f>
        <v>46038</v>
      </c>
      <c r="J16" s="136">
        <f t="shared" si="5"/>
        <v>46038</v>
      </c>
      <c r="K16" s="134" t="s">
        <v>59</v>
      </c>
      <c r="L16" s="137">
        <v>40</v>
      </c>
      <c r="M16" s="140">
        <v>0</v>
      </c>
      <c r="N16" s="138" t="s">
        <v>20</v>
      </c>
      <c r="O16" s="138" t="s">
        <v>43</v>
      </c>
      <c r="P16" s="138">
        <f>SUM(M16:N16) / Capacity!$B$2</f>
        <v>0</v>
      </c>
      <c r="Q16" s="138">
        <f>SUM(M16:N16)/Capacity!$B$3</f>
        <v>0</v>
      </c>
      <c r="R16" s="138"/>
      <c r="S16" s="138" t="s">
        <v>20</v>
      </c>
      <c r="T16" s="138" t="s">
        <v>20</v>
      </c>
      <c r="U16" s="138" t="s">
        <v>20</v>
      </c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38"/>
      <c r="BL16" s="138"/>
      <c r="BM16" s="138"/>
      <c r="BN16" s="138"/>
      <c r="BO16" s="138"/>
      <c r="BP16" s="138"/>
      <c r="BQ16" s="138"/>
      <c r="BR16" s="138"/>
      <c r="BS16" s="138"/>
      <c r="BT16" s="138"/>
      <c r="BU16" s="138"/>
      <c r="BV16" s="138"/>
      <c r="BW16" s="138"/>
      <c r="BX16" s="138"/>
      <c r="BY16" s="138"/>
      <c r="BZ16" s="138"/>
      <c r="CA16" s="138"/>
      <c r="CB16" s="138"/>
      <c r="CC16" s="138"/>
      <c r="CD16" s="138"/>
      <c r="CE16" s="138"/>
      <c r="CF16" s="138"/>
      <c r="CG16" s="138"/>
      <c r="CH16" s="138"/>
      <c r="CI16" s="138"/>
      <c r="CJ16" s="138"/>
      <c r="CK16" s="138"/>
      <c r="CL16" s="138"/>
      <c r="CM16" s="138">
        <f t="shared" si="3"/>
        <v>0</v>
      </c>
    </row>
    <row r="17" spans="2:91" ht="24" x14ac:dyDescent="0.2">
      <c r="B17" s="5" t="s">
        <v>60</v>
      </c>
      <c r="C17" s="9" t="s">
        <v>46</v>
      </c>
      <c r="D17" s="9"/>
      <c r="E17" s="14" t="s">
        <v>47</v>
      </c>
      <c r="F17" s="36">
        <v>46008</v>
      </c>
      <c r="G17" s="37">
        <v>46044</v>
      </c>
      <c r="H17" s="8" t="s">
        <v>43</v>
      </c>
      <c r="I17" s="7">
        <f t="shared" si="4"/>
        <v>46051</v>
      </c>
      <c r="J17" s="30">
        <f t="shared" si="5"/>
        <v>46051</v>
      </c>
      <c r="K17" s="7" t="s">
        <v>61</v>
      </c>
      <c r="L17" s="48">
        <v>80</v>
      </c>
      <c r="M17" s="48">
        <v>60</v>
      </c>
      <c r="N17" s="17">
        <v>5</v>
      </c>
      <c r="O17" s="17" t="s">
        <v>41</v>
      </c>
      <c r="P17" s="17">
        <f>SUM(M17:N17) / Capacity!$B$2</f>
        <v>9.2857142857142865</v>
      </c>
      <c r="Q17" s="17">
        <f>SUM(M17:N17)/Capacity!$B$3</f>
        <v>8.125</v>
      </c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 t="s">
        <v>20</v>
      </c>
      <c r="AM17" s="17" t="s">
        <v>20</v>
      </c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 t="s">
        <v>26</v>
      </c>
      <c r="BE17" s="17" t="s">
        <v>26</v>
      </c>
      <c r="BF17" s="17" t="s">
        <v>26</v>
      </c>
      <c r="BG17" s="17" t="s">
        <v>26</v>
      </c>
      <c r="BH17" s="17" t="s">
        <v>26</v>
      </c>
      <c r="BI17" s="17"/>
      <c r="BJ17" s="17"/>
      <c r="BK17" s="17" t="s">
        <v>26</v>
      </c>
      <c r="BL17" s="17" t="s">
        <v>26</v>
      </c>
      <c r="BM17" s="17" t="s">
        <v>26</v>
      </c>
      <c r="BN17" s="122" t="s">
        <v>27</v>
      </c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>
        <f t="shared" si="3"/>
        <v>8</v>
      </c>
    </row>
    <row r="18" spans="2:91" ht="15.75" customHeight="1" x14ac:dyDescent="0.2">
      <c r="B18" s="10"/>
      <c r="C18" s="11"/>
      <c r="D18" s="11"/>
      <c r="E18" s="12"/>
      <c r="F18" s="12"/>
      <c r="G18" s="12"/>
      <c r="H18" s="12"/>
      <c r="I18" s="12"/>
      <c r="J18" s="12"/>
      <c r="K18" s="12"/>
      <c r="L18" s="55"/>
      <c r="M18" s="55"/>
      <c r="N18" s="18"/>
      <c r="O18" s="18"/>
      <c r="P18" s="17">
        <f>SUM(M18:N18) / Capacity!$B$2</f>
        <v>0</v>
      </c>
      <c r="Q18" s="17">
        <f>SUM(M18:N18)/Capacity!$B$3</f>
        <v>0</v>
      </c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>
        <f t="shared" si="3"/>
        <v>0</v>
      </c>
    </row>
    <row r="19" spans="2:91" ht="24" x14ac:dyDescent="0.2">
      <c r="B19" s="5" t="s">
        <v>62</v>
      </c>
      <c r="C19" s="6" t="s">
        <v>63</v>
      </c>
      <c r="D19" s="6"/>
      <c r="E19" s="14" t="s">
        <v>64</v>
      </c>
      <c r="F19" s="7">
        <v>46015</v>
      </c>
      <c r="G19" s="8" t="s">
        <v>43</v>
      </c>
      <c r="H19" s="7">
        <v>46031</v>
      </c>
      <c r="I19" s="7">
        <f>H19+7</f>
        <v>46038</v>
      </c>
      <c r="J19" s="30">
        <f t="shared" si="5"/>
        <v>46038</v>
      </c>
      <c r="K19" s="7" t="s">
        <v>65</v>
      </c>
      <c r="L19" s="48">
        <v>20</v>
      </c>
      <c r="M19" s="48">
        <v>20</v>
      </c>
      <c r="N19" s="17">
        <v>6</v>
      </c>
      <c r="O19" s="17" t="s">
        <v>54</v>
      </c>
      <c r="P19" s="17">
        <f>SUM(M19:N19) / Capacity!$B$2</f>
        <v>3.7142857142857144</v>
      </c>
      <c r="Q19" s="17">
        <f>SUM(M19:N19)/Capacity!$B$3</f>
        <v>3.25</v>
      </c>
      <c r="R19" s="17"/>
      <c r="S19" s="17"/>
      <c r="T19" s="17"/>
      <c r="U19" s="17" t="s">
        <v>26</v>
      </c>
      <c r="V19" s="17" t="s">
        <v>26</v>
      </c>
      <c r="W19" s="17" t="s">
        <v>26</v>
      </c>
      <c r="X19" s="17" t="s">
        <v>20</v>
      </c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>
        <f t="shared" si="3"/>
        <v>3</v>
      </c>
    </row>
    <row r="20" spans="2:91" ht="24" x14ac:dyDescent="0.2">
      <c r="B20" s="5" t="s">
        <v>66</v>
      </c>
      <c r="C20" s="6" t="s">
        <v>67</v>
      </c>
      <c r="D20" s="6"/>
      <c r="E20" s="35" t="s">
        <v>68</v>
      </c>
      <c r="F20" s="7" t="s">
        <v>69</v>
      </c>
      <c r="G20" s="34">
        <v>46051</v>
      </c>
      <c r="H20" s="8" t="s">
        <v>43</v>
      </c>
      <c r="I20" s="35">
        <f>G20+7</f>
        <v>46058</v>
      </c>
      <c r="J20" s="30">
        <f t="shared" si="5"/>
        <v>46058</v>
      </c>
      <c r="K20" s="7" t="s">
        <v>70</v>
      </c>
      <c r="L20" s="48">
        <v>140</v>
      </c>
      <c r="M20" s="48">
        <v>100</v>
      </c>
      <c r="N20" s="17">
        <v>5</v>
      </c>
      <c r="O20" s="17" t="s">
        <v>54</v>
      </c>
      <c r="P20" s="17">
        <f>SUM(M20:N20) / Capacity!$B$2</f>
        <v>15</v>
      </c>
      <c r="Q20" s="17">
        <f>SUM(M20:N20)/Capacity!$B$3</f>
        <v>13.125</v>
      </c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 t="s">
        <v>26</v>
      </c>
      <c r="AQ20" s="17" t="s">
        <v>26</v>
      </c>
      <c r="AR20" s="17" t="s">
        <v>26</v>
      </c>
      <c r="AS20" s="17" t="s">
        <v>26</v>
      </c>
      <c r="AT20" s="17" t="s">
        <v>26</v>
      </c>
      <c r="AU20" s="17"/>
      <c r="AV20" s="17"/>
      <c r="AW20" s="17" t="s">
        <v>26</v>
      </c>
      <c r="AX20" s="17" t="s">
        <v>26</v>
      </c>
      <c r="AY20" s="17" t="s">
        <v>26</v>
      </c>
      <c r="AZ20" s="17" t="s">
        <v>26</v>
      </c>
      <c r="BA20" s="17" t="s">
        <v>26</v>
      </c>
      <c r="BB20" s="17"/>
      <c r="BC20" s="17"/>
      <c r="BD20" s="17"/>
      <c r="BE20" s="17" t="s">
        <v>26</v>
      </c>
      <c r="BF20" s="17" t="s">
        <v>26</v>
      </c>
      <c r="BG20" s="17" t="s">
        <v>26</v>
      </c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>
        <f t="shared" si="3"/>
        <v>13</v>
      </c>
    </row>
    <row r="21" spans="2:91" ht="16" x14ac:dyDescent="0.2">
      <c r="B21" s="5" t="s">
        <v>71</v>
      </c>
      <c r="C21" s="6" t="s">
        <v>72</v>
      </c>
      <c r="D21" s="6"/>
      <c r="E21" s="7">
        <v>46045</v>
      </c>
      <c r="F21" s="7">
        <v>46052</v>
      </c>
      <c r="G21" s="8" t="s">
        <v>43</v>
      </c>
      <c r="H21" s="7">
        <v>46059</v>
      </c>
      <c r="I21" s="7">
        <f>H21+7</f>
        <v>46066</v>
      </c>
      <c r="J21" s="30">
        <f t="shared" si="5"/>
        <v>46066</v>
      </c>
      <c r="K21" s="7" t="s">
        <v>65</v>
      </c>
      <c r="L21" s="48">
        <v>90</v>
      </c>
      <c r="M21" s="48">
        <v>60</v>
      </c>
      <c r="N21" s="17" t="s">
        <v>20</v>
      </c>
      <c r="O21" s="130" t="s">
        <v>49</v>
      </c>
      <c r="P21" s="17">
        <f>SUM(M21:N21) / Capacity!$B$2</f>
        <v>8.5714285714285712</v>
      </c>
      <c r="Q21" s="17">
        <f>SUM(M21:N21)/Capacity!$B$3</f>
        <v>7.5</v>
      </c>
      <c r="R21" s="17"/>
      <c r="S21" s="17"/>
      <c r="T21" s="17"/>
      <c r="U21" s="17" t="s">
        <v>20</v>
      </c>
      <c r="V21" s="17" t="s">
        <v>20</v>
      </c>
      <c r="W21" s="17"/>
      <c r="X21" s="17"/>
      <c r="Y21" s="17"/>
      <c r="Z21" s="17"/>
      <c r="AA21" s="17"/>
      <c r="AB21" s="17" t="s">
        <v>26</v>
      </c>
      <c r="AC21" s="17" t="s">
        <v>26</v>
      </c>
      <c r="AD21" s="17" t="s">
        <v>26</v>
      </c>
      <c r="AE21" s="17" t="s">
        <v>26</v>
      </c>
      <c r="AF21" s="17" t="s">
        <v>26</v>
      </c>
      <c r="AG21" s="17"/>
      <c r="AH21" s="17"/>
      <c r="AI21" s="17" t="s">
        <v>26</v>
      </c>
      <c r="AJ21" s="17" t="s">
        <v>26</v>
      </c>
      <c r="AK21" s="17" t="s">
        <v>26</v>
      </c>
      <c r="AL21" s="122" t="s">
        <v>27</v>
      </c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 t="s">
        <v>20</v>
      </c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>
        <f t="shared" si="3"/>
        <v>8</v>
      </c>
    </row>
    <row r="22" spans="2:91" ht="15.75" customHeight="1" x14ac:dyDescent="0.2">
      <c r="B22" s="5" t="s">
        <v>73</v>
      </c>
      <c r="C22" s="6" t="s">
        <v>24</v>
      </c>
      <c r="D22" s="6"/>
      <c r="E22" s="35">
        <v>46045</v>
      </c>
      <c r="F22" s="19">
        <v>46050</v>
      </c>
      <c r="G22" s="8">
        <v>46059</v>
      </c>
      <c r="H22" s="8" t="s">
        <v>43</v>
      </c>
      <c r="I22" s="7">
        <f>G22+7</f>
        <v>46066</v>
      </c>
      <c r="J22" s="30">
        <f t="shared" si="5"/>
        <v>46066</v>
      </c>
      <c r="K22" s="19" t="s">
        <v>74</v>
      </c>
      <c r="L22" s="57">
        <v>350</v>
      </c>
      <c r="M22" s="119">
        <v>215</v>
      </c>
      <c r="N22" s="20">
        <v>4</v>
      </c>
      <c r="O22" s="20" t="s">
        <v>32</v>
      </c>
      <c r="P22" s="17">
        <f>SUM(M22:N22) / Capacity!$B$2</f>
        <v>31.285714285714285</v>
      </c>
      <c r="Q22" s="17">
        <f>SUM(M22:N22)/Capacity!$B$3</f>
        <v>27.375</v>
      </c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 t="s">
        <v>20</v>
      </c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>
        <f t="shared" si="3"/>
        <v>0</v>
      </c>
    </row>
    <row r="23" spans="2:91" ht="29.25" customHeight="1" x14ac:dyDescent="0.2">
      <c r="B23" s="5" t="s">
        <v>75</v>
      </c>
      <c r="C23" s="6" t="s">
        <v>63</v>
      </c>
      <c r="D23" s="6"/>
      <c r="E23" s="67" t="s">
        <v>76</v>
      </c>
      <c r="F23" s="68" t="s">
        <v>77</v>
      </c>
      <c r="G23" s="8">
        <v>46051</v>
      </c>
      <c r="H23" s="8" t="s">
        <v>43</v>
      </c>
      <c r="I23" s="7">
        <f>G23+7</f>
        <v>46058</v>
      </c>
      <c r="J23" s="30">
        <f t="shared" si="5"/>
        <v>46058</v>
      </c>
      <c r="K23" s="7" t="s">
        <v>65</v>
      </c>
      <c r="L23" s="48">
        <v>40</v>
      </c>
      <c r="M23" s="48">
        <v>40</v>
      </c>
      <c r="N23" s="17">
        <v>2</v>
      </c>
      <c r="O23" s="130" t="s">
        <v>78</v>
      </c>
      <c r="P23" s="17">
        <f>SUM(M23:N23) / Capacity!$B$2</f>
        <v>6</v>
      </c>
      <c r="Q23" s="17">
        <f>SUM(M23:N23)/Capacity!$B$3</f>
        <v>5.25</v>
      </c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 t="s">
        <v>26</v>
      </c>
      <c r="BE23" s="17" t="s">
        <v>26</v>
      </c>
      <c r="BF23" s="17" t="s">
        <v>26</v>
      </c>
      <c r="BG23" s="17" t="s">
        <v>26</v>
      </c>
      <c r="BH23" s="17" t="s">
        <v>26</v>
      </c>
      <c r="BI23" s="17"/>
      <c r="BJ23" s="17"/>
      <c r="BK23" s="17" t="s">
        <v>26</v>
      </c>
      <c r="BL23" s="122" t="s">
        <v>27</v>
      </c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>
        <f t="shared" si="3"/>
        <v>6</v>
      </c>
    </row>
    <row r="24" spans="2:91" ht="15.75" customHeight="1" x14ac:dyDescent="0.2">
      <c r="B24" s="5" t="s">
        <v>79</v>
      </c>
      <c r="C24" s="6" t="s">
        <v>63</v>
      </c>
      <c r="D24" s="6"/>
      <c r="E24" s="7">
        <v>46031</v>
      </c>
      <c r="F24" s="7">
        <v>46036</v>
      </c>
      <c r="G24" s="8" t="s">
        <v>43</v>
      </c>
      <c r="H24" s="7">
        <v>46038</v>
      </c>
      <c r="I24" s="7">
        <f>H24+7</f>
        <v>46045</v>
      </c>
      <c r="J24" s="30">
        <f t="shared" si="5"/>
        <v>46045</v>
      </c>
      <c r="K24" s="7" t="s">
        <v>80</v>
      </c>
      <c r="L24" s="48">
        <v>90</v>
      </c>
      <c r="M24" s="48">
        <v>80</v>
      </c>
      <c r="N24" s="17">
        <v>3</v>
      </c>
      <c r="O24" s="130" t="s">
        <v>49</v>
      </c>
      <c r="P24" s="17">
        <f>SUM(M24:N24) / Capacity!$B$2</f>
        <v>11.857142857142858</v>
      </c>
      <c r="Q24" s="17">
        <f>SUM(M24:N24)/Capacity!$B$3</f>
        <v>10.375</v>
      </c>
      <c r="R24" s="17"/>
      <c r="S24" s="17"/>
      <c r="T24" s="17"/>
      <c r="U24" s="17" t="s">
        <v>20</v>
      </c>
      <c r="V24" s="17" t="s">
        <v>20</v>
      </c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 t="s">
        <v>26</v>
      </c>
      <c r="AM24" s="17" t="s">
        <v>26</v>
      </c>
      <c r="AN24" s="17"/>
      <c r="AO24" s="17"/>
      <c r="AP24" s="17" t="s">
        <v>26</v>
      </c>
      <c r="AQ24" s="17" t="s">
        <v>26</v>
      </c>
      <c r="AR24" s="17" t="s">
        <v>26</v>
      </c>
      <c r="AS24" s="17" t="s">
        <v>26</v>
      </c>
      <c r="AT24" s="17" t="s">
        <v>26</v>
      </c>
      <c r="AU24" s="17"/>
      <c r="AV24" s="17"/>
      <c r="AW24" s="17" t="s">
        <v>26</v>
      </c>
      <c r="AX24" s="17" t="s">
        <v>26</v>
      </c>
      <c r="AY24" s="17" t="s">
        <v>26</v>
      </c>
      <c r="AZ24" s="122" t="s">
        <v>27</v>
      </c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 t="s">
        <v>20</v>
      </c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>
        <f t="shared" si="3"/>
        <v>10</v>
      </c>
    </row>
    <row r="25" spans="2:91" ht="15.75" customHeight="1" x14ac:dyDescent="0.2">
      <c r="B25" s="5" t="s">
        <v>81</v>
      </c>
      <c r="C25" s="6" t="s">
        <v>63</v>
      </c>
      <c r="D25" s="6"/>
      <c r="E25" s="7">
        <v>46038</v>
      </c>
      <c r="F25" s="8" t="s">
        <v>43</v>
      </c>
      <c r="G25" s="8" t="s">
        <v>43</v>
      </c>
      <c r="H25" s="7">
        <v>46038</v>
      </c>
      <c r="I25" s="7">
        <f>H25+7</f>
        <v>46045</v>
      </c>
      <c r="J25" s="30">
        <f t="shared" si="5"/>
        <v>46045</v>
      </c>
      <c r="K25" s="7" t="s">
        <v>65</v>
      </c>
      <c r="L25" s="48">
        <v>40</v>
      </c>
      <c r="M25" s="48">
        <v>40</v>
      </c>
      <c r="N25" s="17">
        <v>3</v>
      </c>
      <c r="O25" s="17" t="s">
        <v>54</v>
      </c>
      <c r="P25" s="17">
        <f>SUM(M25:N25) / Capacity!$B$2</f>
        <v>6.1428571428571432</v>
      </c>
      <c r="Q25" s="17">
        <f>SUM(M25:N25)/Capacity!$B$3</f>
        <v>5.375</v>
      </c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 t="s">
        <v>20</v>
      </c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>
        <f t="shared" si="3"/>
        <v>0</v>
      </c>
    </row>
    <row r="26" spans="2:91" ht="15.75" customHeight="1" x14ac:dyDescent="0.2">
      <c r="B26" s="5" t="s">
        <v>82</v>
      </c>
      <c r="C26" s="6" t="s">
        <v>63</v>
      </c>
      <c r="D26" s="6"/>
      <c r="E26" s="7">
        <v>46052</v>
      </c>
      <c r="F26" s="7">
        <v>46059</v>
      </c>
      <c r="G26" s="8" t="s">
        <v>43</v>
      </c>
      <c r="H26" s="7">
        <v>46066</v>
      </c>
      <c r="I26" s="35" t="s">
        <v>40</v>
      </c>
      <c r="J26" s="7"/>
      <c r="K26" s="7" t="s">
        <v>83</v>
      </c>
      <c r="L26" s="48">
        <v>10</v>
      </c>
      <c r="M26" s="48">
        <v>11</v>
      </c>
      <c r="N26" s="17" t="s">
        <v>20</v>
      </c>
      <c r="O26" s="17" t="s">
        <v>54</v>
      </c>
      <c r="P26" s="17">
        <f>SUM(M26:N26) / Capacity!$B$2</f>
        <v>1.5714285714285714</v>
      </c>
      <c r="Q26" s="17">
        <f>SUM(M26:N26)/Capacity!$B$3</f>
        <v>1.375</v>
      </c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 t="s">
        <v>20</v>
      </c>
      <c r="BQ26" s="17"/>
      <c r="BR26" s="17" t="s">
        <v>20</v>
      </c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>
        <f t="shared" si="3"/>
        <v>0</v>
      </c>
    </row>
    <row r="27" spans="2:91" ht="15.75" customHeight="1" x14ac:dyDescent="0.2">
      <c r="B27" s="5" t="s">
        <v>84</v>
      </c>
      <c r="C27" s="6" t="s">
        <v>46</v>
      </c>
      <c r="D27" s="6"/>
      <c r="E27" s="14" t="s">
        <v>85</v>
      </c>
      <c r="F27" s="14" t="s">
        <v>85</v>
      </c>
      <c r="G27" s="15" t="s">
        <v>85</v>
      </c>
      <c r="H27" s="15" t="s">
        <v>85</v>
      </c>
      <c r="I27" s="15" t="s">
        <v>85</v>
      </c>
      <c r="J27" s="15" t="s">
        <v>85</v>
      </c>
      <c r="K27" s="7" t="s">
        <v>86</v>
      </c>
      <c r="L27" s="48" t="s">
        <v>87</v>
      </c>
      <c r="M27" s="48" t="s">
        <v>87</v>
      </c>
      <c r="N27" s="17" t="s">
        <v>20</v>
      </c>
      <c r="O27" s="17" t="s">
        <v>41</v>
      </c>
      <c r="P27" s="17">
        <f>SUM(M27:N27) / Capacity!$B$2</f>
        <v>0</v>
      </c>
      <c r="Q27" s="17">
        <f>SUM(M27:N27)/Capacity!$B$3</f>
        <v>0</v>
      </c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 t="s">
        <v>20</v>
      </c>
      <c r="BR27" s="17"/>
      <c r="BS27" s="17" t="s">
        <v>20</v>
      </c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>
        <f t="shared" si="3"/>
        <v>0</v>
      </c>
    </row>
    <row r="28" spans="2:91" ht="16.25" customHeight="1" x14ac:dyDescent="0.2">
      <c r="B28" s="5" t="s">
        <v>88</v>
      </c>
      <c r="C28" s="6" t="s">
        <v>46</v>
      </c>
      <c r="D28" s="6"/>
      <c r="E28" s="14" t="s">
        <v>85</v>
      </c>
      <c r="F28" s="14" t="s">
        <v>85</v>
      </c>
      <c r="G28" s="15" t="s">
        <v>85</v>
      </c>
      <c r="H28" s="15" t="s">
        <v>85</v>
      </c>
      <c r="I28" s="15" t="s">
        <v>85</v>
      </c>
      <c r="J28" s="15" t="s">
        <v>85</v>
      </c>
      <c r="K28" s="7" t="s">
        <v>89</v>
      </c>
      <c r="L28" s="48">
        <v>19</v>
      </c>
      <c r="M28" s="48">
        <v>19</v>
      </c>
      <c r="N28" s="17" t="s">
        <v>20</v>
      </c>
      <c r="O28" s="17" t="s">
        <v>41</v>
      </c>
      <c r="P28" s="17">
        <f>SUM(M28:N28) / Capacity!$B$2</f>
        <v>2.7142857142857144</v>
      </c>
      <c r="Q28" s="17">
        <f>SUM(M28:N28)/Capacity!$B$3</f>
        <v>2.375</v>
      </c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 t="s">
        <v>26</v>
      </c>
      <c r="AC28" s="17" t="s">
        <v>26</v>
      </c>
      <c r="AD28" s="122" t="s">
        <v>27</v>
      </c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 t="s">
        <v>20</v>
      </c>
      <c r="BS28" s="17"/>
      <c r="BT28" s="17" t="s">
        <v>20</v>
      </c>
      <c r="BU28" s="17" t="s">
        <v>20</v>
      </c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>
        <f t="shared" si="3"/>
        <v>2</v>
      </c>
    </row>
    <row r="29" spans="2:91" ht="15.75" customHeight="1" x14ac:dyDescent="0.2">
      <c r="B29" s="5" t="s">
        <v>90</v>
      </c>
      <c r="C29" s="6" t="s">
        <v>46</v>
      </c>
      <c r="D29" s="6"/>
      <c r="E29" s="14" t="s">
        <v>85</v>
      </c>
      <c r="F29" s="14" t="s">
        <v>85</v>
      </c>
      <c r="G29" s="15" t="s">
        <v>85</v>
      </c>
      <c r="H29" s="15" t="s">
        <v>85</v>
      </c>
      <c r="I29" s="15" t="s">
        <v>85</v>
      </c>
      <c r="J29" s="15" t="s">
        <v>85</v>
      </c>
      <c r="K29" s="7" t="s">
        <v>91</v>
      </c>
      <c r="L29" s="48">
        <v>41</v>
      </c>
      <c r="M29" s="48">
        <v>41</v>
      </c>
      <c r="N29" s="17" t="s">
        <v>20</v>
      </c>
      <c r="O29" s="17" t="s">
        <v>49</v>
      </c>
      <c r="P29" s="17">
        <f>SUM(M29:N29) / Capacity!$B$2</f>
        <v>5.8571428571428568</v>
      </c>
      <c r="Q29" s="17">
        <f>SUM(M29:N29)/Capacity!$B$3</f>
        <v>5.125</v>
      </c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 t="s">
        <v>26</v>
      </c>
      <c r="BA29" s="17" t="s">
        <v>26</v>
      </c>
      <c r="BB29" s="17"/>
      <c r="BC29" s="17"/>
      <c r="BD29" s="17" t="s">
        <v>26</v>
      </c>
      <c r="BE29" s="17" t="s">
        <v>26</v>
      </c>
      <c r="BF29" s="17" t="s">
        <v>26</v>
      </c>
      <c r="BG29" s="17" t="s">
        <v>26</v>
      </c>
      <c r="BH29" s="122" t="s">
        <v>27</v>
      </c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 t="s">
        <v>20</v>
      </c>
      <c r="BT29" s="17" t="s">
        <v>20</v>
      </c>
      <c r="BU29" s="17"/>
      <c r="BV29" s="17" t="s">
        <v>20</v>
      </c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>
        <f t="shared" si="3"/>
        <v>6</v>
      </c>
    </row>
    <row r="30" spans="2:91" ht="15.75" customHeight="1" x14ac:dyDescent="0.2">
      <c r="B30" s="10"/>
      <c r="C30" s="11"/>
      <c r="D30" s="11"/>
      <c r="E30" s="12"/>
      <c r="F30" s="12"/>
      <c r="G30" s="12"/>
      <c r="H30" s="12"/>
      <c r="I30" s="12"/>
      <c r="J30" s="12"/>
      <c r="K30" s="12"/>
      <c r="L30" s="54"/>
      <c r="M30" s="54"/>
      <c r="N30" s="12"/>
      <c r="O30" s="12"/>
      <c r="P30" s="17">
        <f>SUM(M30:N30) / Capacity!$B$2</f>
        <v>0</v>
      </c>
      <c r="Q30" s="17">
        <f>SUM(M30:N30)/Capacity!$B$3</f>
        <v>0</v>
      </c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>
        <f t="shared" si="3"/>
        <v>0</v>
      </c>
    </row>
    <row r="31" spans="2:91" ht="15.75" customHeight="1" x14ac:dyDescent="0.2">
      <c r="B31" s="5" t="s">
        <v>92</v>
      </c>
      <c r="C31" s="13"/>
      <c r="D31" s="13"/>
      <c r="E31" s="14" t="s">
        <v>85</v>
      </c>
      <c r="F31" s="14" t="s">
        <v>85</v>
      </c>
      <c r="G31" s="15" t="s">
        <v>85</v>
      </c>
      <c r="H31" s="15" t="s">
        <v>85</v>
      </c>
      <c r="I31" s="14" t="s">
        <v>85</v>
      </c>
      <c r="J31" s="14" t="s">
        <v>85</v>
      </c>
      <c r="K31" s="17" t="s">
        <v>93</v>
      </c>
      <c r="L31" s="48">
        <v>47</v>
      </c>
      <c r="M31" s="48">
        <v>47</v>
      </c>
      <c r="N31" s="17" t="s">
        <v>20</v>
      </c>
      <c r="O31" s="17" t="s">
        <v>41</v>
      </c>
      <c r="P31" s="17">
        <f>SUM(M31:N31) / Capacity!$B$2</f>
        <v>6.7142857142857144</v>
      </c>
      <c r="Q31" s="17">
        <f>SUM(M31:N31)/Capacity!$B$3</f>
        <v>5.875</v>
      </c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 t="s">
        <v>26</v>
      </c>
      <c r="AQ31" s="17" t="s">
        <v>26</v>
      </c>
      <c r="AR31" s="17" t="s">
        <v>26</v>
      </c>
      <c r="AS31" s="17" t="s">
        <v>26</v>
      </c>
      <c r="AT31" s="17" t="s">
        <v>26</v>
      </c>
      <c r="AU31" s="17"/>
      <c r="AV31" s="17"/>
      <c r="AW31" s="17" t="s">
        <v>26</v>
      </c>
      <c r="AX31" s="122" t="s">
        <v>27</v>
      </c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>
        <f t="shared" si="3"/>
        <v>6</v>
      </c>
    </row>
    <row r="32" spans="2:91" ht="15.75" customHeight="1" x14ac:dyDescent="0.2">
      <c r="B32" s="21" t="s">
        <v>94</v>
      </c>
      <c r="C32" s="22"/>
      <c r="D32" s="22"/>
      <c r="E32" s="23" t="s">
        <v>85</v>
      </c>
      <c r="F32" s="23" t="s">
        <v>85</v>
      </c>
      <c r="G32" s="24" t="s">
        <v>85</v>
      </c>
      <c r="H32" s="24" t="s">
        <v>85</v>
      </c>
      <c r="I32" s="23" t="s">
        <v>85</v>
      </c>
      <c r="J32" s="23" t="s">
        <v>85</v>
      </c>
      <c r="K32" s="25" t="s">
        <v>95</v>
      </c>
      <c r="L32" s="64">
        <v>5</v>
      </c>
      <c r="M32" s="64">
        <v>5</v>
      </c>
      <c r="N32" s="25" t="s">
        <v>20</v>
      </c>
      <c r="O32" s="25" t="s">
        <v>41</v>
      </c>
      <c r="P32" s="17">
        <f>SUM(M32:N32) / Capacity!$B$2</f>
        <v>0.7142857142857143</v>
      </c>
      <c r="Q32" s="17">
        <f>SUM(M32:N32)/Capacity!$B$3</f>
        <v>0.625</v>
      </c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 t="s">
        <v>26</v>
      </c>
      <c r="AY32" s="122" t="s">
        <v>27</v>
      </c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>
        <f t="shared" si="3"/>
        <v>1</v>
      </c>
    </row>
    <row r="33" spans="2:91" ht="15.75" customHeight="1" x14ac:dyDescent="0.2">
      <c r="B33" s="26"/>
      <c r="C33" s="27"/>
      <c r="D33" s="27"/>
      <c r="E33" s="28"/>
      <c r="F33" s="28"/>
      <c r="G33" s="28"/>
      <c r="H33" s="28"/>
      <c r="I33" s="28"/>
      <c r="J33" s="28"/>
      <c r="K33" s="28"/>
      <c r="L33" s="66">
        <f>SUM(L3:L32)</f>
        <v>2179</v>
      </c>
      <c r="M33" s="66">
        <f>SUM(M4:M32)</f>
        <v>1768</v>
      </c>
      <c r="N33" s="29">
        <f>SUM(M3:N32)</f>
        <v>2333</v>
      </c>
      <c r="O33" s="29"/>
      <c r="P33" s="29">
        <f>SUM(P3:P32)</f>
        <v>333.28571428571428</v>
      </c>
      <c r="Q33" s="29">
        <f>SUM(Q3:Q32)</f>
        <v>249.1875</v>
      </c>
      <c r="R33" s="29">
        <f t="shared" ref="R33:AW33" si="6">COUNTIF(R3:R32, "X")</f>
        <v>1</v>
      </c>
      <c r="S33" s="29">
        <f t="shared" si="6"/>
        <v>0</v>
      </c>
      <c r="T33" s="29">
        <f t="shared" si="6"/>
        <v>0</v>
      </c>
      <c r="U33" s="29">
        <f t="shared" si="6"/>
        <v>3</v>
      </c>
      <c r="V33" s="29">
        <f t="shared" si="6"/>
        <v>3</v>
      </c>
      <c r="W33" s="29">
        <f t="shared" si="6"/>
        <v>3</v>
      </c>
      <c r="X33" s="29">
        <f t="shared" si="6"/>
        <v>2</v>
      </c>
      <c r="Y33" s="29">
        <f t="shared" si="6"/>
        <v>3</v>
      </c>
      <c r="Z33" s="29">
        <f t="shared" si="6"/>
        <v>0</v>
      </c>
      <c r="AA33" s="29">
        <f t="shared" si="6"/>
        <v>0</v>
      </c>
      <c r="AB33" s="29">
        <f t="shared" si="6"/>
        <v>4</v>
      </c>
      <c r="AC33" s="29">
        <f t="shared" si="6"/>
        <v>4</v>
      </c>
      <c r="AD33" s="29">
        <f t="shared" si="6"/>
        <v>3</v>
      </c>
      <c r="AE33" s="29">
        <f t="shared" si="6"/>
        <v>3</v>
      </c>
      <c r="AF33" s="29">
        <f t="shared" si="6"/>
        <v>3</v>
      </c>
      <c r="AG33" s="29">
        <f t="shared" si="6"/>
        <v>0</v>
      </c>
      <c r="AH33" s="29">
        <f t="shared" si="6"/>
        <v>0</v>
      </c>
      <c r="AI33" s="29">
        <f t="shared" si="6"/>
        <v>3</v>
      </c>
      <c r="AJ33" s="29">
        <f t="shared" si="6"/>
        <v>2</v>
      </c>
      <c r="AK33" s="29">
        <f t="shared" si="6"/>
        <v>3</v>
      </c>
      <c r="AL33" s="29">
        <f t="shared" si="6"/>
        <v>3</v>
      </c>
      <c r="AM33" s="29">
        <f t="shared" si="6"/>
        <v>3</v>
      </c>
      <c r="AN33" s="29">
        <f t="shared" si="6"/>
        <v>0</v>
      </c>
      <c r="AO33" s="29">
        <f t="shared" si="6"/>
        <v>0</v>
      </c>
      <c r="AP33" s="29">
        <f t="shared" si="6"/>
        <v>5</v>
      </c>
      <c r="AQ33" s="29">
        <f t="shared" si="6"/>
        <v>5</v>
      </c>
      <c r="AR33" s="29">
        <f t="shared" si="6"/>
        <v>4</v>
      </c>
      <c r="AS33" s="29">
        <f t="shared" si="6"/>
        <v>5</v>
      </c>
      <c r="AT33" s="29">
        <f t="shared" si="6"/>
        <v>5</v>
      </c>
      <c r="AU33" s="29">
        <f t="shared" si="6"/>
        <v>0</v>
      </c>
      <c r="AV33" s="29">
        <f t="shared" si="6"/>
        <v>0</v>
      </c>
      <c r="AW33" s="29">
        <f t="shared" si="6"/>
        <v>5</v>
      </c>
      <c r="AX33" s="29">
        <f t="shared" ref="AX33:CC33" si="7">COUNTIF(AX3:AX32, "X")</f>
        <v>5</v>
      </c>
      <c r="AY33" s="29">
        <f t="shared" si="7"/>
        <v>4</v>
      </c>
      <c r="AZ33" s="29">
        <f t="shared" si="7"/>
        <v>4</v>
      </c>
      <c r="BA33" s="29">
        <f t="shared" si="7"/>
        <v>4</v>
      </c>
      <c r="BB33" s="29">
        <f t="shared" si="7"/>
        <v>0</v>
      </c>
      <c r="BC33" s="29">
        <f t="shared" si="7"/>
        <v>0</v>
      </c>
      <c r="BD33" s="29">
        <f t="shared" si="7"/>
        <v>5</v>
      </c>
      <c r="BE33" s="29">
        <f t="shared" si="7"/>
        <v>8</v>
      </c>
      <c r="BF33" s="29">
        <f t="shared" si="7"/>
        <v>8</v>
      </c>
      <c r="BG33" s="29">
        <f t="shared" si="7"/>
        <v>7</v>
      </c>
      <c r="BH33" s="29">
        <f t="shared" si="7"/>
        <v>7</v>
      </c>
      <c r="BI33" s="29">
        <f t="shared" si="7"/>
        <v>1</v>
      </c>
      <c r="BJ33" s="29">
        <f t="shared" si="7"/>
        <v>0</v>
      </c>
      <c r="BK33" s="29">
        <f t="shared" si="7"/>
        <v>7</v>
      </c>
      <c r="BL33" s="29">
        <f t="shared" si="7"/>
        <v>6</v>
      </c>
      <c r="BM33" s="29">
        <f t="shared" si="7"/>
        <v>5</v>
      </c>
      <c r="BN33" s="29">
        <f t="shared" si="7"/>
        <v>4</v>
      </c>
      <c r="BO33" s="29">
        <f t="shared" si="7"/>
        <v>4</v>
      </c>
      <c r="BP33" s="29">
        <f t="shared" si="7"/>
        <v>0</v>
      </c>
      <c r="BQ33" s="29">
        <f t="shared" si="7"/>
        <v>0</v>
      </c>
      <c r="BR33" s="29">
        <f t="shared" si="7"/>
        <v>5</v>
      </c>
      <c r="BS33" s="29">
        <f t="shared" si="7"/>
        <v>5</v>
      </c>
      <c r="BT33" s="29">
        <f t="shared" si="7"/>
        <v>5</v>
      </c>
      <c r="BU33" s="29">
        <f t="shared" si="7"/>
        <v>5</v>
      </c>
      <c r="BV33" s="29">
        <f t="shared" si="7"/>
        <v>5</v>
      </c>
      <c r="BW33" s="29">
        <f t="shared" si="7"/>
        <v>0</v>
      </c>
      <c r="BX33" s="29">
        <f t="shared" si="7"/>
        <v>0</v>
      </c>
      <c r="BY33" s="29">
        <f t="shared" si="7"/>
        <v>4</v>
      </c>
      <c r="BZ33" s="29">
        <f t="shared" si="7"/>
        <v>1</v>
      </c>
      <c r="CA33" s="29">
        <f t="shared" si="7"/>
        <v>1</v>
      </c>
      <c r="CB33" s="29">
        <f t="shared" si="7"/>
        <v>1</v>
      </c>
      <c r="CC33" s="29">
        <f t="shared" si="7"/>
        <v>0</v>
      </c>
      <c r="CD33" s="29">
        <f t="shared" ref="CD33:CL33" si="8">COUNTIF(CD3:CD32, "X")</f>
        <v>0</v>
      </c>
      <c r="CE33" s="29">
        <f t="shared" si="8"/>
        <v>0</v>
      </c>
      <c r="CF33" s="29">
        <f t="shared" si="8"/>
        <v>0</v>
      </c>
      <c r="CG33" s="29">
        <f t="shared" si="8"/>
        <v>0</v>
      </c>
      <c r="CH33" s="29">
        <f t="shared" si="8"/>
        <v>0</v>
      </c>
      <c r="CI33" s="29">
        <f t="shared" si="8"/>
        <v>0</v>
      </c>
      <c r="CJ33" s="29">
        <f t="shared" si="8"/>
        <v>0</v>
      </c>
      <c r="CK33" s="29">
        <f t="shared" si="8"/>
        <v>0</v>
      </c>
      <c r="CL33" s="29">
        <f t="shared" si="8"/>
        <v>0</v>
      </c>
      <c r="CM33" s="29">
        <f>SUM(CM4:CM32)</f>
        <v>186</v>
      </c>
    </row>
    <row r="34" spans="2:91" ht="15.75" customHeight="1" x14ac:dyDescent="0.2">
      <c r="C34" s="1"/>
      <c r="D34" s="1"/>
    </row>
    <row r="35" spans="2:91" ht="15.75" customHeight="1" x14ac:dyDescent="0.2">
      <c r="C35" s="1"/>
      <c r="D35" s="1"/>
    </row>
    <row r="36" spans="2:91" ht="15.75" customHeight="1" x14ac:dyDescent="0.2">
      <c r="C36" s="1"/>
      <c r="D36" s="1"/>
    </row>
    <row r="37" spans="2:91" ht="15.75" customHeight="1" x14ac:dyDescent="0.2">
      <c r="C37" s="1"/>
      <c r="D37" s="1"/>
    </row>
    <row r="38" spans="2:91" ht="15.75" customHeight="1" x14ac:dyDescent="0.2">
      <c r="C38" s="1"/>
      <c r="D38" s="1"/>
    </row>
    <row r="39" spans="2:91" ht="15.75" customHeight="1" x14ac:dyDescent="0.2">
      <c r="C39" s="1"/>
      <c r="D39" s="1"/>
    </row>
    <row r="40" spans="2:91" ht="15.75" customHeight="1" x14ac:dyDescent="0.2">
      <c r="C40" s="1"/>
      <c r="D40" s="1"/>
    </row>
    <row r="41" spans="2:91" ht="15.75" customHeight="1" x14ac:dyDescent="0.2">
      <c r="C41" s="1"/>
      <c r="D41" s="1"/>
    </row>
    <row r="42" spans="2:91" ht="15.75" customHeight="1" x14ac:dyDescent="0.2">
      <c r="C42" s="1"/>
      <c r="D42" s="1"/>
    </row>
    <row r="43" spans="2:91" ht="15.75" customHeight="1" x14ac:dyDescent="0.2">
      <c r="C43" s="1"/>
      <c r="D43" s="1"/>
    </row>
    <row r="44" spans="2:91" ht="15.75" customHeight="1" x14ac:dyDescent="0.2">
      <c r="C44" s="1"/>
      <c r="D44" s="1"/>
    </row>
    <row r="45" spans="2:91" ht="15.75" customHeight="1" x14ac:dyDescent="0.2">
      <c r="C45" s="1"/>
      <c r="D45" s="1"/>
    </row>
    <row r="46" spans="2:91" ht="15.75" customHeight="1" x14ac:dyDescent="0.2">
      <c r="C46" s="1"/>
      <c r="D46" s="1"/>
    </row>
    <row r="47" spans="2:91" ht="15.75" customHeight="1" x14ac:dyDescent="0.2">
      <c r="C47" s="1"/>
      <c r="D47" s="1"/>
    </row>
    <row r="48" spans="2:91" ht="15.75" customHeight="1" x14ac:dyDescent="0.2">
      <c r="C48" s="1"/>
      <c r="D48" s="1"/>
    </row>
    <row r="49" spans="3:4" ht="15.75" customHeight="1" x14ac:dyDescent="0.2">
      <c r="C49" s="1"/>
      <c r="D49" s="1"/>
    </row>
    <row r="50" spans="3:4" ht="15.75" customHeight="1" x14ac:dyDescent="0.2">
      <c r="C50" s="1"/>
      <c r="D50" s="1"/>
    </row>
    <row r="51" spans="3:4" ht="15.75" customHeight="1" x14ac:dyDescent="0.2">
      <c r="C51" s="1"/>
      <c r="D51" s="1"/>
    </row>
    <row r="52" spans="3:4" ht="15.75" customHeight="1" x14ac:dyDescent="0.2">
      <c r="C52" s="1"/>
      <c r="D52" s="1"/>
    </row>
    <row r="53" spans="3:4" ht="15.75" customHeight="1" x14ac:dyDescent="0.2">
      <c r="C53" s="1"/>
      <c r="D53" s="1"/>
    </row>
    <row r="54" spans="3:4" ht="15.75" customHeight="1" x14ac:dyDescent="0.2">
      <c r="C54" s="1"/>
      <c r="D54" s="1"/>
    </row>
    <row r="55" spans="3:4" ht="15.75" customHeight="1" x14ac:dyDescent="0.2">
      <c r="C55" s="1"/>
      <c r="D55" s="1"/>
    </row>
    <row r="56" spans="3:4" ht="15.75" customHeight="1" x14ac:dyDescent="0.2">
      <c r="C56" s="1"/>
      <c r="D56" s="1"/>
    </row>
    <row r="57" spans="3:4" ht="15.75" customHeight="1" x14ac:dyDescent="0.2">
      <c r="C57" s="1"/>
      <c r="D57" s="1"/>
    </row>
    <row r="58" spans="3:4" ht="15.75" customHeight="1" x14ac:dyDescent="0.2">
      <c r="C58" s="1"/>
      <c r="D58" s="1"/>
    </row>
    <row r="59" spans="3:4" ht="15.75" customHeight="1" x14ac:dyDescent="0.2">
      <c r="C59" s="1"/>
      <c r="D59" s="1"/>
    </row>
    <row r="60" spans="3:4" ht="15.75" customHeight="1" x14ac:dyDescent="0.2">
      <c r="C60" s="1"/>
      <c r="D60" s="1"/>
    </row>
    <row r="61" spans="3:4" ht="15.75" customHeight="1" x14ac:dyDescent="0.2">
      <c r="C61" s="1"/>
      <c r="D61" s="1"/>
    </row>
    <row r="62" spans="3:4" ht="15.75" customHeight="1" x14ac:dyDescent="0.2">
      <c r="C62" s="1"/>
      <c r="D62" s="1"/>
    </row>
    <row r="63" spans="3:4" ht="15.75" customHeight="1" x14ac:dyDescent="0.2">
      <c r="C63" s="1"/>
      <c r="D63" s="1"/>
    </row>
    <row r="64" spans="3:4" ht="15.75" customHeight="1" x14ac:dyDescent="0.2">
      <c r="C64" s="1"/>
      <c r="D64" s="1"/>
    </row>
    <row r="65" spans="3:4" ht="15.75" customHeight="1" x14ac:dyDescent="0.2">
      <c r="C65" s="1"/>
      <c r="D65" s="1"/>
    </row>
    <row r="66" spans="3:4" ht="15.75" customHeight="1" x14ac:dyDescent="0.2">
      <c r="C66" s="1"/>
      <c r="D66" s="1"/>
    </row>
    <row r="67" spans="3:4" ht="15.75" customHeight="1" x14ac:dyDescent="0.2">
      <c r="C67" s="1"/>
      <c r="D67" s="1"/>
    </row>
    <row r="68" spans="3:4" ht="15.75" customHeight="1" x14ac:dyDescent="0.2">
      <c r="C68" s="1"/>
      <c r="D68" s="1"/>
    </row>
    <row r="69" spans="3:4" ht="15.75" customHeight="1" x14ac:dyDescent="0.2">
      <c r="C69" s="1"/>
      <c r="D69" s="1"/>
    </row>
    <row r="70" spans="3:4" ht="15.75" customHeight="1" x14ac:dyDescent="0.2">
      <c r="C70" s="1"/>
      <c r="D70" s="1"/>
    </row>
    <row r="71" spans="3:4" ht="15.75" customHeight="1" x14ac:dyDescent="0.2">
      <c r="C71" s="1"/>
      <c r="D71" s="1"/>
    </row>
    <row r="72" spans="3:4" ht="15.75" customHeight="1" x14ac:dyDescent="0.2">
      <c r="C72" s="1"/>
      <c r="D72" s="1"/>
    </row>
    <row r="73" spans="3:4" ht="15.75" customHeight="1" x14ac:dyDescent="0.2">
      <c r="C73" s="1"/>
      <c r="D73" s="1"/>
    </row>
    <row r="74" spans="3:4" ht="15.75" customHeight="1" x14ac:dyDescent="0.2">
      <c r="C74" s="1"/>
      <c r="D74" s="1"/>
    </row>
    <row r="75" spans="3:4" ht="15.75" customHeight="1" x14ac:dyDescent="0.2">
      <c r="C75" s="1"/>
      <c r="D75" s="1"/>
    </row>
    <row r="76" spans="3:4" ht="15.75" customHeight="1" x14ac:dyDescent="0.2">
      <c r="C76" s="1"/>
      <c r="D76" s="1"/>
    </row>
    <row r="77" spans="3:4" ht="15.75" customHeight="1" x14ac:dyDescent="0.2">
      <c r="C77" s="1"/>
      <c r="D77" s="1"/>
    </row>
    <row r="78" spans="3:4" ht="15.75" customHeight="1" x14ac:dyDescent="0.2">
      <c r="C78" s="1"/>
      <c r="D78" s="1"/>
    </row>
    <row r="79" spans="3:4" ht="15.75" customHeight="1" x14ac:dyDescent="0.2">
      <c r="C79" s="1"/>
      <c r="D79" s="1"/>
    </row>
    <row r="80" spans="3:4" ht="15.75" customHeight="1" x14ac:dyDescent="0.2">
      <c r="C80" s="1"/>
      <c r="D80" s="1"/>
    </row>
    <row r="81" spans="3:4" ht="15.75" customHeight="1" x14ac:dyDescent="0.2">
      <c r="C81" s="1"/>
      <c r="D81" s="1"/>
    </row>
    <row r="82" spans="3:4" ht="15.75" customHeight="1" x14ac:dyDescent="0.2">
      <c r="C82" s="1"/>
      <c r="D82" s="1"/>
    </row>
    <row r="83" spans="3:4" ht="15.75" customHeight="1" x14ac:dyDescent="0.2">
      <c r="C83" s="1"/>
      <c r="D83" s="1"/>
    </row>
    <row r="84" spans="3:4" ht="15.75" customHeight="1" x14ac:dyDescent="0.2">
      <c r="C84" s="1"/>
      <c r="D84" s="1"/>
    </row>
    <row r="85" spans="3:4" ht="15.75" customHeight="1" x14ac:dyDescent="0.2">
      <c r="C85" s="1"/>
      <c r="D85" s="1"/>
    </row>
    <row r="86" spans="3:4" ht="15.75" customHeight="1" x14ac:dyDescent="0.2">
      <c r="C86" s="1"/>
      <c r="D86" s="1"/>
    </row>
    <row r="87" spans="3:4" ht="15.75" customHeight="1" x14ac:dyDescent="0.2">
      <c r="C87" s="1"/>
      <c r="D87" s="1"/>
    </row>
    <row r="88" spans="3:4" ht="15.75" customHeight="1" x14ac:dyDescent="0.2">
      <c r="C88" s="1"/>
      <c r="D88" s="1"/>
    </row>
    <row r="89" spans="3:4" ht="15.75" customHeight="1" x14ac:dyDescent="0.2">
      <c r="C89" s="1"/>
      <c r="D89" s="1"/>
    </row>
    <row r="90" spans="3:4" ht="15.75" customHeight="1" x14ac:dyDescent="0.2">
      <c r="C90" s="1"/>
      <c r="D90" s="1"/>
    </row>
    <row r="91" spans="3:4" ht="15.75" customHeight="1" x14ac:dyDescent="0.2">
      <c r="C91" s="1"/>
      <c r="D91" s="1"/>
    </row>
    <row r="92" spans="3:4" ht="15.75" customHeight="1" x14ac:dyDescent="0.2">
      <c r="C92" s="1"/>
      <c r="D92" s="1"/>
    </row>
    <row r="93" spans="3:4" ht="15.75" customHeight="1" x14ac:dyDescent="0.2">
      <c r="C93" s="1"/>
      <c r="D93" s="1"/>
    </row>
    <row r="94" spans="3:4" ht="15.75" customHeight="1" x14ac:dyDescent="0.2">
      <c r="C94" s="1"/>
      <c r="D94" s="1"/>
    </row>
    <row r="95" spans="3:4" ht="15.75" customHeight="1" x14ac:dyDescent="0.2">
      <c r="C95" s="1"/>
      <c r="D95" s="1"/>
    </row>
    <row r="96" spans="3:4" ht="15.75" customHeight="1" x14ac:dyDescent="0.2">
      <c r="C96" s="1"/>
      <c r="D96" s="1"/>
    </row>
    <row r="97" spans="3:4" ht="15.75" customHeight="1" x14ac:dyDescent="0.2">
      <c r="C97" s="1"/>
      <c r="D97" s="1"/>
    </row>
    <row r="98" spans="3:4" ht="15.75" customHeight="1" x14ac:dyDescent="0.2">
      <c r="C98" s="1"/>
      <c r="D98" s="1"/>
    </row>
    <row r="99" spans="3:4" ht="15.75" customHeight="1" x14ac:dyDescent="0.2">
      <c r="C99" s="1"/>
      <c r="D99" s="1"/>
    </row>
    <row r="100" spans="3:4" ht="15.75" customHeight="1" x14ac:dyDescent="0.2">
      <c r="C100" s="1"/>
      <c r="D100" s="1"/>
    </row>
    <row r="101" spans="3:4" ht="15.75" customHeight="1" x14ac:dyDescent="0.2">
      <c r="C101" s="1"/>
      <c r="D101" s="1"/>
    </row>
    <row r="102" spans="3:4" ht="15.75" customHeight="1" x14ac:dyDescent="0.2">
      <c r="C102" s="1"/>
      <c r="D102" s="1"/>
    </row>
    <row r="103" spans="3:4" ht="15.75" customHeight="1" x14ac:dyDescent="0.2">
      <c r="C103" s="1"/>
      <c r="D103" s="1"/>
    </row>
    <row r="104" spans="3:4" ht="15.75" customHeight="1" x14ac:dyDescent="0.2">
      <c r="C104" s="1"/>
      <c r="D104" s="1"/>
    </row>
    <row r="105" spans="3:4" ht="15.75" customHeight="1" x14ac:dyDescent="0.2">
      <c r="C105" s="1"/>
      <c r="D105" s="1"/>
    </row>
    <row r="106" spans="3:4" ht="15.75" customHeight="1" x14ac:dyDescent="0.2">
      <c r="C106" s="1"/>
      <c r="D106" s="1"/>
    </row>
    <row r="107" spans="3:4" ht="15.75" customHeight="1" x14ac:dyDescent="0.2">
      <c r="C107" s="1"/>
      <c r="D107" s="1"/>
    </row>
    <row r="108" spans="3:4" ht="15.75" customHeight="1" x14ac:dyDescent="0.2">
      <c r="C108" s="1"/>
      <c r="D108" s="1"/>
    </row>
    <row r="109" spans="3:4" ht="15.75" customHeight="1" x14ac:dyDescent="0.2">
      <c r="C109" s="1"/>
      <c r="D109" s="1"/>
    </row>
    <row r="110" spans="3:4" ht="15.75" customHeight="1" x14ac:dyDescent="0.2">
      <c r="C110" s="1"/>
      <c r="D110" s="1"/>
    </row>
    <row r="111" spans="3:4" ht="15.75" customHeight="1" x14ac:dyDescent="0.2">
      <c r="C111" s="1"/>
      <c r="D111" s="1"/>
    </row>
    <row r="112" spans="3:4" ht="15.75" customHeight="1" x14ac:dyDescent="0.2">
      <c r="C112" s="1"/>
      <c r="D112" s="1"/>
    </row>
    <row r="113" spans="3:4" ht="15.75" customHeight="1" x14ac:dyDescent="0.2">
      <c r="C113" s="1"/>
      <c r="D113" s="1"/>
    </row>
    <row r="114" spans="3:4" ht="15.75" customHeight="1" x14ac:dyDescent="0.2">
      <c r="C114" s="1"/>
      <c r="D114" s="1"/>
    </row>
    <row r="115" spans="3:4" ht="15.75" customHeight="1" x14ac:dyDescent="0.2">
      <c r="C115" s="1"/>
      <c r="D115" s="1"/>
    </row>
    <row r="116" spans="3:4" ht="15.75" customHeight="1" x14ac:dyDescent="0.2">
      <c r="C116" s="1"/>
      <c r="D116" s="1"/>
    </row>
    <row r="117" spans="3:4" ht="15.75" customHeight="1" x14ac:dyDescent="0.2">
      <c r="C117" s="1"/>
      <c r="D117" s="1"/>
    </row>
    <row r="118" spans="3:4" ht="15.75" customHeight="1" x14ac:dyDescent="0.2">
      <c r="C118" s="1"/>
      <c r="D118" s="1"/>
    </row>
    <row r="119" spans="3:4" ht="15.75" customHeight="1" x14ac:dyDescent="0.2">
      <c r="C119" s="1"/>
      <c r="D119" s="1"/>
    </row>
    <row r="120" spans="3:4" ht="15.75" customHeight="1" x14ac:dyDescent="0.2">
      <c r="C120" s="1"/>
      <c r="D120" s="1"/>
    </row>
    <row r="121" spans="3:4" ht="15.75" customHeight="1" x14ac:dyDescent="0.2">
      <c r="C121" s="1"/>
      <c r="D121" s="1"/>
    </row>
    <row r="122" spans="3:4" ht="15.75" customHeight="1" x14ac:dyDescent="0.2">
      <c r="C122" s="1"/>
      <c r="D122" s="1"/>
    </row>
    <row r="123" spans="3:4" ht="15.75" customHeight="1" x14ac:dyDescent="0.2">
      <c r="C123" s="1"/>
      <c r="D123" s="1"/>
    </row>
    <row r="124" spans="3:4" ht="15.75" customHeight="1" x14ac:dyDescent="0.2">
      <c r="C124" s="1"/>
      <c r="D124" s="1"/>
    </row>
    <row r="125" spans="3:4" ht="15.75" customHeight="1" x14ac:dyDescent="0.2">
      <c r="C125" s="1"/>
      <c r="D125" s="1"/>
    </row>
    <row r="126" spans="3:4" ht="15.75" customHeight="1" x14ac:dyDescent="0.2">
      <c r="C126" s="1"/>
      <c r="D126" s="1"/>
    </row>
    <row r="127" spans="3:4" ht="15.75" customHeight="1" x14ac:dyDescent="0.2">
      <c r="C127" s="1"/>
      <c r="D127" s="1"/>
    </row>
    <row r="128" spans="3:4" ht="15.75" customHeight="1" x14ac:dyDescent="0.2">
      <c r="C128" s="1"/>
      <c r="D128" s="1"/>
    </row>
    <row r="129" spans="3:4" ht="15.75" customHeight="1" x14ac:dyDescent="0.2">
      <c r="C129" s="1"/>
      <c r="D129" s="1"/>
    </row>
    <row r="130" spans="3:4" ht="15.75" customHeight="1" x14ac:dyDescent="0.2">
      <c r="C130" s="1"/>
      <c r="D130" s="1"/>
    </row>
    <row r="131" spans="3:4" ht="15.75" customHeight="1" x14ac:dyDescent="0.2">
      <c r="C131" s="1"/>
      <c r="D131" s="1"/>
    </row>
    <row r="132" spans="3:4" ht="15.75" customHeight="1" x14ac:dyDescent="0.2">
      <c r="C132" s="1"/>
      <c r="D132" s="1"/>
    </row>
    <row r="133" spans="3:4" ht="15.75" customHeight="1" x14ac:dyDescent="0.2">
      <c r="C133" s="1"/>
      <c r="D133" s="1"/>
    </row>
    <row r="134" spans="3:4" ht="15.75" customHeight="1" x14ac:dyDescent="0.2">
      <c r="C134" s="1"/>
      <c r="D134" s="1"/>
    </row>
    <row r="135" spans="3:4" ht="15.75" customHeight="1" x14ac:dyDescent="0.2">
      <c r="C135" s="1"/>
      <c r="D135" s="1"/>
    </row>
    <row r="136" spans="3:4" ht="15.75" customHeight="1" x14ac:dyDescent="0.2">
      <c r="C136" s="1"/>
      <c r="D136" s="1"/>
    </row>
    <row r="137" spans="3:4" ht="15.75" customHeight="1" x14ac:dyDescent="0.2">
      <c r="C137" s="1"/>
      <c r="D137" s="1"/>
    </row>
    <row r="138" spans="3:4" ht="15.75" customHeight="1" x14ac:dyDescent="0.2">
      <c r="C138" s="1"/>
      <c r="D138" s="1"/>
    </row>
    <row r="139" spans="3:4" ht="15.75" customHeight="1" x14ac:dyDescent="0.2">
      <c r="C139" s="1"/>
      <c r="D139" s="1"/>
    </row>
    <row r="140" spans="3:4" ht="15.75" customHeight="1" x14ac:dyDescent="0.2">
      <c r="C140" s="1"/>
      <c r="D140" s="1"/>
    </row>
    <row r="141" spans="3:4" ht="15.75" customHeight="1" x14ac:dyDescent="0.2">
      <c r="C141" s="1"/>
      <c r="D141" s="1"/>
    </row>
    <row r="142" spans="3:4" ht="15.75" customHeight="1" x14ac:dyDescent="0.2">
      <c r="C142" s="1"/>
      <c r="D142" s="1"/>
    </row>
    <row r="143" spans="3:4" ht="15.75" customHeight="1" x14ac:dyDescent="0.2">
      <c r="C143" s="1"/>
      <c r="D143" s="1"/>
    </row>
    <row r="144" spans="3:4" ht="15.75" customHeight="1" x14ac:dyDescent="0.2">
      <c r="C144" s="1"/>
      <c r="D144" s="1"/>
    </row>
    <row r="145" spans="3:4" ht="15.75" customHeight="1" x14ac:dyDescent="0.2">
      <c r="C145" s="1"/>
      <c r="D145" s="1"/>
    </row>
    <row r="146" spans="3:4" ht="15.75" customHeight="1" x14ac:dyDescent="0.2">
      <c r="C146" s="1"/>
      <c r="D146" s="1"/>
    </row>
    <row r="147" spans="3:4" ht="15.75" customHeight="1" x14ac:dyDescent="0.2">
      <c r="C147" s="1"/>
      <c r="D147" s="1"/>
    </row>
    <row r="148" spans="3:4" ht="15.75" customHeight="1" x14ac:dyDescent="0.2">
      <c r="C148" s="1"/>
      <c r="D148" s="1"/>
    </row>
    <row r="149" spans="3:4" ht="15.75" customHeight="1" x14ac:dyDescent="0.2">
      <c r="C149" s="1"/>
      <c r="D149" s="1"/>
    </row>
    <row r="150" spans="3:4" ht="15.75" customHeight="1" x14ac:dyDescent="0.2">
      <c r="C150" s="1"/>
      <c r="D150" s="1"/>
    </row>
    <row r="151" spans="3:4" ht="15.75" customHeight="1" x14ac:dyDescent="0.2">
      <c r="C151" s="1"/>
      <c r="D151" s="1"/>
    </row>
    <row r="152" spans="3:4" ht="15.75" customHeight="1" x14ac:dyDescent="0.2">
      <c r="C152" s="1"/>
      <c r="D152" s="1"/>
    </row>
    <row r="153" spans="3:4" ht="15.75" customHeight="1" x14ac:dyDescent="0.2">
      <c r="C153" s="1"/>
      <c r="D153" s="1"/>
    </row>
    <row r="154" spans="3:4" ht="15.75" customHeight="1" x14ac:dyDescent="0.2">
      <c r="C154" s="1"/>
      <c r="D154" s="1"/>
    </row>
    <row r="155" spans="3:4" ht="15.75" customHeight="1" x14ac:dyDescent="0.2">
      <c r="C155" s="1"/>
      <c r="D155" s="1"/>
    </row>
    <row r="156" spans="3:4" ht="15.75" customHeight="1" x14ac:dyDescent="0.2">
      <c r="C156" s="1"/>
      <c r="D156" s="1"/>
    </row>
    <row r="157" spans="3:4" ht="15.75" customHeight="1" x14ac:dyDescent="0.2">
      <c r="C157" s="1"/>
      <c r="D157" s="1"/>
    </row>
    <row r="158" spans="3:4" ht="15.75" customHeight="1" x14ac:dyDescent="0.2">
      <c r="C158" s="1"/>
      <c r="D158" s="1"/>
    </row>
    <row r="159" spans="3:4" ht="15.75" customHeight="1" x14ac:dyDescent="0.2">
      <c r="C159" s="1"/>
      <c r="D159" s="1"/>
    </row>
    <row r="160" spans="3:4" ht="15.75" customHeight="1" x14ac:dyDescent="0.2">
      <c r="C160" s="1"/>
      <c r="D160" s="1"/>
    </row>
    <row r="161" spans="3:4" ht="15.75" customHeight="1" x14ac:dyDescent="0.2">
      <c r="C161" s="1"/>
      <c r="D161" s="1"/>
    </row>
    <row r="162" spans="3:4" ht="15.75" customHeight="1" x14ac:dyDescent="0.2">
      <c r="C162" s="1"/>
      <c r="D162" s="1"/>
    </row>
    <row r="163" spans="3:4" ht="15.75" customHeight="1" x14ac:dyDescent="0.2">
      <c r="C163" s="1"/>
      <c r="D163" s="1"/>
    </row>
    <row r="164" spans="3:4" ht="15.75" customHeight="1" x14ac:dyDescent="0.2">
      <c r="C164" s="1"/>
      <c r="D164" s="1"/>
    </row>
    <row r="165" spans="3:4" ht="15.75" customHeight="1" x14ac:dyDescent="0.2">
      <c r="C165" s="1"/>
      <c r="D165" s="1"/>
    </row>
    <row r="166" spans="3:4" ht="15.75" customHeight="1" x14ac:dyDescent="0.2">
      <c r="C166" s="1"/>
      <c r="D166" s="1"/>
    </row>
    <row r="167" spans="3:4" ht="15.75" customHeight="1" x14ac:dyDescent="0.2">
      <c r="C167" s="1"/>
      <c r="D167" s="1"/>
    </row>
    <row r="168" spans="3:4" ht="15.75" customHeight="1" x14ac:dyDescent="0.2">
      <c r="C168" s="1"/>
      <c r="D168" s="1"/>
    </row>
    <row r="169" spans="3:4" ht="15.75" customHeight="1" x14ac:dyDescent="0.2">
      <c r="C169" s="1"/>
      <c r="D169" s="1"/>
    </row>
    <row r="170" spans="3:4" ht="15.75" customHeight="1" x14ac:dyDescent="0.2">
      <c r="C170" s="1"/>
      <c r="D170" s="1"/>
    </row>
    <row r="171" spans="3:4" ht="15.75" customHeight="1" x14ac:dyDescent="0.2">
      <c r="C171" s="1"/>
      <c r="D171" s="1"/>
    </row>
    <row r="172" spans="3:4" ht="15.75" customHeight="1" x14ac:dyDescent="0.2">
      <c r="C172" s="1"/>
      <c r="D172" s="1"/>
    </row>
    <row r="173" spans="3:4" ht="15.75" customHeight="1" x14ac:dyDescent="0.2">
      <c r="C173" s="1"/>
      <c r="D173" s="1"/>
    </row>
    <row r="174" spans="3:4" ht="15.75" customHeight="1" x14ac:dyDescent="0.2">
      <c r="C174" s="1"/>
      <c r="D174" s="1"/>
    </row>
    <row r="175" spans="3:4" ht="15.75" customHeight="1" x14ac:dyDescent="0.2">
      <c r="C175" s="1"/>
      <c r="D175" s="1"/>
    </row>
    <row r="176" spans="3:4" ht="15.75" customHeight="1" x14ac:dyDescent="0.2">
      <c r="C176" s="1"/>
      <c r="D176" s="1"/>
    </row>
    <row r="177" spans="3:4" ht="15.75" customHeight="1" x14ac:dyDescent="0.2">
      <c r="C177" s="1"/>
      <c r="D177" s="1"/>
    </row>
    <row r="178" spans="3:4" ht="15.75" customHeight="1" x14ac:dyDescent="0.2">
      <c r="C178" s="1"/>
      <c r="D178" s="1"/>
    </row>
    <row r="179" spans="3:4" ht="15.75" customHeight="1" x14ac:dyDescent="0.2">
      <c r="C179" s="1"/>
      <c r="D179" s="1"/>
    </row>
    <row r="180" spans="3:4" ht="15.75" customHeight="1" x14ac:dyDescent="0.2">
      <c r="C180" s="1"/>
      <c r="D180" s="1"/>
    </row>
    <row r="181" spans="3:4" ht="15.75" customHeight="1" x14ac:dyDescent="0.2">
      <c r="C181" s="1"/>
      <c r="D181" s="1"/>
    </row>
    <row r="182" spans="3:4" ht="15.75" customHeight="1" x14ac:dyDescent="0.2">
      <c r="C182" s="1"/>
      <c r="D182" s="1"/>
    </row>
    <row r="183" spans="3:4" ht="15.75" customHeight="1" x14ac:dyDescent="0.2">
      <c r="C183" s="1"/>
      <c r="D183" s="1"/>
    </row>
    <row r="184" spans="3:4" ht="15.75" customHeight="1" x14ac:dyDescent="0.2">
      <c r="C184" s="1"/>
      <c r="D184" s="1"/>
    </row>
    <row r="185" spans="3:4" ht="15.75" customHeight="1" x14ac:dyDescent="0.2">
      <c r="C185" s="1"/>
      <c r="D185" s="1"/>
    </row>
    <row r="186" spans="3:4" ht="15.75" customHeight="1" x14ac:dyDescent="0.2">
      <c r="C186" s="1"/>
      <c r="D186" s="1"/>
    </row>
    <row r="187" spans="3:4" ht="15.75" customHeight="1" x14ac:dyDescent="0.2">
      <c r="C187" s="1"/>
      <c r="D187" s="1"/>
    </row>
    <row r="188" spans="3:4" ht="15.75" customHeight="1" x14ac:dyDescent="0.2">
      <c r="C188" s="1"/>
      <c r="D188" s="1"/>
    </row>
    <row r="189" spans="3:4" ht="15.75" customHeight="1" x14ac:dyDescent="0.2">
      <c r="C189" s="1"/>
      <c r="D189" s="1"/>
    </row>
    <row r="190" spans="3:4" ht="15.75" customHeight="1" x14ac:dyDescent="0.2">
      <c r="C190" s="1"/>
      <c r="D190" s="1"/>
    </row>
    <row r="191" spans="3:4" ht="15.75" customHeight="1" x14ac:dyDescent="0.2">
      <c r="C191" s="1"/>
      <c r="D191" s="1"/>
    </row>
    <row r="192" spans="3:4" ht="15.75" customHeight="1" x14ac:dyDescent="0.2">
      <c r="C192" s="1"/>
      <c r="D192" s="1"/>
    </row>
    <row r="193" spans="3:4" ht="15.75" customHeight="1" x14ac:dyDescent="0.2">
      <c r="C193" s="1"/>
      <c r="D193" s="1"/>
    </row>
    <row r="194" spans="3:4" ht="15.75" customHeight="1" x14ac:dyDescent="0.2">
      <c r="C194" s="1"/>
      <c r="D194" s="1"/>
    </row>
    <row r="195" spans="3:4" ht="15.75" customHeight="1" x14ac:dyDescent="0.2">
      <c r="C195" s="1"/>
      <c r="D195" s="1"/>
    </row>
    <row r="196" spans="3:4" ht="15.75" customHeight="1" x14ac:dyDescent="0.2">
      <c r="C196" s="1"/>
      <c r="D196" s="1"/>
    </row>
    <row r="197" spans="3:4" ht="15.75" customHeight="1" x14ac:dyDescent="0.2">
      <c r="C197" s="1"/>
      <c r="D197" s="1"/>
    </row>
    <row r="198" spans="3:4" ht="15.75" customHeight="1" x14ac:dyDescent="0.2">
      <c r="C198" s="1"/>
      <c r="D198" s="1"/>
    </row>
    <row r="199" spans="3:4" ht="15.75" customHeight="1" x14ac:dyDescent="0.2">
      <c r="C199" s="1"/>
      <c r="D199" s="1"/>
    </row>
    <row r="200" spans="3:4" ht="15.75" customHeight="1" x14ac:dyDescent="0.2">
      <c r="C200" s="1"/>
      <c r="D200" s="1"/>
    </row>
    <row r="201" spans="3:4" ht="15.75" customHeight="1" x14ac:dyDescent="0.2">
      <c r="C201" s="1"/>
      <c r="D201" s="1"/>
    </row>
    <row r="202" spans="3:4" ht="15.75" customHeight="1" x14ac:dyDescent="0.2">
      <c r="C202" s="1"/>
      <c r="D202" s="1"/>
    </row>
    <row r="203" spans="3:4" ht="15.75" customHeight="1" x14ac:dyDescent="0.2">
      <c r="C203" s="1"/>
      <c r="D203" s="1"/>
    </row>
    <row r="204" spans="3:4" ht="15.75" customHeight="1" x14ac:dyDescent="0.2">
      <c r="C204" s="1"/>
      <c r="D204" s="1"/>
    </row>
    <row r="205" spans="3:4" ht="15.75" customHeight="1" x14ac:dyDescent="0.2">
      <c r="C205" s="1"/>
      <c r="D205" s="1"/>
    </row>
    <row r="206" spans="3:4" ht="15.75" customHeight="1" x14ac:dyDescent="0.2">
      <c r="C206" s="1"/>
      <c r="D206" s="1"/>
    </row>
    <row r="207" spans="3:4" ht="15.75" customHeight="1" x14ac:dyDescent="0.2">
      <c r="C207" s="1"/>
      <c r="D207" s="1"/>
    </row>
    <row r="208" spans="3:4" ht="15.75" customHeight="1" x14ac:dyDescent="0.2">
      <c r="C208" s="1"/>
      <c r="D208" s="1"/>
    </row>
    <row r="209" spans="3:4" ht="15.75" customHeight="1" x14ac:dyDescent="0.2">
      <c r="C209" s="1"/>
      <c r="D209" s="1"/>
    </row>
    <row r="210" spans="3:4" ht="15.75" customHeight="1" x14ac:dyDescent="0.2">
      <c r="C210" s="1"/>
      <c r="D210" s="1"/>
    </row>
    <row r="211" spans="3:4" ht="15.75" customHeight="1" x14ac:dyDescent="0.2">
      <c r="C211" s="1"/>
      <c r="D211" s="1"/>
    </row>
    <row r="212" spans="3:4" ht="15.75" customHeight="1" x14ac:dyDescent="0.2">
      <c r="C212" s="1"/>
      <c r="D212" s="1"/>
    </row>
    <row r="213" spans="3:4" ht="15.75" customHeight="1" x14ac:dyDescent="0.2">
      <c r="C213" s="1"/>
      <c r="D213" s="1"/>
    </row>
    <row r="214" spans="3:4" ht="15.75" customHeight="1" x14ac:dyDescent="0.2">
      <c r="C214" s="1"/>
      <c r="D214" s="1"/>
    </row>
    <row r="215" spans="3:4" ht="15.75" customHeight="1" x14ac:dyDescent="0.2">
      <c r="C215" s="1"/>
      <c r="D215" s="1"/>
    </row>
    <row r="216" spans="3:4" ht="15.75" customHeight="1" x14ac:dyDescent="0.2">
      <c r="C216" s="1"/>
      <c r="D216" s="1"/>
    </row>
    <row r="217" spans="3:4" ht="15.75" customHeight="1" x14ac:dyDescent="0.2">
      <c r="C217" s="1"/>
      <c r="D217" s="1"/>
    </row>
    <row r="218" spans="3:4" ht="15.75" customHeight="1" x14ac:dyDescent="0.2">
      <c r="C218" s="1"/>
      <c r="D218" s="1"/>
    </row>
    <row r="219" spans="3:4" ht="15.75" customHeight="1" x14ac:dyDescent="0.2">
      <c r="C219" s="1"/>
      <c r="D219" s="1"/>
    </row>
    <row r="220" spans="3:4" ht="15.75" customHeight="1" x14ac:dyDescent="0.2">
      <c r="C220" s="1"/>
      <c r="D220" s="1"/>
    </row>
    <row r="221" spans="3:4" ht="15.75" customHeight="1" x14ac:dyDescent="0.2">
      <c r="C221" s="1"/>
      <c r="D221" s="1"/>
    </row>
    <row r="222" spans="3:4" ht="15.75" customHeight="1" x14ac:dyDescent="0.2">
      <c r="C222" s="1"/>
      <c r="D222" s="1"/>
    </row>
    <row r="223" spans="3:4" ht="15.75" customHeight="1" x14ac:dyDescent="0.2">
      <c r="C223" s="1"/>
      <c r="D223" s="1"/>
    </row>
    <row r="224" spans="3:4" ht="15.75" customHeight="1" x14ac:dyDescent="0.2">
      <c r="C224" s="1"/>
      <c r="D224" s="1"/>
    </row>
    <row r="225" spans="3:4" ht="15.75" customHeight="1" x14ac:dyDescent="0.2">
      <c r="C225" s="1"/>
      <c r="D225" s="1"/>
    </row>
    <row r="226" spans="3:4" ht="15.75" customHeight="1" x14ac:dyDescent="0.2">
      <c r="C226" s="1"/>
      <c r="D226" s="1"/>
    </row>
    <row r="227" spans="3:4" ht="15.75" customHeight="1" x14ac:dyDescent="0.2">
      <c r="C227" s="1"/>
      <c r="D227" s="1"/>
    </row>
    <row r="228" spans="3:4" ht="15.75" customHeight="1" x14ac:dyDescent="0.2">
      <c r="C228" s="1"/>
      <c r="D228" s="1"/>
    </row>
    <row r="229" spans="3:4" ht="15.75" customHeight="1" x14ac:dyDescent="0.2">
      <c r="C229" s="1"/>
      <c r="D229" s="1"/>
    </row>
    <row r="230" spans="3:4" ht="15.75" customHeight="1" x14ac:dyDescent="0.2">
      <c r="C230" s="1"/>
      <c r="D230" s="1"/>
    </row>
    <row r="231" spans="3:4" ht="15.75" customHeight="1" x14ac:dyDescent="0.2">
      <c r="C231" s="1"/>
      <c r="D231" s="1"/>
    </row>
    <row r="232" spans="3:4" ht="15.75" customHeight="1" x14ac:dyDescent="0.2">
      <c r="C232" s="1"/>
      <c r="D232" s="1"/>
    </row>
    <row r="233" spans="3:4" ht="15.75" customHeight="1" x14ac:dyDescent="0.2">
      <c r="C233" s="1"/>
      <c r="D233" s="1"/>
    </row>
    <row r="234" spans="3:4" ht="15.75" customHeight="1" x14ac:dyDescent="0.2">
      <c r="C234" s="1"/>
      <c r="D234" s="1"/>
    </row>
    <row r="235" spans="3:4" ht="15.75" customHeight="1" x14ac:dyDescent="0.2">
      <c r="C235" s="1"/>
      <c r="D235" s="1"/>
    </row>
    <row r="236" spans="3:4" ht="15.75" customHeight="1" x14ac:dyDescent="0.2">
      <c r="C236" s="1"/>
      <c r="D236" s="1"/>
    </row>
    <row r="237" spans="3:4" ht="15.75" customHeight="1" x14ac:dyDescent="0.2">
      <c r="C237" s="1"/>
      <c r="D237" s="1"/>
    </row>
    <row r="238" spans="3:4" ht="15.75" customHeight="1" x14ac:dyDescent="0.2">
      <c r="C238" s="1"/>
      <c r="D238" s="1"/>
    </row>
    <row r="239" spans="3:4" ht="15.75" customHeight="1" x14ac:dyDescent="0.2">
      <c r="C239" s="1"/>
      <c r="D239" s="1"/>
    </row>
    <row r="240" spans="3:4" ht="15.75" customHeight="1" x14ac:dyDescent="0.2">
      <c r="C240" s="1"/>
      <c r="D240" s="1"/>
    </row>
    <row r="241" spans="3:4" ht="15.75" customHeight="1" x14ac:dyDescent="0.2">
      <c r="C241" s="1"/>
      <c r="D241" s="1"/>
    </row>
    <row r="242" spans="3:4" ht="15.75" customHeight="1" x14ac:dyDescent="0.2">
      <c r="C242" s="1"/>
      <c r="D242" s="1"/>
    </row>
    <row r="243" spans="3:4" ht="15.75" customHeight="1" x14ac:dyDescent="0.2">
      <c r="C243" s="1"/>
      <c r="D243" s="1"/>
    </row>
    <row r="244" spans="3:4" ht="15.75" customHeight="1" x14ac:dyDescent="0.2">
      <c r="C244" s="1"/>
      <c r="D244" s="1"/>
    </row>
    <row r="245" spans="3:4" ht="15.75" customHeight="1" x14ac:dyDescent="0.2">
      <c r="C245" s="1"/>
      <c r="D245" s="1"/>
    </row>
    <row r="246" spans="3:4" ht="15.75" customHeight="1" x14ac:dyDescent="0.2">
      <c r="C246" s="1"/>
      <c r="D246" s="1"/>
    </row>
    <row r="247" spans="3:4" ht="15.75" customHeight="1" x14ac:dyDescent="0.2">
      <c r="C247" s="1"/>
      <c r="D247" s="1"/>
    </row>
    <row r="248" spans="3:4" ht="15.75" customHeight="1" x14ac:dyDescent="0.2">
      <c r="C248" s="1"/>
      <c r="D248" s="1"/>
    </row>
    <row r="249" spans="3:4" ht="15.75" customHeight="1" x14ac:dyDescent="0.2">
      <c r="C249" s="1"/>
      <c r="D249" s="1"/>
    </row>
    <row r="250" spans="3:4" ht="15.75" customHeight="1" x14ac:dyDescent="0.2">
      <c r="C250" s="1"/>
      <c r="D250" s="1"/>
    </row>
    <row r="251" spans="3:4" ht="15.75" customHeight="1" x14ac:dyDescent="0.2">
      <c r="C251" s="1"/>
      <c r="D251" s="1"/>
    </row>
    <row r="252" spans="3:4" ht="15.75" customHeight="1" x14ac:dyDescent="0.2">
      <c r="C252" s="1"/>
      <c r="D252" s="1"/>
    </row>
    <row r="253" spans="3:4" ht="15.75" customHeight="1" x14ac:dyDescent="0.2">
      <c r="C253" s="1"/>
      <c r="D253" s="1"/>
    </row>
    <row r="254" spans="3:4" ht="15.75" customHeight="1" x14ac:dyDescent="0.2">
      <c r="C254" s="1"/>
      <c r="D254" s="1"/>
    </row>
    <row r="255" spans="3:4" ht="15.75" customHeight="1" x14ac:dyDescent="0.2">
      <c r="C255" s="1"/>
      <c r="D255" s="1"/>
    </row>
    <row r="256" spans="3:4" ht="15.75" customHeight="1" x14ac:dyDescent="0.2">
      <c r="C256" s="1"/>
      <c r="D256" s="1"/>
    </row>
    <row r="257" spans="3:4" ht="15.75" customHeight="1" x14ac:dyDescent="0.2">
      <c r="C257" s="1"/>
      <c r="D257" s="1"/>
    </row>
    <row r="258" spans="3:4" ht="15.75" customHeight="1" x14ac:dyDescent="0.2">
      <c r="C258" s="1"/>
      <c r="D258" s="1"/>
    </row>
    <row r="259" spans="3:4" ht="15.75" customHeight="1" x14ac:dyDescent="0.2">
      <c r="C259" s="1"/>
      <c r="D259" s="1"/>
    </row>
    <row r="260" spans="3:4" ht="15.75" customHeight="1" x14ac:dyDescent="0.2">
      <c r="C260" s="1"/>
      <c r="D260" s="1"/>
    </row>
    <row r="261" spans="3:4" ht="15.75" customHeight="1" x14ac:dyDescent="0.2">
      <c r="C261" s="1"/>
      <c r="D261" s="1"/>
    </row>
    <row r="262" spans="3:4" ht="15.75" customHeight="1" x14ac:dyDescent="0.2">
      <c r="C262" s="1"/>
      <c r="D262" s="1"/>
    </row>
    <row r="263" spans="3:4" ht="15.75" customHeight="1" x14ac:dyDescent="0.2">
      <c r="C263" s="1"/>
      <c r="D263" s="1"/>
    </row>
    <row r="264" spans="3:4" ht="15.75" customHeight="1" x14ac:dyDescent="0.2">
      <c r="C264" s="1"/>
      <c r="D264" s="1"/>
    </row>
    <row r="265" spans="3:4" ht="15.75" customHeight="1" x14ac:dyDescent="0.2">
      <c r="C265" s="1"/>
      <c r="D265" s="1"/>
    </row>
    <row r="266" spans="3:4" ht="15.75" customHeight="1" x14ac:dyDescent="0.2">
      <c r="C266" s="1"/>
      <c r="D266" s="1"/>
    </row>
    <row r="267" spans="3:4" ht="15.75" customHeight="1" x14ac:dyDescent="0.2">
      <c r="C267" s="1"/>
      <c r="D267" s="1"/>
    </row>
    <row r="268" spans="3:4" ht="15.75" customHeight="1" x14ac:dyDescent="0.2">
      <c r="C268" s="1"/>
      <c r="D268" s="1"/>
    </row>
    <row r="269" spans="3:4" ht="15.75" customHeight="1" x14ac:dyDescent="0.2">
      <c r="C269" s="1"/>
      <c r="D269" s="1"/>
    </row>
    <row r="270" spans="3:4" ht="15.75" customHeight="1" x14ac:dyDescent="0.2">
      <c r="C270" s="1"/>
      <c r="D270" s="1"/>
    </row>
    <row r="271" spans="3:4" ht="15.75" customHeight="1" x14ac:dyDescent="0.2">
      <c r="C271" s="1"/>
      <c r="D271" s="1"/>
    </row>
    <row r="272" spans="3:4" ht="15.75" customHeight="1" x14ac:dyDescent="0.2">
      <c r="C272" s="1"/>
      <c r="D272" s="1"/>
    </row>
    <row r="273" spans="3:4" ht="15.75" customHeight="1" x14ac:dyDescent="0.2">
      <c r="C273" s="1"/>
      <c r="D273" s="1"/>
    </row>
    <row r="274" spans="3:4" ht="15.75" customHeight="1" x14ac:dyDescent="0.2">
      <c r="C274" s="1"/>
      <c r="D274" s="1"/>
    </row>
    <row r="275" spans="3:4" ht="15.75" customHeight="1" x14ac:dyDescent="0.2">
      <c r="C275" s="1"/>
      <c r="D275" s="1"/>
    </row>
    <row r="276" spans="3:4" ht="15.75" customHeight="1" x14ac:dyDescent="0.2">
      <c r="C276" s="1"/>
      <c r="D276" s="1"/>
    </row>
    <row r="277" spans="3:4" ht="15.75" customHeight="1" x14ac:dyDescent="0.2">
      <c r="C277" s="1"/>
      <c r="D277" s="1"/>
    </row>
    <row r="278" spans="3:4" ht="15.75" customHeight="1" x14ac:dyDescent="0.2">
      <c r="C278" s="1"/>
      <c r="D278" s="1"/>
    </row>
    <row r="279" spans="3:4" ht="15.75" customHeight="1" x14ac:dyDescent="0.2">
      <c r="C279" s="1"/>
      <c r="D279" s="1"/>
    </row>
    <row r="280" spans="3:4" ht="15.75" customHeight="1" x14ac:dyDescent="0.2">
      <c r="C280" s="1"/>
      <c r="D280" s="1"/>
    </row>
    <row r="281" spans="3:4" ht="15.75" customHeight="1" x14ac:dyDescent="0.2">
      <c r="C281" s="1"/>
      <c r="D281" s="1"/>
    </row>
    <row r="282" spans="3:4" ht="15.75" customHeight="1" x14ac:dyDescent="0.2">
      <c r="C282" s="1"/>
      <c r="D282" s="1"/>
    </row>
    <row r="283" spans="3:4" ht="15.75" customHeight="1" x14ac:dyDescent="0.2">
      <c r="C283" s="1"/>
      <c r="D283" s="1"/>
    </row>
    <row r="284" spans="3:4" ht="15.75" customHeight="1" x14ac:dyDescent="0.2">
      <c r="C284" s="1"/>
      <c r="D284" s="1"/>
    </row>
    <row r="285" spans="3:4" ht="15.75" customHeight="1" x14ac:dyDescent="0.2">
      <c r="C285" s="1"/>
      <c r="D285" s="1"/>
    </row>
    <row r="286" spans="3:4" ht="15.75" customHeight="1" x14ac:dyDescent="0.2">
      <c r="C286" s="1"/>
      <c r="D286" s="1"/>
    </row>
    <row r="287" spans="3:4" ht="15.75" customHeight="1" x14ac:dyDescent="0.2">
      <c r="C287" s="1"/>
      <c r="D287" s="1"/>
    </row>
    <row r="288" spans="3:4" ht="15.75" customHeight="1" x14ac:dyDescent="0.2">
      <c r="C288" s="1"/>
      <c r="D288" s="1"/>
    </row>
    <row r="289" spans="3:4" ht="15.75" customHeight="1" x14ac:dyDescent="0.2">
      <c r="C289" s="1"/>
      <c r="D289" s="1"/>
    </row>
    <row r="290" spans="3:4" ht="15.75" customHeight="1" x14ac:dyDescent="0.2">
      <c r="C290" s="1"/>
      <c r="D290" s="1"/>
    </row>
    <row r="291" spans="3:4" ht="15.75" customHeight="1" x14ac:dyDescent="0.2">
      <c r="C291" s="1"/>
      <c r="D291" s="1"/>
    </row>
    <row r="292" spans="3:4" ht="15.75" customHeight="1" x14ac:dyDescent="0.2">
      <c r="C292" s="1"/>
      <c r="D292" s="1"/>
    </row>
    <row r="293" spans="3:4" ht="15.75" customHeight="1" x14ac:dyDescent="0.2">
      <c r="C293" s="1"/>
      <c r="D293" s="1"/>
    </row>
    <row r="294" spans="3:4" ht="15.75" customHeight="1" x14ac:dyDescent="0.2">
      <c r="C294" s="1"/>
      <c r="D294" s="1"/>
    </row>
    <row r="295" spans="3:4" ht="15.75" customHeight="1" x14ac:dyDescent="0.2">
      <c r="C295" s="1"/>
      <c r="D295" s="1"/>
    </row>
    <row r="296" spans="3:4" ht="15.75" customHeight="1" x14ac:dyDescent="0.2">
      <c r="C296" s="1"/>
      <c r="D296" s="1"/>
    </row>
    <row r="297" spans="3:4" ht="15.75" customHeight="1" x14ac:dyDescent="0.2">
      <c r="C297" s="1"/>
      <c r="D297" s="1"/>
    </row>
    <row r="298" spans="3:4" ht="15.75" customHeight="1" x14ac:dyDescent="0.2">
      <c r="C298" s="1"/>
      <c r="D298" s="1"/>
    </row>
    <row r="299" spans="3:4" ht="15.75" customHeight="1" x14ac:dyDescent="0.2">
      <c r="C299" s="1"/>
      <c r="D299" s="1"/>
    </row>
    <row r="300" spans="3:4" ht="15.75" customHeight="1" x14ac:dyDescent="0.2">
      <c r="C300" s="1"/>
      <c r="D300" s="1"/>
    </row>
    <row r="301" spans="3:4" ht="15.75" customHeight="1" x14ac:dyDescent="0.2">
      <c r="C301" s="1"/>
      <c r="D301" s="1"/>
    </row>
    <row r="302" spans="3:4" ht="15.75" customHeight="1" x14ac:dyDescent="0.2">
      <c r="C302" s="1"/>
      <c r="D302" s="1"/>
    </row>
    <row r="303" spans="3:4" ht="15.75" customHeight="1" x14ac:dyDescent="0.2">
      <c r="C303" s="1"/>
      <c r="D303" s="1"/>
    </row>
    <row r="304" spans="3:4" ht="15.75" customHeight="1" x14ac:dyDescent="0.2">
      <c r="C304" s="1"/>
      <c r="D304" s="1"/>
    </row>
    <row r="305" spans="3:4" ht="15.75" customHeight="1" x14ac:dyDescent="0.2">
      <c r="C305" s="1"/>
      <c r="D305" s="1"/>
    </row>
    <row r="306" spans="3:4" ht="15.75" customHeight="1" x14ac:dyDescent="0.2">
      <c r="C306" s="1"/>
      <c r="D306" s="1"/>
    </row>
    <row r="307" spans="3:4" ht="15.75" customHeight="1" x14ac:dyDescent="0.2">
      <c r="C307" s="1"/>
      <c r="D307" s="1"/>
    </row>
    <row r="308" spans="3:4" ht="15.75" customHeight="1" x14ac:dyDescent="0.2">
      <c r="C308" s="1"/>
      <c r="D308" s="1"/>
    </row>
    <row r="309" spans="3:4" ht="15.75" customHeight="1" x14ac:dyDescent="0.2">
      <c r="C309" s="1"/>
      <c r="D309" s="1"/>
    </row>
    <row r="310" spans="3:4" ht="15.75" customHeight="1" x14ac:dyDescent="0.2">
      <c r="C310" s="1"/>
      <c r="D310" s="1"/>
    </row>
    <row r="311" spans="3:4" ht="15.75" customHeight="1" x14ac:dyDescent="0.2">
      <c r="C311" s="1"/>
      <c r="D311" s="1"/>
    </row>
    <row r="312" spans="3:4" ht="15.75" customHeight="1" x14ac:dyDescent="0.2">
      <c r="C312" s="1"/>
      <c r="D312" s="1"/>
    </row>
    <row r="313" spans="3:4" ht="15.75" customHeight="1" x14ac:dyDescent="0.2">
      <c r="C313" s="1"/>
      <c r="D313" s="1"/>
    </row>
    <row r="314" spans="3:4" ht="15.75" customHeight="1" x14ac:dyDescent="0.2">
      <c r="C314" s="1"/>
      <c r="D314" s="1"/>
    </row>
    <row r="315" spans="3:4" ht="15.75" customHeight="1" x14ac:dyDescent="0.2">
      <c r="C315" s="1"/>
      <c r="D315" s="1"/>
    </row>
    <row r="316" spans="3:4" ht="15.75" customHeight="1" x14ac:dyDescent="0.2">
      <c r="C316" s="1"/>
      <c r="D316" s="1"/>
    </row>
    <row r="317" spans="3:4" ht="15.75" customHeight="1" x14ac:dyDescent="0.2">
      <c r="C317" s="1"/>
      <c r="D317" s="1"/>
    </row>
    <row r="318" spans="3:4" ht="15.75" customHeight="1" x14ac:dyDescent="0.2">
      <c r="C318" s="1"/>
      <c r="D318" s="1"/>
    </row>
    <row r="319" spans="3:4" ht="15.75" customHeight="1" x14ac:dyDescent="0.2">
      <c r="C319" s="1"/>
      <c r="D319" s="1"/>
    </row>
    <row r="320" spans="3:4" ht="15.75" customHeight="1" x14ac:dyDescent="0.2">
      <c r="C320" s="1"/>
      <c r="D320" s="1"/>
    </row>
    <row r="321" spans="3:4" ht="15.75" customHeight="1" x14ac:dyDescent="0.2">
      <c r="C321" s="1"/>
      <c r="D321" s="1"/>
    </row>
    <row r="322" spans="3:4" ht="15.75" customHeight="1" x14ac:dyDescent="0.2">
      <c r="C322" s="1"/>
      <c r="D322" s="1"/>
    </row>
    <row r="323" spans="3:4" ht="15.75" customHeight="1" x14ac:dyDescent="0.2">
      <c r="C323" s="1"/>
      <c r="D323" s="1"/>
    </row>
    <row r="324" spans="3:4" ht="15.75" customHeight="1" x14ac:dyDescent="0.2">
      <c r="C324" s="1"/>
      <c r="D324" s="1"/>
    </row>
    <row r="325" spans="3:4" ht="15.75" customHeight="1" x14ac:dyDescent="0.2">
      <c r="C325" s="1"/>
      <c r="D325" s="1"/>
    </row>
    <row r="326" spans="3:4" ht="15.75" customHeight="1" x14ac:dyDescent="0.2">
      <c r="C326" s="1"/>
      <c r="D326" s="1"/>
    </row>
    <row r="327" spans="3:4" ht="15.75" customHeight="1" x14ac:dyDescent="0.2">
      <c r="C327" s="1"/>
      <c r="D327" s="1"/>
    </row>
    <row r="328" spans="3:4" ht="15.75" customHeight="1" x14ac:dyDescent="0.2">
      <c r="C328" s="1"/>
      <c r="D328" s="1"/>
    </row>
    <row r="329" spans="3:4" ht="15.75" customHeight="1" x14ac:dyDescent="0.2">
      <c r="C329" s="1"/>
      <c r="D329" s="1"/>
    </row>
    <row r="330" spans="3:4" ht="15.75" customHeight="1" x14ac:dyDescent="0.2">
      <c r="C330" s="1"/>
      <c r="D330" s="1"/>
    </row>
    <row r="331" spans="3:4" ht="15.75" customHeight="1" x14ac:dyDescent="0.2">
      <c r="C331" s="1"/>
      <c r="D331" s="1"/>
    </row>
    <row r="332" spans="3:4" ht="15.75" customHeight="1" x14ac:dyDescent="0.2">
      <c r="C332" s="1"/>
      <c r="D332" s="1"/>
    </row>
    <row r="333" spans="3:4" ht="15.75" customHeight="1" x14ac:dyDescent="0.2">
      <c r="C333" s="1"/>
      <c r="D333" s="1"/>
    </row>
    <row r="334" spans="3:4" ht="15.75" customHeight="1" x14ac:dyDescent="0.2">
      <c r="C334" s="1"/>
      <c r="D334" s="1"/>
    </row>
    <row r="335" spans="3:4" ht="15.75" customHeight="1" x14ac:dyDescent="0.2">
      <c r="C335" s="1"/>
      <c r="D335" s="1"/>
    </row>
    <row r="336" spans="3:4" ht="15.75" customHeight="1" x14ac:dyDescent="0.2">
      <c r="C336" s="1"/>
      <c r="D336" s="1"/>
    </row>
    <row r="337" spans="3:4" ht="15.75" customHeight="1" x14ac:dyDescent="0.2">
      <c r="C337" s="1"/>
      <c r="D337" s="1"/>
    </row>
    <row r="338" spans="3:4" ht="15.75" customHeight="1" x14ac:dyDescent="0.2">
      <c r="C338" s="1"/>
      <c r="D338" s="1"/>
    </row>
    <row r="339" spans="3:4" ht="15.75" customHeight="1" x14ac:dyDescent="0.2">
      <c r="C339" s="1"/>
      <c r="D339" s="1"/>
    </row>
    <row r="340" spans="3:4" ht="15.75" customHeight="1" x14ac:dyDescent="0.2">
      <c r="C340" s="1"/>
      <c r="D340" s="1"/>
    </row>
    <row r="341" spans="3:4" ht="15.75" customHeight="1" x14ac:dyDescent="0.2">
      <c r="C341" s="1"/>
      <c r="D341" s="1"/>
    </row>
    <row r="342" spans="3:4" ht="15.75" customHeight="1" x14ac:dyDescent="0.2">
      <c r="C342" s="1"/>
      <c r="D342" s="1"/>
    </row>
    <row r="343" spans="3:4" ht="15.75" customHeight="1" x14ac:dyDescent="0.2">
      <c r="C343" s="1"/>
      <c r="D343" s="1"/>
    </row>
    <row r="344" spans="3:4" ht="15.75" customHeight="1" x14ac:dyDescent="0.2">
      <c r="C344" s="1"/>
      <c r="D344" s="1"/>
    </row>
    <row r="345" spans="3:4" ht="15.75" customHeight="1" x14ac:dyDescent="0.2">
      <c r="C345" s="1"/>
      <c r="D345" s="1"/>
    </row>
    <row r="346" spans="3:4" ht="15.75" customHeight="1" x14ac:dyDescent="0.2">
      <c r="C346" s="1"/>
      <c r="D346" s="1"/>
    </row>
    <row r="347" spans="3:4" ht="15.75" customHeight="1" x14ac:dyDescent="0.2">
      <c r="C347" s="1"/>
      <c r="D347" s="1"/>
    </row>
    <row r="348" spans="3:4" ht="15.75" customHeight="1" x14ac:dyDescent="0.2">
      <c r="C348" s="1"/>
      <c r="D348" s="1"/>
    </row>
    <row r="349" spans="3:4" ht="15.75" customHeight="1" x14ac:dyDescent="0.2">
      <c r="C349" s="1"/>
      <c r="D349" s="1"/>
    </row>
    <row r="350" spans="3:4" ht="15.75" customHeight="1" x14ac:dyDescent="0.2">
      <c r="C350" s="1"/>
      <c r="D350" s="1"/>
    </row>
    <row r="351" spans="3:4" ht="15.75" customHeight="1" x14ac:dyDescent="0.2">
      <c r="C351" s="1"/>
      <c r="D351" s="1"/>
    </row>
    <row r="352" spans="3:4" ht="15.75" customHeight="1" x14ac:dyDescent="0.2">
      <c r="C352" s="1"/>
      <c r="D352" s="1"/>
    </row>
    <row r="353" spans="3:4" ht="15.75" customHeight="1" x14ac:dyDescent="0.2">
      <c r="C353" s="1"/>
      <c r="D353" s="1"/>
    </row>
    <row r="354" spans="3:4" ht="15.75" customHeight="1" x14ac:dyDescent="0.2">
      <c r="C354" s="1"/>
      <c r="D354" s="1"/>
    </row>
    <row r="355" spans="3:4" ht="15.75" customHeight="1" x14ac:dyDescent="0.2">
      <c r="C355" s="1"/>
      <c r="D355" s="1"/>
    </row>
    <row r="356" spans="3:4" ht="15.75" customHeight="1" x14ac:dyDescent="0.2">
      <c r="C356" s="1"/>
      <c r="D356" s="1"/>
    </row>
    <row r="357" spans="3:4" ht="15.75" customHeight="1" x14ac:dyDescent="0.2">
      <c r="C357" s="1"/>
      <c r="D357" s="1"/>
    </row>
    <row r="358" spans="3:4" ht="15.75" customHeight="1" x14ac:dyDescent="0.2">
      <c r="C358" s="1"/>
      <c r="D358" s="1"/>
    </row>
    <row r="359" spans="3:4" ht="15.75" customHeight="1" x14ac:dyDescent="0.2">
      <c r="C359" s="1"/>
      <c r="D359" s="1"/>
    </row>
    <row r="360" spans="3:4" ht="15.75" customHeight="1" x14ac:dyDescent="0.2">
      <c r="C360" s="1"/>
      <c r="D360" s="1"/>
    </row>
    <row r="361" spans="3:4" ht="15.75" customHeight="1" x14ac:dyDescent="0.2">
      <c r="C361" s="1"/>
      <c r="D361" s="1"/>
    </row>
    <row r="362" spans="3:4" ht="15.75" customHeight="1" x14ac:dyDescent="0.2">
      <c r="C362" s="1"/>
      <c r="D362" s="1"/>
    </row>
    <row r="363" spans="3:4" ht="15.75" customHeight="1" x14ac:dyDescent="0.2">
      <c r="C363" s="1"/>
      <c r="D363" s="1"/>
    </row>
    <row r="364" spans="3:4" ht="15.75" customHeight="1" x14ac:dyDescent="0.2">
      <c r="C364" s="1"/>
      <c r="D364" s="1"/>
    </row>
    <row r="365" spans="3:4" ht="15.75" customHeight="1" x14ac:dyDescent="0.2">
      <c r="C365" s="1"/>
      <c r="D365" s="1"/>
    </row>
    <row r="366" spans="3:4" ht="15.75" customHeight="1" x14ac:dyDescent="0.2">
      <c r="C366" s="1"/>
      <c r="D366" s="1"/>
    </row>
    <row r="367" spans="3:4" ht="15.75" customHeight="1" x14ac:dyDescent="0.2">
      <c r="C367" s="1"/>
      <c r="D367" s="1"/>
    </row>
    <row r="368" spans="3:4" ht="15.75" customHeight="1" x14ac:dyDescent="0.2">
      <c r="C368" s="1"/>
      <c r="D368" s="1"/>
    </row>
    <row r="369" spans="3:4" ht="15.75" customHeight="1" x14ac:dyDescent="0.2">
      <c r="C369" s="1"/>
      <c r="D369" s="1"/>
    </row>
    <row r="370" spans="3:4" ht="15.75" customHeight="1" x14ac:dyDescent="0.2">
      <c r="C370" s="1"/>
      <c r="D370" s="1"/>
    </row>
    <row r="371" spans="3:4" ht="15.75" customHeight="1" x14ac:dyDescent="0.2">
      <c r="C371" s="1"/>
      <c r="D371" s="1"/>
    </row>
    <row r="372" spans="3:4" ht="15.75" customHeight="1" x14ac:dyDescent="0.2">
      <c r="C372" s="1"/>
      <c r="D372" s="1"/>
    </row>
    <row r="373" spans="3:4" ht="15.75" customHeight="1" x14ac:dyDescent="0.2">
      <c r="C373" s="1"/>
      <c r="D373" s="1"/>
    </row>
    <row r="374" spans="3:4" ht="15.75" customHeight="1" x14ac:dyDescent="0.2">
      <c r="C374" s="1"/>
      <c r="D374" s="1"/>
    </row>
    <row r="375" spans="3:4" ht="15.75" customHeight="1" x14ac:dyDescent="0.2">
      <c r="C375" s="1"/>
      <c r="D375" s="1"/>
    </row>
    <row r="376" spans="3:4" ht="15.75" customHeight="1" x14ac:dyDescent="0.2">
      <c r="C376" s="1"/>
      <c r="D376" s="1"/>
    </row>
    <row r="377" spans="3:4" ht="15.75" customHeight="1" x14ac:dyDescent="0.2">
      <c r="C377" s="1"/>
      <c r="D377" s="1"/>
    </row>
    <row r="378" spans="3:4" ht="15.75" customHeight="1" x14ac:dyDescent="0.2">
      <c r="C378" s="1"/>
      <c r="D378" s="1"/>
    </row>
    <row r="379" spans="3:4" ht="15.75" customHeight="1" x14ac:dyDescent="0.2">
      <c r="C379" s="1"/>
      <c r="D379" s="1"/>
    </row>
    <row r="380" spans="3:4" ht="15.75" customHeight="1" x14ac:dyDescent="0.2">
      <c r="C380" s="1"/>
      <c r="D380" s="1"/>
    </row>
    <row r="381" spans="3:4" ht="15.75" customHeight="1" x14ac:dyDescent="0.2">
      <c r="C381" s="1"/>
      <c r="D381" s="1"/>
    </row>
    <row r="382" spans="3:4" ht="15.75" customHeight="1" x14ac:dyDescent="0.2">
      <c r="C382" s="1"/>
      <c r="D382" s="1"/>
    </row>
    <row r="383" spans="3:4" ht="15.75" customHeight="1" x14ac:dyDescent="0.2">
      <c r="C383" s="1"/>
      <c r="D383" s="1"/>
    </row>
    <row r="384" spans="3:4" ht="15.75" customHeight="1" x14ac:dyDescent="0.2">
      <c r="C384" s="1"/>
      <c r="D384" s="1"/>
    </row>
    <row r="385" spans="3:4" ht="15.75" customHeight="1" x14ac:dyDescent="0.2">
      <c r="C385" s="1"/>
      <c r="D385" s="1"/>
    </row>
    <row r="386" spans="3:4" ht="15.75" customHeight="1" x14ac:dyDescent="0.2">
      <c r="C386" s="1"/>
      <c r="D386" s="1"/>
    </row>
    <row r="387" spans="3:4" ht="15.75" customHeight="1" x14ac:dyDescent="0.2">
      <c r="C387" s="1"/>
      <c r="D387" s="1"/>
    </row>
    <row r="388" spans="3:4" ht="15.75" customHeight="1" x14ac:dyDescent="0.2">
      <c r="C388" s="1"/>
      <c r="D388" s="1"/>
    </row>
    <row r="389" spans="3:4" ht="15.75" customHeight="1" x14ac:dyDescent="0.2">
      <c r="C389" s="1"/>
      <c r="D389" s="1"/>
    </row>
    <row r="390" spans="3:4" ht="15.75" customHeight="1" x14ac:dyDescent="0.2">
      <c r="C390" s="1"/>
      <c r="D390" s="1"/>
    </row>
    <row r="391" spans="3:4" ht="15.75" customHeight="1" x14ac:dyDescent="0.2">
      <c r="C391" s="1"/>
      <c r="D391" s="1"/>
    </row>
    <row r="392" spans="3:4" ht="15.75" customHeight="1" x14ac:dyDescent="0.2">
      <c r="C392" s="1"/>
      <c r="D392" s="1"/>
    </row>
    <row r="393" spans="3:4" ht="15.75" customHeight="1" x14ac:dyDescent="0.2">
      <c r="C393" s="1"/>
      <c r="D393" s="1"/>
    </row>
    <row r="394" spans="3:4" ht="15.75" customHeight="1" x14ac:dyDescent="0.2">
      <c r="C394" s="1"/>
      <c r="D394" s="1"/>
    </row>
    <row r="395" spans="3:4" ht="15.75" customHeight="1" x14ac:dyDescent="0.2">
      <c r="C395" s="1"/>
      <c r="D395" s="1"/>
    </row>
    <row r="396" spans="3:4" ht="15.75" customHeight="1" x14ac:dyDescent="0.2">
      <c r="C396" s="1"/>
      <c r="D396" s="1"/>
    </row>
    <row r="397" spans="3:4" ht="15.75" customHeight="1" x14ac:dyDescent="0.2">
      <c r="C397" s="1"/>
      <c r="D397" s="1"/>
    </row>
    <row r="398" spans="3:4" ht="15.75" customHeight="1" x14ac:dyDescent="0.2">
      <c r="C398" s="1"/>
      <c r="D398" s="1"/>
    </row>
    <row r="399" spans="3:4" ht="15.75" customHeight="1" x14ac:dyDescent="0.2">
      <c r="C399" s="1"/>
      <c r="D399" s="1"/>
    </row>
    <row r="400" spans="3:4" ht="15.75" customHeight="1" x14ac:dyDescent="0.2">
      <c r="C400" s="1"/>
      <c r="D400" s="1"/>
    </row>
    <row r="401" spans="3:4" ht="15.75" customHeight="1" x14ac:dyDescent="0.2">
      <c r="C401" s="1"/>
      <c r="D401" s="1"/>
    </row>
    <row r="402" spans="3:4" ht="15.75" customHeight="1" x14ac:dyDescent="0.2">
      <c r="C402" s="1"/>
      <c r="D402" s="1"/>
    </row>
    <row r="403" spans="3:4" ht="15.75" customHeight="1" x14ac:dyDescent="0.2">
      <c r="C403" s="1"/>
      <c r="D403" s="1"/>
    </row>
    <row r="404" spans="3:4" ht="15.75" customHeight="1" x14ac:dyDescent="0.2">
      <c r="C404" s="1"/>
      <c r="D404" s="1"/>
    </row>
    <row r="405" spans="3:4" ht="15.75" customHeight="1" x14ac:dyDescent="0.2">
      <c r="C405" s="1"/>
      <c r="D405" s="1"/>
    </row>
    <row r="406" spans="3:4" ht="15.75" customHeight="1" x14ac:dyDescent="0.2">
      <c r="C406" s="1"/>
      <c r="D406" s="1"/>
    </row>
    <row r="407" spans="3:4" ht="15.75" customHeight="1" x14ac:dyDescent="0.2">
      <c r="C407" s="1"/>
      <c r="D407" s="1"/>
    </row>
    <row r="408" spans="3:4" ht="15.75" customHeight="1" x14ac:dyDescent="0.2">
      <c r="C408" s="1"/>
      <c r="D408" s="1"/>
    </row>
    <row r="409" spans="3:4" ht="15.75" customHeight="1" x14ac:dyDescent="0.2">
      <c r="C409" s="1"/>
      <c r="D409" s="1"/>
    </row>
    <row r="410" spans="3:4" ht="15.75" customHeight="1" x14ac:dyDescent="0.2">
      <c r="C410" s="1"/>
      <c r="D410" s="1"/>
    </row>
    <row r="411" spans="3:4" ht="15.75" customHeight="1" x14ac:dyDescent="0.2">
      <c r="C411" s="1"/>
      <c r="D411" s="1"/>
    </row>
    <row r="412" spans="3:4" ht="15.75" customHeight="1" x14ac:dyDescent="0.2">
      <c r="C412" s="1"/>
      <c r="D412" s="1"/>
    </row>
    <row r="413" spans="3:4" ht="15.75" customHeight="1" x14ac:dyDescent="0.2">
      <c r="C413" s="1"/>
      <c r="D413" s="1"/>
    </row>
    <row r="414" spans="3:4" ht="15.75" customHeight="1" x14ac:dyDescent="0.2">
      <c r="C414" s="1"/>
      <c r="D414" s="1"/>
    </row>
    <row r="415" spans="3:4" ht="15.75" customHeight="1" x14ac:dyDescent="0.2">
      <c r="C415" s="1"/>
      <c r="D415" s="1"/>
    </row>
    <row r="416" spans="3:4" ht="15.75" customHeight="1" x14ac:dyDescent="0.2">
      <c r="C416" s="1"/>
      <c r="D416" s="1"/>
    </row>
    <row r="417" spans="3:4" ht="15.75" customHeight="1" x14ac:dyDescent="0.2">
      <c r="C417" s="1"/>
      <c r="D417" s="1"/>
    </row>
    <row r="418" spans="3:4" ht="15.75" customHeight="1" x14ac:dyDescent="0.2">
      <c r="C418" s="1"/>
      <c r="D418" s="1"/>
    </row>
    <row r="419" spans="3:4" ht="15.75" customHeight="1" x14ac:dyDescent="0.2">
      <c r="C419" s="1"/>
      <c r="D419" s="1"/>
    </row>
    <row r="420" spans="3:4" ht="15.75" customHeight="1" x14ac:dyDescent="0.2">
      <c r="C420" s="1"/>
      <c r="D420" s="1"/>
    </row>
    <row r="421" spans="3:4" ht="15.75" customHeight="1" x14ac:dyDescent="0.2">
      <c r="C421" s="1"/>
      <c r="D421" s="1"/>
    </row>
    <row r="422" spans="3:4" ht="15.75" customHeight="1" x14ac:dyDescent="0.2">
      <c r="C422" s="1"/>
      <c r="D422" s="1"/>
    </row>
    <row r="423" spans="3:4" ht="15.75" customHeight="1" x14ac:dyDescent="0.2">
      <c r="C423" s="1"/>
      <c r="D423" s="1"/>
    </row>
    <row r="424" spans="3:4" ht="15.75" customHeight="1" x14ac:dyDescent="0.2">
      <c r="C424" s="1"/>
      <c r="D424" s="1"/>
    </row>
    <row r="425" spans="3:4" ht="15.75" customHeight="1" x14ac:dyDescent="0.2">
      <c r="C425" s="1"/>
      <c r="D425" s="1"/>
    </row>
    <row r="426" spans="3:4" ht="15.75" customHeight="1" x14ac:dyDescent="0.2">
      <c r="C426" s="1"/>
      <c r="D426" s="1"/>
    </row>
    <row r="427" spans="3:4" ht="15.75" customHeight="1" x14ac:dyDescent="0.2">
      <c r="C427" s="1"/>
      <c r="D427" s="1"/>
    </row>
    <row r="428" spans="3:4" ht="15.75" customHeight="1" x14ac:dyDescent="0.2">
      <c r="C428" s="1"/>
      <c r="D428" s="1"/>
    </row>
    <row r="429" spans="3:4" ht="15.75" customHeight="1" x14ac:dyDescent="0.2">
      <c r="C429" s="1"/>
      <c r="D429" s="1"/>
    </row>
    <row r="430" spans="3:4" ht="15.75" customHeight="1" x14ac:dyDescent="0.2">
      <c r="C430" s="1"/>
      <c r="D430" s="1"/>
    </row>
    <row r="431" spans="3:4" ht="15.75" customHeight="1" x14ac:dyDescent="0.2">
      <c r="C431" s="1"/>
      <c r="D431" s="1"/>
    </row>
    <row r="432" spans="3:4" ht="15.75" customHeight="1" x14ac:dyDescent="0.2">
      <c r="C432" s="1"/>
      <c r="D432" s="1"/>
    </row>
    <row r="433" spans="3:4" ht="15.75" customHeight="1" x14ac:dyDescent="0.2">
      <c r="C433" s="1"/>
      <c r="D433" s="1"/>
    </row>
    <row r="434" spans="3:4" ht="15.75" customHeight="1" x14ac:dyDescent="0.2">
      <c r="C434" s="1"/>
      <c r="D434" s="1"/>
    </row>
    <row r="435" spans="3:4" ht="15.75" customHeight="1" x14ac:dyDescent="0.2">
      <c r="C435" s="1"/>
      <c r="D435" s="1"/>
    </row>
    <row r="436" spans="3:4" ht="15.75" customHeight="1" x14ac:dyDescent="0.2">
      <c r="C436" s="1"/>
      <c r="D436" s="1"/>
    </row>
    <row r="437" spans="3:4" ht="15.75" customHeight="1" x14ac:dyDescent="0.2">
      <c r="C437" s="1"/>
      <c r="D437" s="1"/>
    </row>
    <row r="438" spans="3:4" ht="15.75" customHeight="1" x14ac:dyDescent="0.2">
      <c r="C438" s="1"/>
      <c r="D438" s="1"/>
    </row>
    <row r="439" spans="3:4" ht="15.75" customHeight="1" x14ac:dyDescent="0.2">
      <c r="C439" s="1"/>
      <c r="D439" s="1"/>
    </row>
    <row r="440" spans="3:4" ht="15.75" customHeight="1" x14ac:dyDescent="0.2">
      <c r="C440" s="1"/>
      <c r="D440" s="1"/>
    </row>
    <row r="441" spans="3:4" ht="15.75" customHeight="1" x14ac:dyDescent="0.2">
      <c r="C441" s="1"/>
      <c r="D441" s="1"/>
    </row>
    <row r="442" spans="3:4" ht="15.75" customHeight="1" x14ac:dyDescent="0.2">
      <c r="C442" s="1"/>
      <c r="D442" s="1"/>
    </row>
    <row r="443" spans="3:4" ht="15.75" customHeight="1" x14ac:dyDescent="0.2">
      <c r="C443" s="1"/>
      <c r="D443" s="1"/>
    </row>
    <row r="444" spans="3:4" ht="15.75" customHeight="1" x14ac:dyDescent="0.2">
      <c r="C444" s="1"/>
      <c r="D444" s="1"/>
    </row>
    <row r="445" spans="3:4" ht="15.75" customHeight="1" x14ac:dyDescent="0.2">
      <c r="C445" s="1"/>
      <c r="D445" s="1"/>
    </row>
    <row r="446" spans="3:4" ht="15.75" customHeight="1" x14ac:dyDescent="0.2">
      <c r="C446" s="1"/>
      <c r="D446" s="1"/>
    </row>
    <row r="447" spans="3:4" ht="15.75" customHeight="1" x14ac:dyDescent="0.2">
      <c r="C447" s="1"/>
      <c r="D447" s="1"/>
    </row>
    <row r="448" spans="3:4" ht="15.75" customHeight="1" x14ac:dyDescent="0.2">
      <c r="C448" s="1"/>
      <c r="D448" s="1"/>
    </row>
    <row r="449" spans="3:4" ht="15.75" customHeight="1" x14ac:dyDescent="0.2">
      <c r="C449" s="1"/>
      <c r="D449" s="1"/>
    </row>
    <row r="450" spans="3:4" ht="15.75" customHeight="1" x14ac:dyDescent="0.2">
      <c r="C450" s="1"/>
      <c r="D450" s="1"/>
    </row>
    <row r="451" spans="3:4" ht="15.75" customHeight="1" x14ac:dyDescent="0.2">
      <c r="C451" s="1"/>
      <c r="D451" s="1"/>
    </row>
    <row r="452" spans="3:4" ht="15.75" customHeight="1" x14ac:dyDescent="0.2">
      <c r="C452" s="1"/>
      <c r="D452" s="1"/>
    </row>
    <row r="453" spans="3:4" ht="15.75" customHeight="1" x14ac:dyDescent="0.2">
      <c r="C453" s="1"/>
      <c r="D453" s="1"/>
    </row>
    <row r="454" spans="3:4" ht="15.75" customHeight="1" x14ac:dyDescent="0.2">
      <c r="C454" s="1"/>
      <c r="D454" s="1"/>
    </row>
    <row r="455" spans="3:4" ht="15.75" customHeight="1" x14ac:dyDescent="0.2">
      <c r="C455" s="1"/>
      <c r="D455" s="1"/>
    </row>
    <row r="456" spans="3:4" ht="15.75" customHeight="1" x14ac:dyDescent="0.2">
      <c r="C456" s="1"/>
      <c r="D456" s="1"/>
    </row>
    <row r="457" spans="3:4" ht="15.75" customHeight="1" x14ac:dyDescent="0.2">
      <c r="C457" s="1"/>
      <c r="D457" s="1"/>
    </row>
    <row r="458" spans="3:4" ht="15.75" customHeight="1" x14ac:dyDescent="0.2">
      <c r="C458" s="1"/>
      <c r="D458" s="1"/>
    </row>
    <row r="459" spans="3:4" ht="15.75" customHeight="1" x14ac:dyDescent="0.2">
      <c r="C459" s="1"/>
      <c r="D459" s="1"/>
    </row>
    <row r="460" spans="3:4" ht="15.75" customHeight="1" x14ac:dyDescent="0.2">
      <c r="C460" s="1"/>
      <c r="D460" s="1"/>
    </row>
    <row r="461" spans="3:4" ht="15.75" customHeight="1" x14ac:dyDescent="0.2">
      <c r="C461" s="1"/>
      <c r="D461" s="1"/>
    </row>
    <row r="462" spans="3:4" ht="15.75" customHeight="1" x14ac:dyDescent="0.2">
      <c r="C462" s="1"/>
      <c r="D462" s="1"/>
    </row>
    <row r="463" spans="3:4" ht="15.75" customHeight="1" x14ac:dyDescent="0.2">
      <c r="C463" s="1"/>
      <c r="D463" s="1"/>
    </row>
    <row r="464" spans="3:4" ht="15.75" customHeight="1" x14ac:dyDescent="0.2">
      <c r="C464" s="1"/>
      <c r="D464" s="1"/>
    </row>
    <row r="465" spans="3:4" ht="15.75" customHeight="1" x14ac:dyDescent="0.2">
      <c r="C465" s="1"/>
      <c r="D465" s="1"/>
    </row>
    <row r="466" spans="3:4" ht="15.75" customHeight="1" x14ac:dyDescent="0.2">
      <c r="C466" s="1"/>
      <c r="D466" s="1"/>
    </row>
    <row r="467" spans="3:4" ht="15.75" customHeight="1" x14ac:dyDescent="0.2">
      <c r="C467" s="1"/>
      <c r="D467" s="1"/>
    </row>
    <row r="468" spans="3:4" ht="15.75" customHeight="1" x14ac:dyDescent="0.2">
      <c r="C468" s="1"/>
      <c r="D468" s="1"/>
    </row>
    <row r="469" spans="3:4" ht="15.75" customHeight="1" x14ac:dyDescent="0.2">
      <c r="C469" s="1"/>
      <c r="D469" s="1"/>
    </row>
    <row r="470" spans="3:4" ht="15.75" customHeight="1" x14ac:dyDescent="0.2">
      <c r="C470" s="1"/>
      <c r="D470" s="1"/>
    </row>
    <row r="471" spans="3:4" ht="15.75" customHeight="1" x14ac:dyDescent="0.2">
      <c r="C471" s="1"/>
      <c r="D471" s="1"/>
    </row>
    <row r="472" spans="3:4" ht="15.75" customHeight="1" x14ac:dyDescent="0.2">
      <c r="C472" s="1"/>
      <c r="D472" s="1"/>
    </row>
    <row r="473" spans="3:4" ht="15.75" customHeight="1" x14ac:dyDescent="0.2">
      <c r="C473" s="1"/>
      <c r="D473" s="1"/>
    </row>
    <row r="474" spans="3:4" ht="15.75" customHeight="1" x14ac:dyDescent="0.2">
      <c r="C474" s="1"/>
      <c r="D474" s="1"/>
    </row>
    <row r="475" spans="3:4" ht="15.75" customHeight="1" x14ac:dyDescent="0.2">
      <c r="C475" s="1"/>
      <c r="D475" s="1"/>
    </row>
    <row r="476" spans="3:4" ht="15.75" customHeight="1" x14ac:dyDescent="0.2">
      <c r="C476" s="1"/>
      <c r="D476" s="1"/>
    </row>
    <row r="477" spans="3:4" ht="15.75" customHeight="1" x14ac:dyDescent="0.2">
      <c r="C477" s="1"/>
      <c r="D477" s="1"/>
    </row>
    <row r="478" spans="3:4" ht="15.75" customHeight="1" x14ac:dyDescent="0.2">
      <c r="C478" s="1"/>
      <c r="D478" s="1"/>
    </row>
    <row r="479" spans="3:4" ht="15.75" customHeight="1" x14ac:dyDescent="0.2">
      <c r="C479" s="1"/>
      <c r="D479" s="1"/>
    </row>
    <row r="480" spans="3:4" ht="15.75" customHeight="1" x14ac:dyDescent="0.2">
      <c r="C480" s="1"/>
      <c r="D480" s="1"/>
    </row>
    <row r="481" spans="3:4" ht="15.75" customHeight="1" x14ac:dyDescent="0.2">
      <c r="C481" s="1"/>
      <c r="D481" s="1"/>
    </row>
    <row r="482" spans="3:4" ht="15.75" customHeight="1" x14ac:dyDescent="0.2">
      <c r="C482" s="1"/>
      <c r="D482" s="1"/>
    </row>
    <row r="483" spans="3:4" ht="15.75" customHeight="1" x14ac:dyDescent="0.2">
      <c r="C483" s="1"/>
      <c r="D483" s="1"/>
    </row>
    <row r="484" spans="3:4" ht="15.75" customHeight="1" x14ac:dyDescent="0.2">
      <c r="C484" s="1"/>
      <c r="D484" s="1"/>
    </row>
    <row r="485" spans="3:4" ht="15.75" customHeight="1" x14ac:dyDescent="0.2">
      <c r="C485" s="1"/>
      <c r="D485" s="1"/>
    </row>
    <row r="486" spans="3:4" ht="15.75" customHeight="1" x14ac:dyDescent="0.2">
      <c r="C486" s="1"/>
      <c r="D486" s="1"/>
    </row>
    <row r="487" spans="3:4" ht="15.75" customHeight="1" x14ac:dyDescent="0.2">
      <c r="C487" s="1"/>
      <c r="D487" s="1"/>
    </row>
    <row r="488" spans="3:4" ht="15.75" customHeight="1" x14ac:dyDescent="0.2">
      <c r="C488" s="1"/>
      <c r="D488" s="1"/>
    </row>
    <row r="489" spans="3:4" ht="15.75" customHeight="1" x14ac:dyDescent="0.2">
      <c r="C489" s="1"/>
      <c r="D489" s="1"/>
    </row>
    <row r="490" spans="3:4" ht="15.75" customHeight="1" x14ac:dyDescent="0.2">
      <c r="C490" s="1"/>
      <c r="D490" s="1"/>
    </row>
    <row r="491" spans="3:4" ht="15.75" customHeight="1" x14ac:dyDescent="0.2">
      <c r="C491" s="1"/>
      <c r="D491" s="1"/>
    </row>
    <row r="492" spans="3:4" ht="15.75" customHeight="1" x14ac:dyDescent="0.2">
      <c r="C492" s="1"/>
      <c r="D492" s="1"/>
    </row>
    <row r="493" spans="3:4" ht="15.75" customHeight="1" x14ac:dyDescent="0.2">
      <c r="C493" s="1"/>
      <c r="D493" s="1"/>
    </row>
    <row r="494" spans="3:4" ht="15.75" customHeight="1" x14ac:dyDescent="0.2">
      <c r="C494" s="1"/>
      <c r="D494" s="1"/>
    </row>
    <row r="495" spans="3:4" ht="15.75" customHeight="1" x14ac:dyDescent="0.2">
      <c r="C495" s="1"/>
      <c r="D495" s="1"/>
    </row>
    <row r="496" spans="3:4" ht="15.75" customHeight="1" x14ac:dyDescent="0.2">
      <c r="C496" s="1"/>
      <c r="D496" s="1"/>
    </row>
    <row r="497" spans="3:4" ht="15.75" customHeight="1" x14ac:dyDescent="0.2">
      <c r="C497" s="1"/>
      <c r="D497" s="1"/>
    </row>
    <row r="498" spans="3:4" ht="15.75" customHeight="1" x14ac:dyDescent="0.2">
      <c r="C498" s="1"/>
      <c r="D498" s="1"/>
    </row>
    <row r="499" spans="3:4" ht="15.75" customHeight="1" x14ac:dyDescent="0.2">
      <c r="C499" s="1"/>
      <c r="D499" s="1"/>
    </row>
    <row r="500" spans="3:4" ht="15.75" customHeight="1" x14ac:dyDescent="0.2">
      <c r="C500" s="1"/>
      <c r="D500" s="1"/>
    </row>
    <row r="501" spans="3:4" ht="15.75" customHeight="1" x14ac:dyDescent="0.2">
      <c r="C501" s="1"/>
      <c r="D501" s="1"/>
    </row>
    <row r="502" spans="3:4" ht="15.75" customHeight="1" x14ac:dyDescent="0.2">
      <c r="C502" s="1"/>
      <c r="D502" s="1"/>
    </row>
    <row r="503" spans="3:4" ht="15.75" customHeight="1" x14ac:dyDescent="0.2">
      <c r="C503" s="1"/>
      <c r="D503" s="1"/>
    </row>
    <row r="504" spans="3:4" ht="15.75" customHeight="1" x14ac:dyDescent="0.2">
      <c r="C504" s="1"/>
      <c r="D504" s="1"/>
    </row>
    <row r="505" spans="3:4" ht="15.75" customHeight="1" x14ac:dyDescent="0.2">
      <c r="C505" s="1"/>
      <c r="D505" s="1"/>
    </row>
    <row r="506" spans="3:4" ht="15.75" customHeight="1" x14ac:dyDescent="0.2">
      <c r="C506" s="1"/>
      <c r="D506" s="1"/>
    </row>
    <row r="507" spans="3:4" ht="15.75" customHeight="1" x14ac:dyDescent="0.2">
      <c r="C507" s="1"/>
      <c r="D507" s="1"/>
    </row>
    <row r="508" spans="3:4" ht="15.75" customHeight="1" x14ac:dyDescent="0.2">
      <c r="C508" s="1"/>
      <c r="D508" s="1"/>
    </row>
    <row r="509" spans="3:4" ht="15.75" customHeight="1" x14ac:dyDescent="0.2">
      <c r="C509" s="1"/>
      <c r="D509" s="1"/>
    </row>
    <row r="510" spans="3:4" ht="15.75" customHeight="1" x14ac:dyDescent="0.2">
      <c r="C510" s="1"/>
      <c r="D510" s="1"/>
    </row>
    <row r="511" spans="3:4" ht="15.75" customHeight="1" x14ac:dyDescent="0.2">
      <c r="C511" s="1"/>
      <c r="D511" s="1"/>
    </row>
    <row r="512" spans="3:4" ht="15.75" customHeight="1" x14ac:dyDescent="0.2">
      <c r="C512" s="1"/>
      <c r="D512" s="1"/>
    </row>
    <row r="513" spans="3:4" ht="15.75" customHeight="1" x14ac:dyDescent="0.2">
      <c r="C513" s="1"/>
      <c r="D513" s="1"/>
    </row>
    <row r="514" spans="3:4" ht="15.75" customHeight="1" x14ac:dyDescent="0.2">
      <c r="C514" s="1"/>
      <c r="D514" s="1"/>
    </row>
    <row r="515" spans="3:4" ht="15.75" customHeight="1" x14ac:dyDescent="0.2">
      <c r="C515" s="1"/>
      <c r="D515" s="1"/>
    </row>
    <row r="516" spans="3:4" ht="15.75" customHeight="1" x14ac:dyDescent="0.2">
      <c r="C516" s="1"/>
      <c r="D516" s="1"/>
    </row>
    <row r="517" spans="3:4" ht="15.75" customHeight="1" x14ac:dyDescent="0.2">
      <c r="C517" s="1"/>
      <c r="D517" s="1"/>
    </row>
    <row r="518" spans="3:4" ht="15.75" customHeight="1" x14ac:dyDescent="0.2">
      <c r="C518" s="1"/>
      <c r="D518" s="1"/>
    </row>
    <row r="519" spans="3:4" ht="15.75" customHeight="1" x14ac:dyDescent="0.2">
      <c r="C519" s="1"/>
      <c r="D519" s="1"/>
    </row>
    <row r="520" spans="3:4" ht="15.75" customHeight="1" x14ac:dyDescent="0.2">
      <c r="C520" s="1"/>
      <c r="D520" s="1"/>
    </row>
    <row r="521" spans="3:4" ht="15.75" customHeight="1" x14ac:dyDescent="0.2">
      <c r="C521" s="1"/>
      <c r="D521" s="1"/>
    </row>
    <row r="522" spans="3:4" ht="15.75" customHeight="1" x14ac:dyDescent="0.2">
      <c r="C522" s="1"/>
      <c r="D522" s="1"/>
    </row>
    <row r="523" spans="3:4" ht="15.75" customHeight="1" x14ac:dyDescent="0.2">
      <c r="C523" s="1"/>
      <c r="D523" s="1"/>
    </row>
    <row r="524" spans="3:4" ht="15.75" customHeight="1" x14ac:dyDescent="0.2">
      <c r="C524" s="1"/>
      <c r="D524" s="1"/>
    </row>
    <row r="525" spans="3:4" ht="15.75" customHeight="1" x14ac:dyDescent="0.2">
      <c r="C525" s="1"/>
      <c r="D525" s="1"/>
    </row>
    <row r="526" spans="3:4" ht="15.75" customHeight="1" x14ac:dyDescent="0.2">
      <c r="C526" s="1"/>
      <c r="D526" s="1"/>
    </row>
    <row r="527" spans="3:4" ht="15.75" customHeight="1" x14ac:dyDescent="0.2">
      <c r="C527" s="1"/>
      <c r="D527" s="1"/>
    </row>
    <row r="528" spans="3:4" ht="15.75" customHeight="1" x14ac:dyDescent="0.2">
      <c r="C528" s="1"/>
      <c r="D528" s="1"/>
    </row>
    <row r="529" spans="3:4" ht="15.75" customHeight="1" x14ac:dyDescent="0.2">
      <c r="C529" s="1"/>
      <c r="D529" s="1"/>
    </row>
    <row r="530" spans="3:4" ht="15.75" customHeight="1" x14ac:dyDescent="0.2">
      <c r="C530" s="1"/>
      <c r="D530" s="1"/>
    </row>
    <row r="531" spans="3:4" ht="15.75" customHeight="1" x14ac:dyDescent="0.2">
      <c r="C531" s="1"/>
      <c r="D531" s="1"/>
    </row>
    <row r="532" spans="3:4" ht="15.75" customHeight="1" x14ac:dyDescent="0.2">
      <c r="C532" s="1"/>
      <c r="D532" s="1"/>
    </row>
    <row r="533" spans="3:4" ht="15.75" customHeight="1" x14ac:dyDescent="0.2">
      <c r="C533" s="1"/>
      <c r="D533" s="1"/>
    </row>
    <row r="534" spans="3:4" ht="15.75" customHeight="1" x14ac:dyDescent="0.2">
      <c r="C534" s="1"/>
      <c r="D534" s="1"/>
    </row>
    <row r="535" spans="3:4" ht="15.75" customHeight="1" x14ac:dyDescent="0.2">
      <c r="C535" s="1"/>
      <c r="D535" s="1"/>
    </row>
    <row r="536" spans="3:4" ht="15.75" customHeight="1" x14ac:dyDescent="0.2">
      <c r="C536" s="1"/>
      <c r="D536" s="1"/>
    </row>
    <row r="537" spans="3:4" ht="15.75" customHeight="1" x14ac:dyDescent="0.2">
      <c r="C537" s="1"/>
      <c r="D537" s="1"/>
    </row>
    <row r="538" spans="3:4" ht="15.75" customHeight="1" x14ac:dyDescent="0.2">
      <c r="C538" s="1"/>
      <c r="D538" s="1"/>
    </row>
    <row r="539" spans="3:4" ht="15.75" customHeight="1" x14ac:dyDescent="0.2">
      <c r="C539" s="1"/>
      <c r="D539" s="1"/>
    </row>
    <row r="540" spans="3:4" ht="15.75" customHeight="1" x14ac:dyDescent="0.2">
      <c r="C540" s="1"/>
      <c r="D540" s="1"/>
    </row>
    <row r="541" spans="3:4" ht="15.75" customHeight="1" x14ac:dyDescent="0.2">
      <c r="C541" s="1"/>
      <c r="D541" s="1"/>
    </row>
    <row r="542" spans="3:4" ht="15.75" customHeight="1" x14ac:dyDescent="0.2">
      <c r="C542" s="1"/>
      <c r="D542" s="1"/>
    </row>
    <row r="543" spans="3:4" ht="15.75" customHeight="1" x14ac:dyDescent="0.2">
      <c r="C543" s="1"/>
      <c r="D543" s="1"/>
    </row>
    <row r="544" spans="3:4" ht="15.75" customHeight="1" x14ac:dyDescent="0.2">
      <c r="C544" s="1"/>
      <c r="D544" s="1"/>
    </row>
    <row r="545" spans="3:4" ht="15.75" customHeight="1" x14ac:dyDescent="0.2">
      <c r="C545" s="1"/>
      <c r="D545" s="1"/>
    </row>
    <row r="546" spans="3:4" ht="15.75" customHeight="1" x14ac:dyDescent="0.2">
      <c r="C546" s="1"/>
      <c r="D546" s="1"/>
    </row>
    <row r="547" spans="3:4" ht="15.75" customHeight="1" x14ac:dyDescent="0.2">
      <c r="C547" s="1"/>
      <c r="D547" s="1"/>
    </row>
    <row r="548" spans="3:4" ht="15.75" customHeight="1" x14ac:dyDescent="0.2">
      <c r="C548" s="1"/>
      <c r="D548" s="1"/>
    </row>
    <row r="549" spans="3:4" ht="15.75" customHeight="1" x14ac:dyDescent="0.2">
      <c r="C549" s="1"/>
      <c r="D549" s="1"/>
    </row>
    <row r="550" spans="3:4" ht="15.75" customHeight="1" x14ac:dyDescent="0.2">
      <c r="C550" s="1"/>
      <c r="D550" s="1"/>
    </row>
    <row r="551" spans="3:4" ht="15.75" customHeight="1" x14ac:dyDescent="0.2">
      <c r="C551" s="1"/>
      <c r="D551" s="1"/>
    </row>
    <row r="552" spans="3:4" ht="15.75" customHeight="1" x14ac:dyDescent="0.2">
      <c r="C552" s="1"/>
      <c r="D552" s="1"/>
    </row>
    <row r="553" spans="3:4" ht="15.75" customHeight="1" x14ac:dyDescent="0.2">
      <c r="C553" s="1"/>
      <c r="D553" s="1"/>
    </row>
    <row r="554" spans="3:4" ht="15.75" customHeight="1" x14ac:dyDescent="0.2">
      <c r="C554" s="1"/>
      <c r="D554" s="1"/>
    </row>
    <row r="555" spans="3:4" ht="15.75" customHeight="1" x14ac:dyDescent="0.2">
      <c r="C555" s="1"/>
      <c r="D555" s="1"/>
    </row>
    <row r="556" spans="3:4" ht="15.75" customHeight="1" x14ac:dyDescent="0.2">
      <c r="C556" s="1"/>
      <c r="D556" s="1"/>
    </row>
    <row r="557" spans="3:4" ht="15.75" customHeight="1" x14ac:dyDescent="0.2">
      <c r="C557" s="1"/>
      <c r="D557" s="1"/>
    </row>
    <row r="558" spans="3:4" ht="15.75" customHeight="1" x14ac:dyDescent="0.2">
      <c r="C558" s="1"/>
      <c r="D558" s="1"/>
    </row>
    <row r="559" spans="3:4" ht="15.75" customHeight="1" x14ac:dyDescent="0.2">
      <c r="C559" s="1"/>
      <c r="D559" s="1"/>
    </row>
    <row r="560" spans="3:4" ht="15.75" customHeight="1" x14ac:dyDescent="0.2">
      <c r="C560" s="1"/>
      <c r="D560" s="1"/>
    </row>
    <row r="561" spans="3:4" ht="15.75" customHeight="1" x14ac:dyDescent="0.2">
      <c r="C561" s="1"/>
      <c r="D561" s="1"/>
    </row>
    <row r="562" spans="3:4" ht="15.75" customHeight="1" x14ac:dyDescent="0.2">
      <c r="C562" s="1"/>
      <c r="D562" s="1"/>
    </row>
    <row r="563" spans="3:4" ht="15.75" customHeight="1" x14ac:dyDescent="0.2">
      <c r="C563" s="1"/>
      <c r="D563" s="1"/>
    </row>
    <row r="564" spans="3:4" ht="15.75" customHeight="1" x14ac:dyDescent="0.2">
      <c r="C564" s="1"/>
      <c r="D564" s="1"/>
    </row>
    <row r="565" spans="3:4" ht="15.75" customHeight="1" x14ac:dyDescent="0.2">
      <c r="C565" s="1"/>
      <c r="D565" s="1"/>
    </row>
    <row r="566" spans="3:4" ht="15.75" customHeight="1" x14ac:dyDescent="0.2">
      <c r="C566" s="1"/>
      <c r="D566" s="1"/>
    </row>
    <row r="567" spans="3:4" ht="15.75" customHeight="1" x14ac:dyDescent="0.2">
      <c r="C567" s="1"/>
      <c r="D567" s="1"/>
    </row>
    <row r="568" spans="3:4" ht="15.75" customHeight="1" x14ac:dyDescent="0.2">
      <c r="C568" s="1"/>
      <c r="D568" s="1"/>
    </row>
    <row r="569" spans="3:4" ht="15.75" customHeight="1" x14ac:dyDescent="0.2">
      <c r="C569" s="1"/>
      <c r="D569" s="1"/>
    </row>
    <row r="570" spans="3:4" ht="15.75" customHeight="1" x14ac:dyDescent="0.2">
      <c r="C570" s="1"/>
      <c r="D570" s="1"/>
    </row>
    <row r="571" spans="3:4" ht="15.75" customHeight="1" x14ac:dyDescent="0.2">
      <c r="C571" s="1"/>
      <c r="D571" s="1"/>
    </row>
    <row r="572" spans="3:4" ht="15.75" customHeight="1" x14ac:dyDescent="0.2">
      <c r="C572" s="1"/>
      <c r="D572" s="1"/>
    </row>
    <row r="573" spans="3:4" ht="15.75" customHeight="1" x14ac:dyDescent="0.2">
      <c r="C573" s="1"/>
      <c r="D573" s="1"/>
    </row>
    <row r="574" spans="3:4" ht="15.75" customHeight="1" x14ac:dyDescent="0.2">
      <c r="C574" s="1"/>
      <c r="D574" s="1"/>
    </row>
    <row r="575" spans="3:4" ht="15.75" customHeight="1" x14ac:dyDescent="0.2">
      <c r="C575" s="1"/>
      <c r="D575" s="1"/>
    </row>
    <row r="576" spans="3:4" ht="15.75" customHeight="1" x14ac:dyDescent="0.2">
      <c r="C576" s="1"/>
      <c r="D576" s="1"/>
    </row>
    <row r="577" spans="3:4" ht="15.75" customHeight="1" x14ac:dyDescent="0.2">
      <c r="C577" s="1"/>
      <c r="D577" s="1"/>
    </row>
    <row r="578" spans="3:4" ht="15.75" customHeight="1" x14ac:dyDescent="0.2">
      <c r="C578" s="1"/>
      <c r="D578" s="1"/>
    </row>
    <row r="579" spans="3:4" ht="15.75" customHeight="1" x14ac:dyDescent="0.2">
      <c r="C579" s="1"/>
      <c r="D579" s="1"/>
    </row>
    <row r="580" spans="3:4" ht="15.75" customHeight="1" x14ac:dyDescent="0.2">
      <c r="C580" s="1"/>
      <c r="D580" s="1"/>
    </row>
    <row r="581" spans="3:4" ht="15.75" customHeight="1" x14ac:dyDescent="0.2">
      <c r="C581" s="1"/>
      <c r="D581" s="1"/>
    </row>
    <row r="582" spans="3:4" ht="15.75" customHeight="1" x14ac:dyDescent="0.2">
      <c r="C582" s="1"/>
      <c r="D582" s="1"/>
    </row>
    <row r="583" spans="3:4" ht="15.75" customHeight="1" x14ac:dyDescent="0.2">
      <c r="C583" s="1"/>
      <c r="D583" s="1"/>
    </row>
    <row r="584" spans="3:4" ht="15.75" customHeight="1" x14ac:dyDescent="0.2">
      <c r="C584" s="1"/>
      <c r="D584" s="1"/>
    </row>
    <row r="585" spans="3:4" ht="15.75" customHeight="1" x14ac:dyDescent="0.2">
      <c r="C585" s="1"/>
      <c r="D585" s="1"/>
    </row>
    <row r="586" spans="3:4" ht="15.75" customHeight="1" x14ac:dyDescent="0.2">
      <c r="C586" s="1"/>
      <c r="D586" s="1"/>
    </row>
    <row r="587" spans="3:4" ht="15.75" customHeight="1" x14ac:dyDescent="0.2">
      <c r="C587" s="1"/>
      <c r="D587" s="1"/>
    </row>
    <row r="588" spans="3:4" ht="15.75" customHeight="1" x14ac:dyDescent="0.2">
      <c r="C588" s="1"/>
      <c r="D588" s="1"/>
    </row>
    <row r="589" spans="3:4" ht="15.75" customHeight="1" x14ac:dyDescent="0.2">
      <c r="C589" s="1"/>
      <c r="D589" s="1"/>
    </row>
    <row r="590" spans="3:4" ht="15.75" customHeight="1" x14ac:dyDescent="0.2">
      <c r="C590" s="1"/>
      <c r="D590" s="1"/>
    </row>
    <row r="591" spans="3:4" ht="15.75" customHeight="1" x14ac:dyDescent="0.2">
      <c r="C591" s="1"/>
      <c r="D591" s="1"/>
    </row>
    <row r="592" spans="3:4" ht="15.75" customHeight="1" x14ac:dyDescent="0.2">
      <c r="C592" s="1"/>
      <c r="D592" s="1"/>
    </row>
    <row r="593" spans="3:4" ht="15.75" customHeight="1" x14ac:dyDescent="0.2">
      <c r="C593" s="1"/>
      <c r="D593" s="1"/>
    </row>
    <row r="594" spans="3:4" ht="15.75" customHeight="1" x14ac:dyDescent="0.2">
      <c r="C594" s="1"/>
      <c r="D594" s="1"/>
    </row>
    <row r="595" spans="3:4" ht="15.75" customHeight="1" x14ac:dyDescent="0.2">
      <c r="C595" s="1"/>
      <c r="D595" s="1"/>
    </row>
    <row r="596" spans="3:4" ht="15.75" customHeight="1" x14ac:dyDescent="0.2">
      <c r="C596" s="1"/>
      <c r="D596" s="1"/>
    </row>
    <row r="597" spans="3:4" ht="15.75" customHeight="1" x14ac:dyDescent="0.2">
      <c r="C597" s="1"/>
      <c r="D597" s="1"/>
    </row>
    <row r="598" spans="3:4" ht="15.75" customHeight="1" x14ac:dyDescent="0.2">
      <c r="C598" s="1"/>
      <c r="D598" s="1"/>
    </row>
    <row r="599" spans="3:4" ht="15.75" customHeight="1" x14ac:dyDescent="0.2">
      <c r="C599" s="1"/>
      <c r="D599" s="1"/>
    </row>
    <row r="600" spans="3:4" ht="15.75" customHeight="1" x14ac:dyDescent="0.2">
      <c r="C600" s="1"/>
      <c r="D600" s="1"/>
    </row>
    <row r="601" spans="3:4" ht="15.75" customHeight="1" x14ac:dyDescent="0.2">
      <c r="C601" s="1"/>
      <c r="D601" s="1"/>
    </row>
    <row r="602" spans="3:4" ht="15.75" customHeight="1" x14ac:dyDescent="0.2">
      <c r="C602" s="1"/>
      <c r="D602" s="1"/>
    </row>
    <row r="603" spans="3:4" ht="15.75" customHeight="1" x14ac:dyDescent="0.2">
      <c r="C603" s="1"/>
      <c r="D603" s="1"/>
    </row>
    <row r="604" spans="3:4" ht="15.75" customHeight="1" x14ac:dyDescent="0.2">
      <c r="C604" s="1"/>
      <c r="D604" s="1"/>
    </row>
    <row r="605" spans="3:4" ht="15.75" customHeight="1" x14ac:dyDescent="0.2">
      <c r="C605" s="1"/>
      <c r="D605" s="1"/>
    </row>
    <row r="606" spans="3:4" ht="15.75" customHeight="1" x14ac:dyDescent="0.2">
      <c r="C606" s="1"/>
      <c r="D606" s="1"/>
    </row>
    <row r="607" spans="3:4" ht="15.75" customHeight="1" x14ac:dyDescent="0.2">
      <c r="C607" s="1"/>
      <c r="D607" s="1"/>
    </row>
    <row r="608" spans="3:4" ht="15.75" customHeight="1" x14ac:dyDescent="0.2">
      <c r="C608" s="1"/>
      <c r="D608" s="1"/>
    </row>
    <row r="609" spans="3:4" ht="15.75" customHeight="1" x14ac:dyDescent="0.2">
      <c r="C609" s="1"/>
      <c r="D609" s="1"/>
    </row>
    <row r="610" spans="3:4" ht="15.75" customHeight="1" x14ac:dyDescent="0.2">
      <c r="C610" s="1"/>
      <c r="D610" s="1"/>
    </row>
    <row r="611" spans="3:4" ht="15.75" customHeight="1" x14ac:dyDescent="0.2">
      <c r="C611" s="1"/>
      <c r="D611" s="1"/>
    </row>
    <row r="612" spans="3:4" ht="15.75" customHeight="1" x14ac:dyDescent="0.2">
      <c r="C612" s="1"/>
      <c r="D612" s="1"/>
    </row>
    <row r="613" spans="3:4" ht="15.75" customHeight="1" x14ac:dyDescent="0.2">
      <c r="C613" s="1"/>
      <c r="D613" s="1"/>
    </row>
    <row r="614" spans="3:4" ht="15.75" customHeight="1" x14ac:dyDescent="0.2">
      <c r="C614" s="1"/>
      <c r="D614" s="1"/>
    </row>
    <row r="615" spans="3:4" ht="15.75" customHeight="1" x14ac:dyDescent="0.2">
      <c r="C615" s="1"/>
      <c r="D615" s="1"/>
    </row>
    <row r="616" spans="3:4" ht="15.75" customHeight="1" x14ac:dyDescent="0.2">
      <c r="C616" s="1"/>
      <c r="D616" s="1"/>
    </row>
    <row r="617" spans="3:4" ht="15.75" customHeight="1" x14ac:dyDescent="0.2">
      <c r="C617" s="1"/>
      <c r="D617" s="1"/>
    </row>
    <row r="618" spans="3:4" ht="15.75" customHeight="1" x14ac:dyDescent="0.2">
      <c r="C618" s="1"/>
      <c r="D618" s="1"/>
    </row>
    <row r="619" spans="3:4" ht="15.75" customHeight="1" x14ac:dyDescent="0.2">
      <c r="C619" s="1"/>
      <c r="D619" s="1"/>
    </row>
    <row r="620" spans="3:4" ht="15.75" customHeight="1" x14ac:dyDescent="0.2">
      <c r="C620" s="1"/>
      <c r="D620" s="1"/>
    </row>
    <row r="621" spans="3:4" ht="15.75" customHeight="1" x14ac:dyDescent="0.2">
      <c r="C621" s="1"/>
      <c r="D621" s="1"/>
    </row>
    <row r="622" spans="3:4" ht="15.75" customHeight="1" x14ac:dyDescent="0.2">
      <c r="C622" s="1"/>
      <c r="D622" s="1"/>
    </row>
    <row r="623" spans="3:4" ht="15.75" customHeight="1" x14ac:dyDescent="0.2">
      <c r="C623" s="1"/>
      <c r="D623" s="1"/>
    </row>
    <row r="624" spans="3:4" ht="15.75" customHeight="1" x14ac:dyDescent="0.2">
      <c r="C624" s="1"/>
      <c r="D624" s="1"/>
    </row>
    <row r="625" spans="3:4" ht="15.75" customHeight="1" x14ac:dyDescent="0.2">
      <c r="C625" s="1"/>
      <c r="D625" s="1"/>
    </row>
    <row r="626" spans="3:4" ht="15.75" customHeight="1" x14ac:dyDescent="0.2">
      <c r="C626" s="1"/>
      <c r="D626" s="1"/>
    </row>
    <row r="627" spans="3:4" ht="15.75" customHeight="1" x14ac:dyDescent="0.2">
      <c r="C627" s="1"/>
      <c r="D627" s="1"/>
    </row>
    <row r="628" spans="3:4" ht="15.75" customHeight="1" x14ac:dyDescent="0.2">
      <c r="C628" s="1"/>
      <c r="D628" s="1"/>
    </row>
    <row r="629" spans="3:4" ht="15.75" customHeight="1" x14ac:dyDescent="0.2">
      <c r="C629" s="1"/>
      <c r="D629" s="1"/>
    </row>
    <row r="630" spans="3:4" ht="15.75" customHeight="1" x14ac:dyDescent="0.2">
      <c r="C630" s="1"/>
      <c r="D630" s="1"/>
    </row>
    <row r="631" spans="3:4" ht="15.75" customHeight="1" x14ac:dyDescent="0.2">
      <c r="C631" s="1"/>
      <c r="D631" s="1"/>
    </row>
    <row r="632" spans="3:4" ht="15.75" customHeight="1" x14ac:dyDescent="0.2">
      <c r="C632" s="1"/>
      <c r="D632" s="1"/>
    </row>
    <row r="633" spans="3:4" ht="15.75" customHeight="1" x14ac:dyDescent="0.2">
      <c r="C633" s="1"/>
      <c r="D633" s="1"/>
    </row>
    <row r="634" spans="3:4" ht="15.75" customHeight="1" x14ac:dyDescent="0.2">
      <c r="C634" s="1"/>
      <c r="D634" s="1"/>
    </row>
    <row r="635" spans="3:4" ht="15.75" customHeight="1" x14ac:dyDescent="0.2">
      <c r="C635" s="1"/>
      <c r="D635" s="1"/>
    </row>
    <row r="636" spans="3:4" ht="15.75" customHeight="1" x14ac:dyDescent="0.2">
      <c r="C636" s="1"/>
      <c r="D636" s="1"/>
    </row>
    <row r="637" spans="3:4" ht="15.75" customHeight="1" x14ac:dyDescent="0.2">
      <c r="C637" s="1"/>
      <c r="D637" s="1"/>
    </row>
    <row r="638" spans="3:4" ht="15.75" customHeight="1" x14ac:dyDescent="0.2">
      <c r="C638" s="1"/>
      <c r="D638" s="1"/>
    </row>
    <row r="639" spans="3:4" ht="15.75" customHeight="1" x14ac:dyDescent="0.2">
      <c r="C639" s="1"/>
      <c r="D639" s="1"/>
    </row>
    <row r="640" spans="3:4" ht="15.75" customHeight="1" x14ac:dyDescent="0.2">
      <c r="C640" s="1"/>
      <c r="D640" s="1"/>
    </row>
    <row r="641" spans="3:4" ht="15.75" customHeight="1" x14ac:dyDescent="0.2">
      <c r="C641" s="1"/>
      <c r="D641" s="1"/>
    </row>
    <row r="642" spans="3:4" ht="15.75" customHeight="1" x14ac:dyDescent="0.2">
      <c r="C642" s="1"/>
      <c r="D642" s="1"/>
    </row>
    <row r="643" spans="3:4" ht="15.75" customHeight="1" x14ac:dyDescent="0.2">
      <c r="C643" s="1"/>
      <c r="D643" s="1"/>
    </row>
    <row r="644" spans="3:4" ht="15.75" customHeight="1" x14ac:dyDescent="0.2">
      <c r="C644" s="1"/>
      <c r="D644" s="1"/>
    </row>
    <row r="645" spans="3:4" ht="15.75" customHeight="1" x14ac:dyDescent="0.2">
      <c r="C645" s="1"/>
      <c r="D645" s="1"/>
    </row>
    <row r="646" spans="3:4" ht="15.75" customHeight="1" x14ac:dyDescent="0.2">
      <c r="C646" s="1"/>
      <c r="D646" s="1"/>
    </row>
    <row r="647" spans="3:4" ht="15.75" customHeight="1" x14ac:dyDescent="0.2">
      <c r="C647" s="1"/>
      <c r="D647" s="1"/>
    </row>
    <row r="648" spans="3:4" ht="15.75" customHeight="1" x14ac:dyDescent="0.2">
      <c r="C648" s="1"/>
      <c r="D648" s="1"/>
    </row>
    <row r="649" spans="3:4" ht="15.75" customHeight="1" x14ac:dyDescent="0.2">
      <c r="C649" s="1"/>
      <c r="D649" s="1"/>
    </row>
    <row r="650" spans="3:4" ht="15.75" customHeight="1" x14ac:dyDescent="0.2">
      <c r="C650" s="1"/>
      <c r="D650" s="1"/>
    </row>
    <row r="651" spans="3:4" ht="15.75" customHeight="1" x14ac:dyDescent="0.2">
      <c r="C651" s="1"/>
      <c r="D651" s="1"/>
    </row>
    <row r="652" spans="3:4" ht="15.75" customHeight="1" x14ac:dyDescent="0.2">
      <c r="C652" s="1"/>
      <c r="D652" s="1"/>
    </row>
    <row r="653" spans="3:4" ht="15.75" customHeight="1" x14ac:dyDescent="0.2">
      <c r="C653" s="1"/>
      <c r="D653" s="1"/>
    </row>
    <row r="654" spans="3:4" ht="15.75" customHeight="1" x14ac:dyDescent="0.2">
      <c r="C654" s="1"/>
      <c r="D654" s="1"/>
    </row>
    <row r="655" spans="3:4" ht="15.75" customHeight="1" x14ac:dyDescent="0.2">
      <c r="C655" s="1"/>
      <c r="D655" s="1"/>
    </row>
    <row r="656" spans="3:4" ht="15.75" customHeight="1" x14ac:dyDescent="0.2">
      <c r="C656" s="1"/>
      <c r="D656" s="1"/>
    </row>
    <row r="657" spans="3:4" ht="15.75" customHeight="1" x14ac:dyDescent="0.2">
      <c r="C657" s="1"/>
      <c r="D657" s="1"/>
    </row>
    <row r="658" spans="3:4" ht="15.75" customHeight="1" x14ac:dyDescent="0.2">
      <c r="C658" s="1"/>
      <c r="D658" s="1"/>
    </row>
    <row r="659" spans="3:4" ht="15.75" customHeight="1" x14ac:dyDescent="0.2">
      <c r="C659" s="1"/>
      <c r="D659" s="1"/>
    </row>
    <row r="660" spans="3:4" ht="15.75" customHeight="1" x14ac:dyDescent="0.2">
      <c r="C660" s="1"/>
      <c r="D660" s="1"/>
    </row>
    <row r="661" spans="3:4" ht="15.75" customHeight="1" x14ac:dyDescent="0.2">
      <c r="C661" s="1"/>
      <c r="D661" s="1"/>
    </row>
    <row r="662" spans="3:4" ht="15.75" customHeight="1" x14ac:dyDescent="0.2">
      <c r="C662" s="1"/>
      <c r="D662" s="1"/>
    </row>
    <row r="663" spans="3:4" ht="15.75" customHeight="1" x14ac:dyDescent="0.2">
      <c r="C663" s="1"/>
      <c r="D663" s="1"/>
    </row>
    <row r="664" spans="3:4" ht="15.75" customHeight="1" x14ac:dyDescent="0.2">
      <c r="C664" s="1"/>
      <c r="D664" s="1"/>
    </row>
    <row r="665" spans="3:4" ht="15.75" customHeight="1" x14ac:dyDescent="0.2">
      <c r="C665" s="1"/>
      <c r="D665" s="1"/>
    </row>
    <row r="666" spans="3:4" ht="15.75" customHeight="1" x14ac:dyDescent="0.2">
      <c r="C666" s="1"/>
      <c r="D666" s="1"/>
    </row>
    <row r="667" spans="3:4" ht="15.75" customHeight="1" x14ac:dyDescent="0.2">
      <c r="C667" s="1"/>
      <c r="D667" s="1"/>
    </row>
    <row r="668" spans="3:4" ht="15.75" customHeight="1" x14ac:dyDescent="0.2">
      <c r="C668" s="1"/>
      <c r="D668" s="1"/>
    </row>
    <row r="669" spans="3:4" ht="15.75" customHeight="1" x14ac:dyDescent="0.2">
      <c r="C669" s="1"/>
      <c r="D669" s="1"/>
    </row>
    <row r="670" spans="3:4" ht="15.75" customHeight="1" x14ac:dyDescent="0.2">
      <c r="C670" s="1"/>
      <c r="D670" s="1"/>
    </row>
    <row r="671" spans="3:4" ht="15.75" customHeight="1" x14ac:dyDescent="0.2">
      <c r="C671" s="1"/>
      <c r="D671" s="1"/>
    </row>
    <row r="672" spans="3:4" ht="15.75" customHeight="1" x14ac:dyDescent="0.2">
      <c r="C672" s="1"/>
      <c r="D672" s="1"/>
    </row>
    <row r="673" spans="3:4" ht="15.75" customHeight="1" x14ac:dyDescent="0.2">
      <c r="C673" s="1"/>
      <c r="D673" s="1"/>
    </row>
    <row r="674" spans="3:4" ht="15.75" customHeight="1" x14ac:dyDescent="0.2">
      <c r="C674" s="1"/>
      <c r="D674" s="1"/>
    </row>
    <row r="675" spans="3:4" ht="15.75" customHeight="1" x14ac:dyDescent="0.2">
      <c r="C675" s="1"/>
      <c r="D675" s="1"/>
    </row>
    <row r="676" spans="3:4" ht="15.75" customHeight="1" x14ac:dyDescent="0.2">
      <c r="C676" s="1"/>
      <c r="D676" s="1"/>
    </row>
    <row r="677" spans="3:4" ht="15.75" customHeight="1" x14ac:dyDescent="0.2">
      <c r="C677" s="1"/>
      <c r="D677" s="1"/>
    </row>
    <row r="678" spans="3:4" ht="15.75" customHeight="1" x14ac:dyDescent="0.2">
      <c r="C678" s="1"/>
      <c r="D678" s="1"/>
    </row>
    <row r="679" spans="3:4" ht="15.75" customHeight="1" x14ac:dyDescent="0.2">
      <c r="C679" s="1"/>
      <c r="D679" s="1"/>
    </row>
    <row r="680" spans="3:4" ht="15.75" customHeight="1" x14ac:dyDescent="0.2">
      <c r="C680" s="1"/>
      <c r="D680" s="1"/>
    </row>
    <row r="681" spans="3:4" ht="15.75" customHeight="1" x14ac:dyDescent="0.2">
      <c r="C681" s="1"/>
      <c r="D681" s="1"/>
    </row>
    <row r="682" spans="3:4" ht="15.75" customHeight="1" x14ac:dyDescent="0.2">
      <c r="C682" s="1"/>
      <c r="D682" s="1"/>
    </row>
    <row r="683" spans="3:4" ht="15.75" customHeight="1" x14ac:dyDescent="0.2">
      <c r="C683" s="1"/>
      <c r="D683" s="1"/>
    </row>
    <row r="684" spans="3:4" ht="15.75" customHeight="1" x14ac:dyDescent="0.2">
      <c r="C684" s="1"/>
      <c r="D684" s="1"/>
    </row>
    <row r="685" spans="3:4" ht="15.75" customHeight="1" x14ac:dyDescent="0.2">
      <c r="C685" s="1"/>
      <c r="D685" s="1"/>
    </row>
    <row r="686" spans="3:4" ht="15.75" customHeight="1" x14ac:dyDescent="0.2">
      <c r="C686" s="1"/>
      <c r="D686" s="1"/>
    </row>
    <row r="687" spans="3:4" ht="15.75" customHeight="1" x14ac:dyDescent="0.2">
      <c r="C687" s="1"/>
      <c r="D687" s="1"/>
    </row>
    <row r="688" spans="3:4" ht="15.75" customHeight="1" x14ac:dyDescent="0.2">
      <c r="C688" s="1"/>
      <c r="D688" s="1"/>
    </row>
    <row r="689" spans="3:4" ht="15.75" customHeight="1" x14ac:dyDescent="0.2">
      <c r="C689" s="1"/>
      <c r="D689" s="1"/>
    </row>
    <row r="690" spans="3:4" ht="15.75" customHeight="1" x14ac:dyDescent="0.2">
      <c r="C690" s="1"/>
      <c r="D690" s="1"/>
    </row>
    <row r="691" spans="3:4" ht="15.75" customHeight="1" x14ac:dyDescent="0.2">
      <c r="C691" s="1"/>
      <c r="D691" s="1"/>
    </row>
    <row r="692" spans="3:4" ht="15.75" customHeight="1" x14ac:dyDescent="0.2">
      <c r="C692" s="1"/>
      <c r="D692" s="1"/>
    </row>
    <row r="693" spans="3:4" ht="15.75" customHeight="1" x14ac:dyDescent="0.2">
      <c r="C693" s="1"/>
      <c r="D693" s="1"/>
    </row>
    <row r="694" spans="3:4" ht="15.75" customHeight="1" x14ac:dyDescent="0.2">
      <c r="C694" s="1"/>
      <c r="D694" s="1"/>
    </row>
    <row r="695" spans="3:4" ht="15.75" customHeight="1" x14ac:dyDescent="0.2">
      <c r="C695" s="1"/>
      <c r="D695" s="1"/>
    </row>
    <row r="696" spans="3:4" ht="15.75" customHeight="1" x14ac:dyDescent="0.2">
      <c r="C696" s="1"/>
      <c r="D696" s="1"/>
    </row>
    <row r="697" spans="3:4" ht="15.75" customHeight="1" x14ac:dyDescent="0.2">
      <c r="C697" s="1"/>
      <c r="D697" s="1"/>
    </row>
    <row r="698" spans="3:4" ht="15.75" customHeight="1" x14ac:dyDescent="0.2">
      <c r="C698" s="1"/>
      <c r="D698" s="1"/>
    </row>
    <row r="699" spans="3:4" ht="15.75" customHeight="1" x14ac:dyDescent="0.2">
      <c r="C699" s="1"/>
      <c r="D699" s="1"/>
    </row>
    <row r="700" spans="3:4" ht="15.75" customHeight="1" x14ac:dyDescent="0.2">
      <c r="C700" s="1"/>
      <c r="D700" s="1"/>
    </row>
    <row r="701" spans="3:4" ht="15.75" customHeight="1" x14ac:dyDescent="0.2">
      <c r="C701" s="1"/>
      <c r="D701" s="1"/>
    </row>
    <row r="702" spans="3:4" ht="15.75" customHeight="1" x14ac:dyDescent="0.2">
      <c r="C702" s="1"/>
      <c r="D702" s="1"/>
    </row>
    <row r="703" spans="3:4" ht="15.75" customHeight="1" x14ac:dyDescent="0.2">
      <c r="C703" s="1"/>
      <c r="D703" s="1"/>
    </row>
    <row r="704" spans="3:4" ht="15.75" customHeight="1" x14ac:dyDescent="0.2">
      <c r="C704" s="1"/>
      <c r="D704" s="1"/>
    </row>
    <row r="705" spans="3:4" ht="15.75" customHeight="1" x14ac:dyDescent="0.2">
      <c r="C705" s="1"/>
      <c r="D705" s="1"/>
    </row>
    <row r="706" spans="3:4" ht="15.75" customHeight="1" x14ac:dyDescent="0.2">
      <c r="C706" s="1"/>
      <c r="D706" s="1"/>
    </row>
    <row r="707" spans="3:4" ht="15.75" customHeight="1" x14ac:dyDescent="0.2">
      <c r="C707" s="1"/>
      <c r="D707" s="1"/>
    </row>
    <row r="708" spans="3:4" ht="15.75" customHeight="1" x14ac:dyDescent="0.2">
      <c r="C708" s="1"/>
      <c r="D708" s="1"/>
    </row>
    <row r="709" spans="3:4" ht="15.75" customHeight="1" x14ac:dyDescent="0.2">
      <c r="C709" s="1"/>
      <c r="D709" s="1"/>
    </row>
    <row r="710" spans="3:4" ht="15.75" customHeight="1" x14ac:dyDescent="0.2">
      <c r="C710" s="1"/>
      <c r="D710" s="1"/>
    </row>
    <row r="711" spans="3:4" ht="15.75" customHeight="1" x14ac:dyDescent="0.2">
      <c r="C711" s="1"/>
      <c r="D711" s="1"/>
    </row>
    <row r="712" spans="3:4" ht="15.75" customHeight="1" x14ac:dyDescent="0.2">
      <c r="C712" s="1"/>
      <c r="D712" s="1"/>
    </row>
    <row r="713" spans="3:4" ht="15.75" customHeight="1" x14ac:dyDescent="0.2">
      <c r="C713" s="1"/>
      <c r="D713" s="1"/>
    </row>
    <row r="714" spans="3:4" ht="15.75" customHeight="1" x14ac:dyDescent="0.2">
      <c r="C714" s="1"/>
      <c r="D714" s="1"/>
    </row>
    <row r="715" spans="3:4" ht="15.75" customHeight="1" x14ac:dyDescent="0.2">
      <c r="C715" s="1"/>
      <c r="D715" s="1"/>
    </row>
    <row r="716" spans="3:4" ht="15.75" customHeight="1" x14ac:dyDescent="0.2">
      <c r="C716" s="1"/>
      <c r="D716" s="1"/>
    </row>
    <row r="717" spans="3:4" ht="15.75" customHeight="1" x14ac:dyDescent="0.2">
      <c r="C717" s="1"/>
      <c r="D717" s="1"/>
    </row>
    <row r="718" spans="3:4" ht="15.75" customHeight="1" x14ac:dyDescent="0.2">
      <c r="C718" s="1"/>
      <c r="D718" s="1"/>
    </row>
    <row r="719" spans="3:4" ht="15.75" customHeight="1" x14ac:dyDescent="0.2">
      <c r="C719" s="1"/>
      <c r="D719" s="1"/>
    </row>
    <row r="720" spans="3:4" ht="15.75" customHeight="1" x14ac:dyDescent="0.2">
      <c r="C720" s="1"/>
      <c r="D720" s="1"/>
    </row>
    <row r="721" spans="3:4" ht="15.75" customHeight="1" x14ac:dyDescent="0.2">
      <c r="C721" s="1"/>
      <c r="D721" s="1"/>
    </row>
    <row r="722" spans="3:4" ht="15.75" customHeight="1" x14ac:dyDescent="0.2">
      <c r="C722" s="1"/>
      <c r="D722" s="1"/>
    </row>
    <row r="723" spans="3:4" ht="15.75" customHeight="1" x14ac:dyDescent="0.2">
      <c r="C723" s="1"/>
      <c r="D723" s="1"/>
    </row>
    <row r="724" spans="3:4" ht="15.75" customHeight="1" x14ac:dyDescent="0.2">
      <c r="C724" s="1"/>
      <c r="D724" s="1"/>
    </row>
    <row r="725" spans="3:4" ht="15.75" customHeight="1" x14ac:dyDescent="0.2">
      <c r="C725" s="1"/>
      <c r="D725" s="1"/>
    </row>
    <row r="726" spans="3:4" ht="15.75" customHeight="1" x14ac:dyDescent="0.2">
      <c r="C726" s="1"/>
      <c r="D726" s="1"/>
    </row>
    <row r="727" spans="3:4" ht="15.75" customHeight="1" x14ac:dyDescent="0.2">
      <c r="C727" s="1"/>
      <c r="D727" s="1"/>
    </row>
    <row r="728" spans="3:4" ht="15.75" customHeight="1" x14ac:dyDescent="0.2">
      <c r="C728" s="1"/>
      <c r="D728" s="1"/>
    </row>
    <row r="729" spans="3:4" ht="15.75" customHeight="1" x14ac:dyDescent="0.2">
      <c r="C729" s="1"/>
      <c r="D729" s="1"/>
    </row>
    <row r="730" spans="3:4" ht="15.75" customHeight="1" x14ac:dyDescent="0.2">
      <c r="C730" s="1"/>
      <c r="D730" s="1"/>
    </row>
    <row r="731" spans="3:4" ht="15.75" customHeight="1" x14ac:dyDescent="0.2">
      <c r="C731" s="1"/>
      <c r="D731" s="1"/>
    </row>
    <row r="732" spans="3:4" ht="15.75" customHeight="1" x14ac:dyDescent="0.2">
      <c r="C732" s="1"/>
      <c r="D732" s="1"/>
    </row>
    <row r="733" spans="3:4" ht="15.75" customHeight="1" x14ac:dyDescent="0.2">
      <c r="C733" s="1"/>
      <c r="D733" s="1"/>
    </row>
    <row r="734" spans="3:4" ht="15.75" customHeight="1" x14ac:dyDescent="0.2">
      <c r="C734" s="1"/>
      <c r="D734" s="1"/>
    </row>
    <row r="735" spans="3:4" ht="15.75" customHeight="1" x14ac:dyDescent="0.2">
      <c r="C735" s="1"/>
      <c r="D735" s="1"/>
    </row>
    <row r="736" spans="3:4" ht="15.75" customHeight="1" x14ac:dyDescent="0.2">
      <c r="C736" s="1"/>
      <c r="D736" s="1"/>
    </row>
    <row r="737" spans="3:4" ht="15.75" customHeight="1" x14ac:dyDescent="0.2">
      <c r="C737" s="1"/>
      <c r="D737" s="1"/>
    </row>
    <row r="738" spans="3:4" ht="15.75" customHeight="1" x14ac:dyDescent="0.2">
      <c r="C738" s="1"/>
      <c r="D738" s="1"/>
    </row>
    <row r="739" spans="3:4" ht="15.75" customHeight="1" x14ac:dyDescent="0.2">
      <c r="C739" s="1"/>
      <c r="D739" s="1"/>
    </row>
    <row r="740" spans="3:4" ht="15.75" customHeight="1" x14ac:dyDescent="0.2">
      <c r="C740" s="1"/>
      <c r="D740" s="1"/>
    </row>
    <row r="741" spans="3:4" ht="15.75" customHeight="1" x14ac:dyDescent="0.2">
      <c r="C741" s="1"/>
      <c r="D741" s="1"/>
    </row>
    <row r="742" spans="3:4" ht="15.75" customHeight="1" x14ac:dyDescent="0.2">
      <c r="C742" s="1"/>
      <c r="D742" s="1"/>
    </row>
    <row r="743" spans="3:4" ht="15.75" customHeight="1" x14ac:dyDescent="0.2">
      <c r="C743" s="1"/>
      <c r="D743" s="1"/>
    </row>
    <row r="744" spans="3:4" ht="15.75" customHeight="1" x14ac:dyDescent="0.2">
      <c r="C744" s="1"/>
      <c r="D744" s="1"/>
    </row>
    <row r="745" spans="3:4" ht="15.75" customHeight="1" x14ac:dyDescent="0.2">
      <c r="C745" s="1"/>
      <c r="D745" s="1"/>
    </row>
    <row r="746" spans="3:4" ht="15.75" customHeight="1" x14ac:dyDescent="0.2">
      <c r="C746" s="1"/>
      <c r="D746" s="1"/>
    </row>
    <row r="747" spans="3:4" ht="15.75" customHeight="1" x14ac:dyDescent="0.2">
      <c r="C747" s="1"/>
      <c r="D747" s="1"/>
    </row>
    <row r="748" spans="3:4" ht="15.75" customHeight="1" x14ac:dyDescent="0.2">
      <c r="C748" s="1"/>
      <c r="D748" s="1"/>
    </row>
    <row r="749" spans="3:4" ht="15.75" customHeight="1" x14ac:dyDescent="0.2">
      <c r="C749" s="1"/>
      <c r="D749" s="1"/>
    </row>
    <row r="750" spans="3:4" ht="15.75" customHeight="1" x14ac:dyDescent="0.2">
      <c r="C750" s="1"/>
      <c r="D750" s="1"/>
    </row>
    <row r="751" spans="3:4" ht="15.75" customHeight="1" x14ac:dyDescent="0.2">
      <c r="C751" s="1"/>
      <c r="D751" s="1"/>
    </row>
    <row r="752" spans="3:4" ht="15.75" customHeight="1" x14ac:dyDescent="0.2">
      <c r="C752" s="1"/>
      <c r="D752" s="1"/>
    </row>
    <row r="753" spans="3:4" ht="15.75" customHeight="1" x14ac:dyDescent="0.2">
      <c r="C753" s="1"/>
      <c r="D753" s="1"/>
    </row>
    <row r="754" spans="3:4" ht="15.75" customHeight="1" x14ac:dyDescent="0.2">
      <c r="C754" s="1"/>
      <c r="D754" s="1"/>
    </row>
    <row r="755" spans="3:4" ht="15.75" customHeight="1" x14ac:dyDescent="0.2">
      <c r="C755" s="1"/>
      <c r="D755" s="1"/>
    </row>
    <row r="756" spans="3:4" ht="15.75" customHeight="1" x14ac:dyDescent="0.2">
      <c r="C756" s="1"/>
      <c r="D756" s="1"/>
    </row>
    <row r="757" spans="3:4" ht="15.75" customHeight="1" x14ac:dyDescent="0.2">
      <c r="C757" s="1"/>
      <c r="D757" s="1"/>
    </row>
    <row r="758" spans="3:4" ht="15.75" customHeight="1" x14ac:dyDescent="0.2">
      <c r="C758" s="1"/>
      <c r="D758" s="1"/>
    </row>
    <row r="759" spans="3:4" ht="15.75" customHeight="1" x14ac:dyDescent="0.2">
      <c r="C759" s="1"/>
      <c r="D759" s="1"/>
    </row>
    <row r="760" spans="3:4" ht="15.75" customHeight="1" x14ac:dyDescent="0.2">
      <c r="C760" s="1"/>
      <c r="D760" s="1"/>
    </row>
    <row r="761" spans="3:4" ht="15.75" customHeight="1" x14ac:dyDescent="0.2">
      <c r="C761" s="1"/>
      <c r="D761" s="1"/>
    </row>
    <row r="762" spans="3:4" ht="15.75" customHeight="1" x14ac:dyDescent="0.2">
      <c r="C762" s="1"/>
      <c r="D762" s="1"/>
    </row>
    <row r="763" spans="3:4" ht="15.75" customHeight="1" x14ac:dyDescent="0.2">
      <c r="C763" s="1"/>
      <c r="D763" s="1"/>
    </row>
    <row r="764" spans="3:4" ht="15.75" customHeight="1" x14ac:dyDescent="0.2">
      <c r="C764" s="1"/>
      <c r="D764" s="1"/>
    </row>
    <row r="765" spans="3:4" ht="15.75" customHeight="1" x14ac:dyDescent="0.2">
      <c r="C765" s="1"/>
      <c r="D765" s="1"/>
    </row>
    <row r="766" spans="3:4" ht="15.75" customHeight="1" x14ac:dyDescent="0.2">
      <c r="C766" s="1"/>
      <c r="D766" s="1"/>
    </row>
    <row r="767" spans="3:4" ht="15.75" customHeight="1" x14ac:dyDescent="0.2">
      <c r="C767" s="1"/>
      <c r="D767" s="1"/>
    </row>
    <row r="768" spans="3:4" ht="15.75" customHeight="1" x14ac:dyDescent="0.2">
      <c r="C768" s="1"/>
      <c r="D768" s="1"/>
    </row>
    <row r="769" spans="3:4" ht="15.75" customHeight="1" x14ac:dyDescent="0.2">
      <c r="C769" s="1"/>
      <c r="D769" s="1"/>
    </row>
    <row r="770" spans="3:4" ht="15.75" customHeight="1" x14ac:dyDescent="0.2">
      <c r="C770" s="1"/>
      <c r="D770" s="1"/>
    </row>
    <row r="771" spans="3:4" ht="15.75" customHeight="1" x14ac:dyDescent="0.2">
      <c r="C771" s="1"/>
      <c r="D771" s="1"/>
    </row>
    <row r="772" spans="3:4" ht="15.75" customHeight="1" x14ac:dyDescent="0.2">
      <c r="C772" s="1"/>
      <c r="D772" s="1"/>
    </row>
    <row r="773" spans="3:4" ht="15.75" customHeight="1" x14ac:dyDescent="0.2">
      <c r="C773" s="1"/>
      <c r="D773" s="1"/>
    </row>
    <row r="774" spans="3:4" ht="15.75" customHeight="1" x14ac:dyDescent="0.2">
      <c r="C774" s="1"/>
      <c r="D774" s="1"/>
    </row>
    <row r="775" spans="3:4" ht="15.75" customHeight="1" x14ac:dyDescent="0.2">
      <c r="C775" s="1"/>
      <c r="D775" s="1"/>
    </row>
    <row r="776" spans="3:4" ht="15.75" customHeight="1" x14ac:dyDescent="0.2">
      <c r="C776" s="1"/>
      <c r="D776" s="1"/>
    </row>
    <row r="777" spans="3:4" ht="15.75" customHeight="1" x14ac:dyDescent="0.2">
      <c r="C777" s="1"/>
      <c r="D777" s="1"/>
    </row>
    <row r="778" spans="3:4" ht="15.75" customHeight="1" x14ac:dyDescent="0.2">
      <c r="C778" s="1"/>
      <c r="D778" s="1"/>
    </row>
    <row r="779" spans="3:4" ht="15.75" customHeight="1" x14ac:dyDescent="0.2">
      <c r="C779" s="1"/>
      <c r="D779" s="1"/>
    </row>
    <row r="780" spans="3:4" ht="15.75" customHeight="1" x14ac:dyDescent="0.2">
      <c r="C780" s="1"/>
      <c r="D780" s="1"/>
    </row>
    <row r="781" spans="3:4" ht="15.75" customHeight="1" x14ac:dyDescent="0.2">
      <c r="C781" s="1"/>
      <c r="D781" s="1"/>
    </row>
    <row r="782" spans="3:4" ht="15.75" customHeight="1" x14ac:dyDescent="0.2">
      <c r="C782" s="1"/>
      <c r="D782" s="1"/>
    </row>
    <row r="783" spans="3:4" ht="15.75" customHeight="1" x14ac:dyDescent="0.2">
      <c r="C783" s="1"/>
      <c r="D783" s="1"/>
    </row>
    <row r="784" spans="3:4" ht="15.75" customHeight="1" x14ac:dyDescent="0.2">
      <c r="C784" s="1"/>
      <c r="D784" s="1"/>
    </row>
    <row r="785" spans="3:4" ht="15.75" customHeight="1" x14ac:dyDescent="0.2">
      <c r="C785" s="1"/>
      <c r="D785" s="1"/>
    </row>
    <row r="786" spans="3:4" ht="15.75" customHeight="1" x14ac:dyDescent="0.2">
      <c r="C786" s="1"/>
      <c r="D786" s="1"/>
    </row>
    <row r="787" spans="3:4" ht="15.75" customHeight="1" x14ac:dyDescent="0.2">
      <c r="C787" s="1"/>
      <c r="D787" s="1"/>
    </row>
    <row r="788" spans="3:4" ht="15.75" customHeight="1" x14ac:dyDescent="0.2">
      <c r="C788" s="1"/>
      <c r="D788" s="1"/>
    </row>
    <row r="789" spans="3:4" ht="15.75" customHeight="1" x14ac:dyDescent="0.2">
      <c r="C789" s="1"/>
      <c r="D789" s="1"/>
    </row>
    <row r="790" spans="3:4" ht="15.75" customHeight="1" x14ac:dyDescent="0.2">
      <c r="C790" s="1"/>
      <c r="D790" s="1"/>
    </row>
    <row r="791" spans="3:4" ht="15.75" customHeight="1" x14ac:dyDescent="0.2">
      <c r="C791" s="1"/>
      <c r="D791" s="1"/>
    </row>
    <row r="792" spans="3:4" ht="15.75" customHeight="1" x14ac:dyDescent="0.2">
      <c r="C792" s="1"/>
      <c r="D792" s="1"/>
    </row>
    <row r="793" spans="3:4" ht="15.75" customHeight="1" x14ac:dyDescent="0.2">
      <c r="C793" s="1"/>
      <c r="D793" s="1"/>
    </row>
    <row r="794" spans="3:4" ht="15.75" customHeight="1" x14ac:dyDescent="0.2">
      <c r="C794" s="1"/>
      <c r="D794" s="1"/>
    </row>
    <row r="795" spans="3:4" ht="15.75" customHeight="1" x14ac:dyDescent="0.2">
      <c r="C795" s="1"/>
      <c r="D795" s="1"/>
    </row>
    <row r="796" spans="3:4" ht="15.75" customHeight="1" x14ac:dyDescent="0.2">
      <c r="C796" s="1"/>
      <c r="D796" s="1"/>
    </row>
    <row r="797" spans="3:4" ht="15.75" customHeight="1" x14ac:dyDescent="0.2">
      <c r="C797" s="1"/>
      <c r="D797" s="1"/>
    </row>
    <row r="798" spans="3:4" ht="15.75" customHeight="1" x14ac:dyDescent="0.2">
      <c r="C798" s="1"/>
      <c r="D798" s="1"/>
    </row>
    <row r="799" spans="3:4" ht="15.75" customHeight="1" x14ac:dyDescent="0.2">
      <c r="C799" s="1"/>
      <c r="D799" s="1"/>
    </row>
    <row r="800" spans="3:4" ht="15.75" customHeight="1" x14ac:dyDescent="0.2">
      <c r="C800" s="1"/>
      <c r="D800" s="1"/>
    </row>
    <row r="801" spans="3:4" ht="15.75" customHeight="1" x14ac:dyDescent="0.2">
      <c r="C801" s="1"/>
      <c r="D801" s="1"/>
    </row>
    <row r="802" spans="3:4" ht="15.75" customHeight="1" x14ac:dyDescent="0.2">
      <c r="C802" s="1"/>
      <c r="D802" s="1"/>
    </row>
    <row r="803" spans="3:4" ht="15.75" customHeight="1" x14ac:dyDescent="0.2">
      <c r="C803" s="1"/>
      <c r="D803" s="1"/>
    </row>
    <row r="804" spans="3:4" ht="15.75" customHeight="1" x14ac:dyDescent="0.2">
      <c r="C804" s="1"/>
      <c r="D804" s="1"/>
    </row>
    <row r="805" spans="3:4" ht="15.75" customHeight="1" x14ac:dyDescent="0.2">
      <c r="C805" s="1"/>
      <c r="D805" s="1"/>
    </row>
    <row r="806" spans="3:4" ht="15.75" customHeight="1" x14ac:dyDescent="0.2">
      <c r="C806" s="1"/>
      <c r="D806" s="1"/>
    </row>
    <row r="807" spans="3:4" ht="15.75" customHeight="1" x14ac:dyDescent="0.2">
      <c r="C807" s="1"/>
      <c r="D807" s="1"/>
    </row>
    <row r="808" spans="3:4" ht="15.75" customHeight="1" x14ac:dyDescent="0.2">
      <c r="C808" s="1"/>
      <c r="D808" s="1"/>
    </row>
    <row r="809" spans="3:4" ht="15.75" customHeight="1" x14ac:dyDescent="0.2">
      <c r="C809" s="1"/>
      <c r="D809" s="1"/>
    </row>
    <row r="810" spans="3:4" ht="15.75" customHeight="1" x14ac:dyDescent="0.2">
      <c r="C810" s="1"/>
      <c r="D810" s="1"/>
    </row>
    <row r="811" spans="3:4" ht="15.75" customHeight="1" x14ac:dyDescent="0.2">
      <c r="C811" s="1"/>
      <c r="D811" s="1"/>
    </row>
    <row r="812" spans="3:4" ht="15.75" customHeight="1" x14ac:dyDescent="0.2">
      <c r="C812" s="1"/>
      <c r="D812" s="1"/>
    </row>
    <row r="813" spans="3:4" ht="15.75" customHeight="1" x14ac:dyDescent="0.2">
      <c r="C813" s="1"/>
      <c r="D813" s="1"/>
    </row>
    <row r="814" spans="3:4" ht="15.75" customHeight="1" x14ac:dyDescent="0.2">
      <c r="C814" s="1"/>
      <c r="D814" s="1"/>
    </row>
    <row r="815" spans="3:4" ht="15.75" customHeight="1" x14ac:dyDescent="0.2">
      <c r="C815" s="1"/>
      <c r="D815" s="1"/>
    </row>
    <row r="816" spans="3:4" ht="15.75" customHeight="1" x14ac:dyDescent="0.2">
      <c r="C816" s="1"/>
      <c r="D816" s="1"/>
    </row>
    <row r="817" spans="3:4" ht="15.75" customHeight="1" x14ac:dyDescent="0.2">
      <c r="C817" s="1"/>
      <c r="D817" s="1"/>
    </row>
    <row r="818" spans="3:4" ht="15.75" customHeight="1" x14ac:dyDescent="0.2">
      <c r="C818" s="1"/>
      <c r="D818" s="1"/>
    </row>
    <row r="819" spans="3:4" ht="15.75" customHeight="1" x14ac:dyDescent="0.2">
      <c r="C819" s="1"/>
      <c r="D819" s="1"/>
    </row>
    <row r="820" spans="3:4" ht="15.75" customHeight="1" x14ac:dyDescent="0.2">
      <c r="C820" s="1"/>
      <c r="D820" s="1"/>
    </row>
    <row r="821" spans="3:4" ht="15.75" customHeight="1" x14ac:dyDescent="0.2">
      <c r="C821" s="1"/>
      <c r="D821" s="1"/>
    </row>
    <row r="822" spans="3:4" ht="15.75" customHeight="1" x14ac:dyDescent="0.2">
      <c r="C822" s="1"/>
      <c r="D822" s="1"/>
    </row>
    <row r="823" spans="3:4" ht="15.75" customHeight="1" x14ac:dyDescent="0.2">
      <c r="C823" s="1"/>
      <c r="D823" s="1"/>
    </row>
    <row r="824" spans="3:4" ht="15.75" customHeight="1" x14ac:dyDescent="0.2">
      <c r="C824" s="1"/>
      <c r="D824" s="1"/>
    </row>
    <row r="825" spans="3:4" ht="15.75" customHeight="1" x14ac:dyDescent="0.2">
      <c r="C825" s="1"/>
      <c r="D825" s="1"/>
    </row>
    <row r="826" spans="3:4" ht="15.75" customHeight="1" x14ac:dyDescent="0.2">
      <c r="C826" s="1"/>
      <c r="D826" s="1"/>
    </row>
    <row r="827" spans="3:4" ht="15.75" customHeight="1" x14ac:dyDescent="0.2">
      <c r="C827" s="1"/>
      <c r="D827" s="1"/>
    </row>
    <row r="828" spans="3:4" ht="15.75" customHeight="1" x14ac:dyDescent="0.2">
      <c r="C828" s="1"/>
      <c r="D828" s="1"/>
    </row>
    <row r="829" spans="3:4" ht="15.75" customHeight="1" x14ac:dyDescent="0.2">
      <c r="C829" s="1"/>
      <c r="D829" s="1"/>
    </row>
    <row r="830" spans="3:4" ht="15.75" customHeight="1" x14ac:dyDescent="0.2">
      <c r="C830" s="1"/>
      <c r="D830" s="1"/>
    </row>
    <row r="831" spans="3:4" ht="15.75" customHeight="1" x14ac:dyDescent="0.2">
      <c r="C831" s="1"/>
      <c r="D831" s="1"/>
    </row>
    <row r="832" spans="3:4" ht="15.75" customHeight="1" x14ac:dyDescent="0.2">
      <c r="C832" s="1"/>
      <c r="D832" s="1"/>
    </row>
    <row r="833" spans="3:4" ht="15.75" customHeight="1" x14ac:dyDescent="0.2">
      <c r="C833" s="1"/>
      <c r="D833" s="1"/>
    </row>
    <row r="834" spans="3:4" ht="15.75" customHeight="1" x14ac:dyDescent="0.2">
      <c r="C834" s="1"/>
      <c r="D834" s="1"/>
    </row>
    <row r="835" spans="3:4" ht="15.75" customHeight="1" x14ac:dyDescent="0.2">
      <c r="C835" s="1"/>
      <c r="D835" s="1"/>
    </row>
    <row r="836" spans="3:4" ht="15.75" customHeight="1" x14ac:dyDescent="0.2">
      <c r="C836" s="1"/>
      <c r="D836" s="1"/>
    </row>
    <row r="837" spans="3:4" ht="15.75" customHeight="1" x14ac:dyDescent="0.2">
      <c r="C837" s="1"/>
      <c r="D837" s="1"/>
    </row>
    <row r="838" spans="3:4" ht="15.75" customHeight="1" x14ac:dyDescent="0.2">
      <c r="C838" s="1"/>
      <c r="D838" s="1"/>
    </row>
    <row r="839" spans="3:4" ht="15.75" customHeight="1" x14ac:dyDescent="0.2">
      <c r="C839" s="1"/>
      <c r="D839" s="1"/>
    </row>
    <row r="840" spans="3:4" ht="15.75" customHeight="1" x14ac:dyDescent="0.2">
      <c r="C840" s="1"/>
      <c r="D840" s="1"/>
    </row>
    <row r="841" spans="3:4" ht="15.75" customHeight="1" x14ac:dyDescent="0.2">
      <c r="C841" s="1"/>
      <c r="D841" s="1"/>
    </row>
    <row r="842" spans="3:4" ht="15.75" customHeight="1" x14ac:dyDescent="0.2">
      <c r="C842" s="1"/>
      <c r="D842" s="1"/>
    </row>
    <row r="843" spans="3:4" ht="15.75" customHeight="1" x14ac:dyDescent="0.2">
      <c r="C843" s="1"/>
      <c r="D843" s="1"/>
    </row>
    <row r="844" spans="3:4" ht="15.75" customHeight="1" x14ac:dyDescent="0.2">
      <c r="C844" s="1"/>
      <c r="D844" s="1"/>
    </row>
    <row r="845" spans="3:4" ht="15.75" customHeight="1" x14ac:dyDescent="0.2">
      <c r="C845" s="1"/>
      <c r="D845" s="1"/>
    </row>
    <row r="846" spans="3:4" ht="15.75" customHeight="1" x14ac:dyDescent="0.2">
      <c r="C846" s="1"/>
      <c r="D846" s="1"/>
    </row>
    <row r="847" spans="3:4" ht="15.75" customHeight="1" x14ac:dyDescent="0.2">
      <c r="C847" s="1"/>
      <c r="D847" s="1"/>
    </row>
    <row r="848" spans="3:4" ht="15.75" customHeight="1" x14ac:dyDescent="0.2">
      <c r="C848" s="1"/>
      <c r="D848" s="1"/>
    </row>
    <row r="849" spans="3:4" ht="15.75" customHeight="1" x14ac:dyDescent="0.2">
      <c r="C849" s="1"/>
      <c r="D849" s="1"/>
    </row>
    <row r="850" spans="3:4" ht="15.75" customHeight="1" x14ac:dyDescent="0.2">
      <c r="C850" s="1"/>
      <c r="D850" s="1"/>
    </row>
    <row r="851" spans="3:4" ht="15.75" customHeight="1" x14ac:dyDescent="0.2">
      <c r="C851" s="1"/>
      <c r="D851" s="1"/>
    </row>
    <row r="852" spans="3:4" ht="15.75" customHeight="1" x14ac:dyDescent="0.2">
      <c r="C852" s="1"/>
      <c r="D852" s="1"/>
    </row>
    <row r="853" spans="3:4" ht="15.75" customHeight="1" x14ac:dyDescent="0.2">
      <c r="C853" s="1"/>
      <c r="D853" s="1"/>
    </row>
    <row r="854" spans="3:4" ht="15.75" customHeight="1" x14ac:dyDescent="0.2">
      <c r="C854" s="1"/>
      <c r="D854" s="1"/>
    </row>
    <row r="855" spans="3:4" ht="15.75" customHeight="1" x14ac:dyDescent="0.2">
      <c r="C855" s="1"/>
      <c r="D855" s="1"/>
    </row>
    <row r="856" spans="3:4" ht="15.75" customHeight="1" x14ac:dyDescent="0.2">
      <c r="C856" s="1"/>
      <c r="D856" s="1"/>
    </row>
    <row r="857" spans="3:4" ht="15.75" customHeight="1" x14ac:dyDescent="0.2">
      <c r="C857" s="1"/>
      <c r="D857" s="1"/>
    </row>
    <row r="858" spans="3:4" ht="15.75" customHeight="1" x14ac:dyDescent="0.2">
      <c r="C858" s="1"/>
      <c r="D858" s="1"/>
    </row>
    <row r="859" spans="3:4" ht="15.75" customHeight="1" x14ac:dyDescent="0.2">
      <c r="C859" s="1"/>
      <c r="D859" s="1"/>
    </row>
    <row r="860" spans="3:4" ht="15.75" customHeight="1" x14ac:dyDescent="0.2">
      <c r="C860" s="1"/>
      <c r="D860" s="1"/>
    </row>
    <row r="861" spans="3:4" ht="15.75" customHeight="1" x14ac:dyDescent="0.2">
      <c r="C861" s="1"/>
      <c r="D861" s="1"/>
    </row>
    <row r="862" spans="3:4" ht="15.75" customHeight="1" x14ac:dyDescent="0.2">
      <c r="C862" s="1"/>
      <c r="D862" s="1"/>
    </row>
    <row r="863" spans="3:4" ht="15.75" customHeight="1" x14ac:dyDescent="0.2">
      <c r="C863" s="1"/>
      <c r="D863" s="1"/>
    </row>
    <row r="864" spans="3:4" ht="15.75" customHeight="1" x14ac:dyDescent="0.2">
      <c r="C864" s="1"/>
      <c r="D864" s="1"/>
    </row>
    <row r="865" spans="3:4" ht="15.75" customHeight="1" x14ac:dyDescent="0.2">
      <c r="C865" s="1"/>
      <c r="D865" s="1"/>
    </row>
    <row r="866" spans="3:4" ht="15.75" customHeight="1" x14ac:dyDescent="0.2">
      <c r="C866" s="1"/>
      <c r="D866" s="1"/>
    </row>
    <row r="867" spans="3:4" ht="15.75" customHeight="1" x14ac:dyDescent="0.2">
      <c r="C867" s="1"/>
      <c r="D867" s="1"/>
    </row>
    <row r="868" spans="3:4" ht="15.75" customHeight="1" x14ac:dyDescent="0.2">
      <c r="C868" s="1"/>
      <c r="D868" s="1"/>
    </row>
    <row r="869" spans="3:4" ht="15.75" customHeight="1" x14ac:dyDescent="0.2">
      <c r="C869" s="1"/>
      <c r="D869" s="1"/>
    </row>
    <row r="870" spans="3:4" ht="15.75" customHeight="1" x14ac:dyDescent="0.2">
      <c r="C870" s="1"/>
      <c r="D870" s="1"/>
    </row>
    <row r="871" spans="3:4" ht="15.75" customHeight="1" x14ac:dyDescent="0.2">
      <c r="C871" s="1"/>
      <c r="D871" s="1"/>
    </row>
    <row r="872" spans="3:4" ht="15.75" customHeight="1" x14ac:dyDescent="0.2">
      <c r="C872" s="1"/>
      <c r="D872" s="1"/>
    </row>
    <row r="873" spans="3:4" ht="15.75" customHeight="1" x14ac:dyDescent="0.2">
      <c r="C873" s="1"/>
      <c r="D873" s="1"/>
    </row>
    <row r="874" spans="3:4" ht="15.75" customHeight="1" x14ac:dyDescent="0.2">
      <c r="C874" s="1"/>
      <c r="D874" s="1"/>
    </row>
    <row r="875" spans="3:4" ht="15.75" customHeight="1" x14ac:dyDescent="0.2">
      <c r="C875" s="1"/>
      <c r="D875" s="1"/>
    </row>
    <row r="876" spans="3:4" ht="15.75" customHeight="1" x14ac:dyDescent="0.2">
      <c r="C876" s="1"/>
      <c r="D876" s="1"/>
    </row>
    <row r="877" spans="3:4" ht="15.75" customHeight="1" x14ac:dyDescent="0.2">
      <c r="C877" s="1"/>
      <c r="D877" s="1"/>
    </row>
    <row r="878" spans="3:4" ht="15.75" customHeight="1" x14ac:dyDescent="0.2">
      <c r="C878" s="1"/>
      <c r="D878" s="1"/>
    </row>
    <row r="879" spans="3:4" ht="15.75" customHeight="1" x14ac:dyDescent="0.2">
      <c r="C879" s="1"/>
      <c r="D879" s="1"/>
    </row>
    <row r="880" spans="3:4" ht="15.75" customHeight="1" x14ac:dyDescent="0.2">
      <c r="C880" s="1"/>
      <c r="D880" s="1"/>
    </row>
    <row r="881" spans="3:4" ht="15.75" customHeight="1" x14ac:dyDescent="0.2">
      <c r="C881" s="1"/>
      <c r="D881" s="1"/>
    </row>
    <row r="882" spans="3:4" ht="15.75" customHeight="1" x14ac:dyDescent="0.2">
      <c r="C882" s="1"/>
      <c r="D882" s="1"/>
    </row>
    <row r="883" spans="3:4" ht="15.75" customHeight="1" x14ac:dyDescent="0.2">
      <c r="C883" s="1"/>
      <c r="D883" s="1"/>
    </row>
    <row r="884" spans="3:4" ht="15.75" customHeight="1" x14ac:dyDescent="0.2">
      <c r="C884" s="1"/>
      <c r="D884" s="1"/>
    </row>
    <row r="885" spans="3:4" ht="15.75" customHeight="1" x14ac:dyDescent="0.2">
      <c r="C885" s="1"/>
      <c r="D885" s="1"/>
    </row>
    <row r="886" spans="3:4" ht="15.75" customHeight="1" x14ac:dyDescent="0.2">
      <c r="C886" s="1"/>
      <c r="D886" s="1"/>
    </row>
    <row r="887" spans="3:4" ht="15.75" customHeight="1" x14ac:dyDescent="0.2">
      <c r="C887" s="1"/>
      <c r="D887" s="1"/>
    </row>
    <row r="888" spans="3:4" ht="15.75" customHeight="1" x14ac:dyDescent="0.2">
      <c r="C888" s="1"/>
      <c r="D888" s="1"/>
    </row>
    <row r="889" spans="3:4" ht="15.75" customHeight="1" x14ac:dyDescent="0.2">
      <c r="C889" s="1"/>
      <c r="D889" s="1"/>
    </row>
    <row r="890" spans="3:4" ht="15.75" customHeight="1" x14ac:dyDescent="0.2">
      <c r="C890" s="1"/>
      <c r="D890" s="1"/>
    </row>
    <row r="891" spans="3:4" ht="15.75" customHeight="1" x14ac:dyDescent="0.2">
      <c r="C891" s="1"/>
      <c r="D891" s="1"/>
    </row>
    <row r="892" spans="3:4" ht="15.75" customHeight="1" x14ac:dyDescent="0.2">
      <c r="C892" s="1"/>
      <c r="D892" s="1"/>
    </row>
    <row r="893" spans="3:4" ht="15.75" customHeight="1" x14ac:dyDescent="0.2">
      <c r="C893" s="1"/>
      <c r="D893" s="1"/>
    </row>
    <row r="894" spans="3:4" ht="15.75" customHeight="1" x14ac:dyDescent="0.2">
      <c r="C894" s="1"/>
      <c r="D894" s="1"/>
    </row>
    <row r="895" spans="3:4" ht="15.75" customHeight="1" x14ac:dyDescent="0.2">
      <c r="C895" s="1"/>
      <c r="D895" s="1"/>
    </row>
    <row r="896" spans="3:4" ht="15.75" customHeight="1" x14ac:dyDescent="0.2">
      <c r="C896" s="1"/>
      <c r="D896" s="1"/>
    </row>
    <row r="897" spans="3:4" ht="15.75" customHeight="1" x14ac:dyDescent="0.2">
      <c r="C897" s="1"/>
      <c r="D897" s="1"/>
    </row>
    <row r="898" spans="3:4" ht="15.75" customHeight="1" x14ac:dyDescent="0.2">
      <c r="C898" s="1"/>
      <c r="D898" s="1"/>
    </row>
    <row r="899" spans="3:4" ht="15.75" customHeight="1" x14ac:dyDescent="0.2">
      <c r="C899" s="1"/>
      <c r="D899" s="1"/>
    </row>
    <row r="900" spans="3:4" ht="15.75" customHeight="1" x14ac:dyDescent="0.2">
      <c r="C900" s="1"/>
      <c r="D900" s="1"/>
    </row>
    <row r="901" spans="3:4" ht="15.75" customHeight="1" x14ac:dyDescent="0.2">
      <c r="C901" s="1"/>
      <c r="D901" s="1"/>
    </row>
    <row r="902" spans="3:4" ht="15.75" customHeight="1" x14ac:dyDescent="0.2">
      <c r="C902" s="1"/>
      <c r="D902" s="1"/>
    </row>
    <row r="903" spans="3:4" ht="15.75" customHeight="1" x14ac:dyDescent="0.2">
      <c r="C903" s="1"/>
      <c r="D903" s="1"/>
    </row>
    <row r="904" spans="3:4" ht="15.75" customHeight="1" x14ac:dyDescent="0.2">
      <c r="C904" s="1"/>
      <c r="D904" s="1"/>
    </row>
    <row r="905" spans="3:4" ht="15.75" customHeight="1" x14ac:dyDescent="0.2">
      <c r="C905" s="1"/>
      <c r="D905" s="1"/>
    </row>
    <row r="906" spans="3:4" ht="15.75" customHeight="1" x14ac:dyDescent="0.2">
      <c r="C906" s="1"/>
      <c r="D906" s="1"/>
    </row>
    <row r="907" spans="3:4" ht="15.75" customHeight="1" x14ac:dyDescent="0.2">
      <c r="C907" s="1"/>
      <c r="D907" s="1"/>
    </row>
    <row r="908" spans="3:4" ht="15.75" customHeight="1" x14ac:dyDescent="0.2">
      <c r="C908" s="1"/>
      <c r="D908" s="1"/>
    </row>
    <row r="909" spans="3:4" ht="15.75" customHeight="1" x14ac:dyDescent="0.2">
      <c r="C909" s="1"/>
      <c r="D909" s="1"/>
    </row>
    <row r="910" spans="3:4" ht="15.75" customHeight="1" x14ac:dyDescent="0.2">
      <c r="C910" s="1"/>
      <c r="D910" s="1"/>
    </row>
    <row r="911" spans="3:4" ht="15.75" customHeight="1" x14ac:dyDescent="0.2">
      <c r="C911" s="1"/>
      <c r="D911" s="1"/>
    </row>
    <row r="912" spans="3:4" ht="15.75" customHeight="1" x14ac:dyDescent="0.2">
      <c r="C912" s="1"/>
      <c r="D912" s="1"/>
    </row>
    <row r="913" spans="3:4" ht="15.75" customHeight="1" x14ac:dyDescent="0.2">
      <c r="C913" s="1"/>
      <c r="D913" s="1"/>
    </row>
    <row r="914" spans="3:4" ht="15.75" customHeight="1" x14ac:dyDescent="0.2">
      <c r="C914" s="1"/>
      <c r="D914" s="1"/>
    </row>
    <row r="915" spans="3:4" ht="15.75" customHeight="1" x14ac:dyDescent="0.2">
      <c r="C915" s="1"/>
      <c r="D915" s="1"/>
    </row>
    <row r="916" spans="3:4" ht="15.75" customHeight="1" x14ac:dyDescent="0.2">
      <c r="C916" s="1"/>
      <c r="D916" s="1"/>
    </row>
    <row r="917" spans="3:4" ht="15.75" customHeight="1" x14ac:dyDescent="0.2">
      <c r="C917" s="1"/>
      <c r="D917" s="1"/>
    </row>
    <row r="918" spans="3:4" ht="15.75" customHeight="1" x14ac:dyDescent="0.2">
      <c r="C918" s="1"/>
      <c r="D918" s="1"/>
    </row>
    <row r="919" spans="3:4" ht="15.75" customHeight="1" x14ac:dyDescent="0.2">
      <c r="C919" s="1"/>
      <c r="D919" s="1"/>
    </row>
    <row r="920" spans="3:4" ht="15.75" customHeight="1" x14ac:dyDescent="0.2">
      <c r="C920" s="1"/>
      <c r="D920" s="1"/>
    </row>
    <row r="921" spans="3:4" ht="15.75" customHeight="1" x14ac:dyDescent="0.2">
      <c r="C921" s="1"/>
      <c r="D921" s="1"/>
    </row>
    <row r="922" spans="3:4" ht="15.75" customHeight="1" x14ac:dyDescent="0.2">
      <c r="C922" s="1"/>
      <c r="D922" s="1"/>
    </row>
    <row r="923" spans="3:4" ht="15.75" customHeight="1" x14ac:dyDescent="0.2">
      <c r="C923" s="1"/>
      <c r="D923" s="1"/>
    </row>
    <row r="924" spans="3:4" ht="15.75" customHeight="1" x14ac:dyDescent="0.2">
      <c r="C924" s="1"/>
      <c r="D924" s="1"/>
    </row>
    <row r="925" spans="3:4" ht="15.75" customHeight="1" x14ac:dyDescent="0.2">
      <c r="C925" s="1"/>
      <c r="D925" s="1"/>
    </row>
    <row r="926" spans="3:4" ht="15.75" customHeight="1" x14ac:dyDescent="0.2">
      <c r="C926" s="1"/>
      <c r="D926" s="1"/>
    </row>
    <row r="927" spans="3:4" ht="15.75" customHeight="1" x14ac:dyDescent="0.2">
      <c r="C927" s="1"/>
      <c r="D927" s="1"/>
    </row>
    <row r="928" spans="3:4" ht="15.75" customHeight="1" x14ac:dyDescent="0.2">
      <c r="C928" s="1"/>
      <c r="D928" s="1"/>
    </row>
    <row r="929" spans="3:4" ht="15.75" customHeight="1" x14ac:dyDescent="0.2">
      <c r="C929" s="1"/>
      <c r="D929" s="1"/>
    </row>
    <row r="930" spans="3:4" ht="15.75" customHeight="1" x14ac:dyDescent="0.2">
      <c r="C930" s="1"/>
      <c r="D930" s="1"/>
    </row>
    <row r="931" spans="3:4" ht="15.75" customHeight="1" x14ac:dyDescent="0.2">
      <c r="C931" s="1"/>
      <c r="D931" s="1"/>
    </row>
    <row r="932" spans="3:4" ht="15.75" customHeight="1" x14ac:dyDescent="0.2">
      <c r="C932" s="1"/>
      <c r="D932" s="1"/>
    </row>
    <row r="933" spans="3:4" ht="15.75" customHeight="1" x14ac:dyDescent="0.2">
      <c r="C933" s="1"/>
      <c r="D933" s="1"/>
    </row>
    <row r="934" spans="3:4" ht="15.75" customHeight="1" x14ac:dyDescent="0.2">
      <c r="C934" s="1"/>
      <c r="D934" s="1"/>
    </row>
    <row r="935" spans="3:4" ht="15.75" customHeight="1" x14ac:dyDescent="0.2">
      <c r="C935" s="1"/>
      <c r="D935" s="1"/>
    </row>
    <row r="936" spans="3:4" ht="15.75" customHeight="1" x14ac:dyDescent="0.2">
      <c r="C936" s="1"/>
      <c r="D936" s="1"/>
    </row>
    <row r="937" spans="3:4" ht="15.75" customHeight="1" x14ac:dyDescent="0.2">
      <c r="C937" s="1"/>
      <c r="D937" s="1"/>
    </row>
    <row r="938" spans="3:4" ht="15.75" customHeight="1" x14ac:dyDescent="0.2">
      <c r="C938" s="1"/>
      <c r="D938" s="1"/>
    </row>
    <row r="939" spans="3:4" ht="15.75" customHeight="1" x14ac:dyDescent="0.2">
      <c r="C939" s="1"/>
      <c r="D939" s="1"/>
    </row>
    <row r="940" spans="3:4" ht="15.75" customHeight="1" x14ac:dyDescent="0.2">
      <c r="C940" s="1"/>
      <c r="D940" s="1"/>
    </row>
    <row r="941" spans="3:4" ht="15.75" customHeight="1" x14ac:dyDescent="0.2">
      <c r="C941" s="1"/>
      <c r="D941" s="1"/>
    </row>
    <row r="942" spans="3:4" ht="15.75" customHeight="1" x14ac:dyDescent="0.2">
      <c r="C942" s="1"/>
      <c r="D942" s="1"/>
    </row>
    <row r="943" spans="3:4" ht="15.75" customHeight="1" x14ac:dyDescent="0.2">
      <c r="C943" s="1"/>
      <c r="D943" s="1"/>
    </row>
    <row r="944" spans="3:4" ht="15.75" customHeight="1" x14ac:dyDescent="0.2">
      <c r="C944" s="1"/>
      <c r="D944" s="1"/>
    </row>
    <row r="945" spans="3:4" ht="15.75" customHeight="1" x14ac:dyDescent="0.2">
      <c r="C945" s="1"/>
      <c r="D945" s="1"/>
    </row>
    <row r="946" spans="3:4" ht="15.75" customHeight="1" x14ac:dyDescent="0.2">
      <c r="C946" s="1"/>
      <c r="D946" s="1"/>
    </row>
    <row r="947" spans="3:4" ht="15.75" customHeight="1" x14ac:dyDescent="0.2">
      <c r="C947" s="1"/>
      <c r="D947" s="1"/>
    </row>
    <row r="948" spans="3:4" ht="15.75" customHeight="1" x14ac:dyDescent="0.2">
      <c r="C948" s="1"/>
      <c r="D948" s="1"/>
    </row>
    <row r="949" spans="3:4" ht="15.75" customHeight="1" x14ac:dyDescent="0.2">
      <c r="C949" s="1"/>
      <c r="D949" s="1"/>
    </row>
    <row r="950" spans="3:4" ht="15.75" customHeight="1" x14ac:dyDescent="0.2">
      <c r="C950" s="1"/>
      <c r="D950" s="1"/>
    </row>
    <row r="951" spans="3:4" ht="15.75" customHeight="1" x14ac:dyDescent="0.2">
      <c r="C951" s="1"/>
      <c r="D951" s="1"/>
    </row>
    <row r="952" spans="3:4" ht="15.75" customHeight="1" x14ac:dyDescent="0.2">
      <c r="C952" s="1"/>
      <c r="D952" s="1"/>
    </row>
    <row r="953" spans="3:4" ht="15.75" customHeight="1" x14ac:dyDescent="0.2">
      <c r="C953" s="1"/>
      <c r="D953" s="1"/>
    </row>
    <row r="954" spans="3:4" ht="15.75" customHeight="1" x14ac:dyDescent="0.2">
      <c r="C954" s="1"/>
      <c r="D954" s="1"/>
    </row>
    <row r="955" spans="3:4" ht="15.75" customHeight="1" x14ac:dyDescent="0.2">
      <c r="C955" s="1"/>
      <c r="D955" s="1"/>
    </row>
    <row r="956" spans="3:4" ht="15.75" customHeight="1" x14ac:dyDescent="0.2">
      <c r="C956" s="1"/>
      <c r="D956" s="1"/>
    </row>
    <row r="957" spans="3:4" ht="15.75" customHeight="1" x14ac:dyDescent="0.2">
      <c r="C957" s="1"/>
      <c r="D957" s="1"/>
    </row>
    <row r="958" spans="3:4" ht="15.75" customHeight="1" x14ac:dyDescent="0.2">
      <c r="C958" s="1"/>
      <c r="D958" s="1"/>
    </row>
    <row r="959" spans="3:4" ht="15.75" customHeight="1" x14ac:dyDescent="0.2">
      <c r="C959" s="1"/>
      <c r="D959" s="1"/>
    </row>
    <row r="960" spans="3:4" ht="15.75" customHeight="1" x14ac:dyDescent="0.2">
      <c r="C960" s="1"/>
      <c r="D960" s="1"/>
    </row>
    <row r="961" spans="3:4" ht="15.75" customHeight="1" x14ac:dyDescent="0.2">
      <c r="C961" s="1"/>
      <c r="D961" s="1"/>
    </row>
    <row r="962" spans="3:4" ht="15.75" customHeight="1" x14ac:dyDescent="0.2">
      <c r="C962" s="1"/>
      <c r="D962" s="1"/>
    </row>
    <row r="963" spans="3:4" ht="15.75" customHeight="1" x14ac:dyDescent="0.2">
      <c r="C963" s="1"/>
      <c r="D963" s="1"/>
    </row>
    <row r="964" spans="3:4" ht="15.75" customHeight="1" x14ac:dyDescent="0.2">
      <c r="C964" s="1"/>
      <c r="D964" s="1"/>
    </row>
    <row r="965" spans="3:4" ht="15.75" customHeight="1" x14ac:dyDescent="0.2">
      <c r="C965" s="1"/>
      <c r="D965" s="1"/>
    </row>
    <row r="966" spans="3:4" ht="15.75" customHeight="1" x14ac:dyDescent="0.2">
      <c r="C966" s="1"/>
      <c r="D966" s="1"/>
    </row>
    <row r="967" spans="3:4" ht="15.75" customHeight="1" x14ac:dyDescent="0.2">
      <c r="C967" s="1"/>
      <c r="D967" s="1"/>
    </row>
    <row r="968" spans="3:4" ht="15.75" customHeight="1" x14ac:dyDescent="0.2">
      <c r="C968" s="1"/>
      <c r="D968" s="1"/>
    </row>
    <row r="969" spans="3:4" ht="15.75" customHeight="1" x14ac:dyDescent="0.2">
      <c r="C969" s="1"/>
      <c r="D969" s="1"/>
    </row>
    <row r="970" spans="3:4" ht="15.75" customHeight="1" x14ac:dyDescent="0.2">
      <c r="C970" s="1"/>
      <c r="D970" s="1"/>
    </row>
    <row r="971" spans="3:4" ht="15.75" customHeight="1" x14ac:dyDescent="0.2">
      <c r="C971" s="1"/>
      <c r="D971" s="1"/>
    </row>
    <row r="972" spans="3:4" ht="15.75" customHeight="1" x14ac:dyDescent="0.2">
      <c r="C972" s="1"/>
      <c r="D972" s="1"/>
    </row>
    <row r="973" spans="3:4" ht="15.75" customHeight="1" x14ac:dyDescent="0.2">
      <c r="C973" s="1"/>
      <c r="D973" s="1"/>
    </row>
    <row r="974" spans="3:4" ht="15.75" customHeight="1" x14ac:dyDescent="0.2">
      <c r="C974" s="1"/>
      <c r="D974" s="1"/>
    </row>
    <row r="975" spans="3:4" ht="15.75" customHeight="1" x14ac:dyDescent="0.2">
      <c r="C975" s="1"/>
      <c r="D975" s="1"/>
    </row>
    <row r="976" spans="3:4" ht="15.75" customHeight="1" x14ac:dyDescent="0.2">
      <c r="C976" s="1"/>
      <c r="D976" s="1"/>
    </row>
    <row r="977" spans="3:4" ht="15.75" customHeight="1" x14ac:dyDescent="0.2">
      <c r="C977" s="1"/>
      <c r="D977" s="1"/>
    </row>
    <row r="978" spans="3:4" ht="15.75" customHeight="1" x14ac:dyDescent="0.2">
      <c r="C978" s="1"/>
      <c r="D978" s="1"/>
    </row>
    <row r="979" spans="3:4" ht="15.75" customHeight="1" x14ac:dyDescent="0.2">
      <c r="C979" s="1"/>
      <c r="D979" s="1"/>
    </row>
    <row r="980" spans="3:4" ht="15.75" customHeight="1" x14ac:dyDescent="0.2">
      <c r="C980" s="1"/>
      <c r="D980" s="1"/>
    </row>
    <row r="981" spans="3:4" ht="15.75" customHeight="1" x14ac:dyDescent="0.2">
      <c r="C981" s="1"/>
      <c r="D981" s="1"/>
    </row>
    <row r="982" spans="3:4" ht="15.75" customHeight="1" x14ac:dyDescent="0.2">
      <c r="C982" s="1"/>
      <c r="D982" s="1"/>
    </row>
    <row r="983" spans="3:4" ht="15.75" customHeight="1" x14ac:dyDescent="0.2">
      <c r="C983" s="1"/>
      <c r="D983" s="1"/>
    </row>
    <row r="984" spans="3:4" ht="15.75" customHeight="1" x14ac:dyDescent="0.2">
      <c r="C984" s="1"/>
      <c r="D984" s="1"/>
    </row>
    <row r="985" spans="3:4" ht="15.75" customHeight="1" x14ac:dyDescent="0.2">
      <c r="C985" s="1"/>
      <c r="D985" s="1"/>
    </row>
    <row r="986" spans="3:4" ht="15.75" customHeight="1" x14ac:dyDescent="0.2">
      <c r="C986" s="1"/>
      <c r="D986" s="1"/>
    </row>
    <row r="987" spans="3:4" ht="15.75" customHeight="1" x14ac:dyDescent="0.2">
      <c r="C987" s="1"/>
      <c r="D987" s="1"/>
    </row>
    <row r="988" spans="3:4" ht="15.75" customHeight="1" x14ac:dyDescent="0.2">
      <c r="C988" s="1"/>
      <c r="D988" s="1"/>
    </row>
    <row r="989" spans="3:4" ht="15.75" customHeight="1" x14ac:dyDescent="0.2">
      <c r="C989" s="1"/>
      <c r="D989" s="1"/>
    </row>
    <row r="990" spans="3:4" ht="15.75" customHeight="1" x14ac:dyDescent="0.2">
      <c r="C990" s="1"/>
      <c r="D990" s="1"/>
    </row>
    <row r="991" spans="3:4" ht="15.75" customHeight="1" x14ac:dyDescent="0.2">
      <c r="C991" s="1"/>
      <c r="D991" s="1"/>
    </row>
    <row r="992" spans="3:4" ht="15.75" customHeight="1" x14ac:dyDescent="0.2">
      <c r="C992" s="1"/>
      <c r="D992" s="1"/>
    </row>
    <row r="993" spans="3:4" ht="15.75" customHeight="1" x14ac:dyDescent="0.2">
      <c r="C993" s="1"/>
      <c r="D993" s="1"/>
    </row>
    <row r="994" spans="3:4" ht="15.75" customHeight="1" x14ac:dyDescent="0.2">
      <c r="C994" s="1"/>
      <c r="D994" s="1"/>
    </row>
    <row r="995" spans="3:4" ht="15.75" customHeight="1" x14ac:dyDescent="0.2">
      <c r="C995" s="1"/>
      <c r="D995" s="1"/>
    </row>
    <row r="996" spans="3:4" ht="15.75" customHeight="1" x14ac:dyDescent="0.2">
      <c r="C996" s="1"/>
      <c r="D996" s="1"/>
    </row>
    <row r="997" spans="3:4" ht="15.75" customHeight="1" x14ac:dyDescent="0.2">
      <c r="C997" s="1"/>
      <c r="D997" s="1"/>
    </row>
    <row r="998" spans="3:4" ht="15.75" customHeight="1" x14ac:dyDescent="0.2">
      <c r="C998" s="1"/>
      <c r="D998" s="1"/>
    </row>
    <row r="999" spans="3:4" ht="15.75" customHeight="1" x14ac:dyDescent="0.2">
      <c r="C999" s="1"/>
      <c r="D999" s="1"/>
    </row>
    <row r="1000" spans="3:4" ht="15.75" customHeight="1" x14ac:dyDescent="0.2">
      <c r="C1000" s="1"/>
      <c r="D1000" s="1"/>
    </row>
    <row r="1001" spans="3:4" ht="15.75" customHeight="1" x14ac:dyDescent="0.2">
      <c r="C1001" s="1"/>
      <c r="D1001" s="1"/>
    </row>
    <row r="1002" spans="3:4" ht="15.75" customHeight="1" x14ac:dyDescent="0.2">
      <c r="C1002" s="1"/>
      <c r="D1002" s="1"/>
    </row>
    <row r="1003" spans="3:4" ht="15.75" customHeight="1" x14ac:dyDescent="0.2">
      <c r="C1003" s="1"/>
      <c r="D1003" s="1"/>
    </row>
    <row r="1004" spans="3:4" ht="15.75" customHeight="1" x14ac:dyDescent="0.2">
      <c r="C1004" s="1"/>
      <c r="D1004" s="1"/>
    </row>
    <row r="1005" spans="3:4" ht="15.75" customHeight="1" x14ac:dyDescent="0.2">
      <c r="C1005" s="1"/>
      <c r="D1005" s="1"/>
    </row>
    <row r="1006" spans="3:4" ht="15.75" customHeight="1" x14ac:dyDescent="0.2">
      <c r="C1006" s="1"/>
      <c r="D1006" s="1"/>
    </row>
    <row r="1007" spans="3:4" ht="15.75" customHeight="1" x14ac:dyDescent="0.2">
      <c r="C1007" s="1"/>
      <c r="D1007" s="1"/>
    </row>
    <row r="1008" spans="3:4" ht="15.75" customHeight="1" x14ac:dyDescent="0.2">
      <c r="C1008" s="1"/>
      <c r="D1008" s="1"/>
    </row>
    <row r="1009" spans="3:4" ht="15.75" customHeight="1" x14ac:dyDescent="0.2">
      <c r="C1009" s="1"/>
      <c r="D1009" s="1"/>
    </row>
    <row r="1010" spans="3:4" ht="15.75" customHeight="1" x14ac:dyDescent="0.2">
      <c r="C1010" s="1"/>
      <c r="D1010" s="1"/>
    </row>
    <row r="1011" spans="3:4" ht="15.75" customHeight="1" x14ac:dyDescent="0.2">
      <c r="C1011" s="1"/>
      <c r="D1011" s="1"/>
    </row>
  </sheetData>
  <autoFilter ref="B1:CM1011" xr:uid="{00000000-0001-0000-0000-000000000000}">
    <filterColumn colId="3" showButton="0"/>
    <filterColumn colId="4" showButton="0"/>
    <filterColumn colId="5" showButton="0"/>
    <filterColumn colId="6" showButton="0"/>
    <filterColumn colId="7" showButton="0"/>
  </autoFilter>
  <mergeCells count="1">
    <mergeCell ref="E1:J1"/>
  </mergeCells>
  <pageMargins left="0.7" right="0.7" top="0.75" bottom="0.75" header="0" footer="0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3178B-40C2-DA4A-B870-7CEC98D6269B}">
  <dimension ref="A1:D5"/>
  <sheetViews>
    <sheetView zoomScale="125" zoomScaleNormal="125" workbookViewId="0">
      <selection sqref="A1:D5"/>
    </sheetView>
  </sheetViews>
  <sheetFormatPr baseColWidth="10" defaultColWidth="11" defaultRowHeight="16" x14ac:dyDescent="0.2"/>
  <cols>
    <col min="1" max="1" width="24.1640625" customWidth="1"/>
  </cols>
  <sheetData>
    <row r="1" spans="1:4" x14ac:dyDescent="0.2">
      <c r="C1" s="125" t="s">
        <v>96</v>
      </c>
      <c r="D1" s="125" t="s">
        <v>97</v>
      </c>
    </row>
    <row r="2" spans="1:4" x14ac:dyDescent="0.2">
      <c r="A2" t="s">
        <v>98</v>
      </c>
      <c r="B2">
        <v>7</v>
      </c>
      <c r="C2">
        <f>B2*5</f>
        <v>35</v>
      </c>
      <c r="D2">
        <f>C2*5</f>
        <v>175</v>
      </c>
    </row>
    <row r="3" spans="1:4" x14ac:dyDescent="0.2">
      <c r="A3" t="s">
        <v>99</v>
      </c>
      <c r="B3">
        <v>8</v>
      </c>
      <c r="C3">
        <f>B3*5</f>
        <v>40</v>
      </c>
      <c r="D3">
        <f>C3*5</f>
        <v>200</v>
      </c>
    </row>
    <row r="4" spans="1:4" x14ac:dyDescent="0.2">
      <c r="A4" t="s">
        <v>20</v>
      </c>
    </row>
    <row r="5" spans="1:4" x14ac:dyDescent="0.2">
      <c r="A5" t="s">
        <v>100</v>
      </c>
      <c r="C5">
        <f>C3/28</f>
        <v>1.4285714285714286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B1224-EC89-4D9C-9846-A57B969ACCBE}">
  <dimension ref="B1:O1003"/>
  <sheetViews>
    <sheetView topLeftCell="D2" zoomScaleNormal="120" workbookViewId="0">
      <selection activeCell="M3" sqref="M3"/>
    </sheetView>
  </sheetViews>
  <sheetFormatPr baseColWidth="10" defaultColWidth="8.6640625" defaultRowHeight="16" x14ac:dyDescent="0.2"/>
  <cols>
    <col min="1" max="1" width="3" customWidth="1"/>
    <col min="2" max="2" width="26.1640625" customWidth="1"/>
    <col min="3" max="3" width="10.6640625" customWidth="1"/>
    <col min="4" max="4" width="10" customWidth="1"/>
    <col min="5" max="5" width="16.6640625" customWidth="1"/>
    <col min="6" max="7" width="13.1640625" customWidth="1"/>
    <col min="8" max="8" width="12.5" customWidth="1"/>
    <col min="9" max="9" width="13.5" customWidth="1"/>
    <col min="10" max="10" width="12.6640625" customWidth="1"/>
    <col min="11" max="11" width="21.6640625" customWidth="1"/>
    <col min="12" max="12" width="11.6640625" customWidth="1"/>
    <col min="13" max="13" width="8.6640625" customWidth="1"/>
    <col min="14" max="15" width="10.6640625" customWidth="1"/>
  </cols>
  <sheetData>
    <row r="1" spans="2:15" ht="17" thickBot="1" x14ac:dyDescent="0.25">
      <c r="C1" s="39"/>
      <c r="D1" s="39"/>
      <c r="E1" s="212" t="s">
        <v>0</v>
      </c>
      <c r="F1" s="213"/>
      <c r="G1" s="213"/>
      <c r="H1" s="213"/>
      <c r="I1" s="213"/>
      <c r="J1" s="213"/>
      <c r="K1" s="40"/>
      <c r="L1" s="41"/>
      <c r="M1" s="41"/>
      <c r="N1" s="41"/>
      <c r="O1" s="41"/>
    </row>
    <row r="2" spans="2:15" ht="37" thickBot="1" x14ac:dyDescent="0.25">
      <c r="B2" s="42" t="s">
        <v>1</v>
      </c>
      <c r="C2" s="43" t="s">
        <v>2</v>
      </c>
      <c r="D2" s="43" t="s">
        <v>3</v>
      </c>
      <c r="E2" s="43" t="s">
        <v>4</v>
      </c>
      <c r="F2" s="43" t="s">
        <v>5</v>
      </c>
      <c r="G2" s="43" t="s">
        <v>6</v>
      </c>
      <c r="H2" s="43" t="s">
        <v>7</v>
      </c>
      <c r="I2" s="43" t="s">
        <v>8</v>
      </c>
      <c r="J2" s="43" t="s">
        <v>9</v>
      </c>
      <c r="K2" s="43" t="s">
        <v>10</v>
      </c>
      <c r="L2" s="43" t="s">
        <v>101</v>
      </c>
      <c r="M2" s="43"/>
      <c r="N2" s="43" t="s">
        <v>102</v>
      </c>
      <c r="O2" s="43" t="s">
        <v>15</v>
      </c>
    </row>
    <row r="3" spans="2:15" ht="27" thickTop="1" thickBot="1" x14ac:dyDescent="0.25">
      <c r="B3" s="44" t="s">
        <v>103</v>
      </c>
      <c r="C3" s="45" t="s">
        <v>104</v>
      </c>
      <c r="D3" s="45"/>
      <c r="E3" s="46">
        <v>46015</v>
      </c>
      <c r="F3" s="8">
        <v>46021</v>
      </c>
      <c r="G3" s="8">
        <v>46038</v>
      </c>
      <c r="H3" s="8" t="s">
        <v>43</v>
      </c>
      <c r="I3" s="46">
        <f>G3+7</f>
        <v>46045</v>
      </c>
      <c r="J3" s="47">
        <f t="shared" ref="J3:J9" si="0">I3</f>
        <v>46045</v>
      </c>
      <c r="K3" s="46" t="s">
        <v>21</v>
      </c>
      <c r="L3" s="48">
        <v>575</v>
      </c>
      <c r="M3" s="119">
        <v>414</v>
      </c>
      <c r="N3" s="48" t="s">
        <v>20</v>
      </c>
      <c r="O3" s="48">
        <f>SUM(L3:N3) / Capacity!$B$2</f>
        <v>141.28571428571428</v>
      </c>
    </row>
    <row r="4" spans="2:15" ht="50" thickBot="1" x14ac:dyDescent="0.25">
      <c r="B4" s="44" t="s">
        <v>105</v>
      </c>
      <c r="C4" s="45" t="s">
        <v>24</v>
      </c>
      <c r="D4" s="45"/>
      <c r="E4" s="46">
        <v>46031</v>
      </c>
      <c r="F4" s="46">
        <v>46035</v>
      </c>
      <c r="G4" s="8">
        <v>46043</v>
      </c>
      <c r="H4" s="8" t="s">
        <v>43</v>
      </c>
      <c r="I4" s="46">
        <f>G4+7</f>
        <v>46050</v>
      </c>
      <c r="J4" s="47">
        <f t="shared" si="0"/>
        <v>46050</v>
      </c>
      <c r="K4" s="46" t="s">
        <v>44</v>
      </c>
      <c r="L4" s="48">
        <v>177</v>
      </c>
      <c r="M4" s="48">
        <v>200</v>
      </c>
      <c r="N4" s="48" t="s">
        <v>20</v>
      </c>
      <c r="O4" s="48">
        <f>SUM(L4:N4) / Capacity!$B$2</f>
        <v>53.857142857142854</v>
      </c>
    </row>
    <row r="5" spans="2:15" ht="25" thickBot="1" x14ac:dyDescent="0.25">
      <c r="B5" s="44" t="s">
        <v>45</v>
      </c>
      <c r="C5" s="45" t="s">
        <v>46</v>
      </c>
      <c r="D5" s="45"/>
      <c r="E5" s="49" t="s">
        <v>47</v>
      </c>
      <c r="F5" s="50">
        <v>46008</v>
      </c>
      <c r="G5" s="38">
        <v>46037</v>
      </c>
      <c r="H5" s="8" t="s">
        <v>43</v>
      </c>
      <c r="I5" s="46">
        <f>G5+7</f>
        <v>46044</v>
      </c>
      <c r="J5" s="47">
        <f t="shared" si="0"/>
        <v>46044</v>
      </c>
      <c r="K5" s="46" t="s">
        <v>48</v>
      </c>
      <c r="L5" s="48">
        <v>260</v>
      </c>
      <c r="M5" s="48">
        <v>200</v>
      </c>
      <c r="N5" s="48" t="s">
        <v>20</v>
      </c>
      <c r="O5" s="48">
        <f>SUM(L5:N5) / Capacity!$B$2</f>
        <v>65.714285714285708</v>
      </c>
    </row>
    <row r="6" spans="2:15" ht="17" thickBot="1" x14ac:dyDescent="0.25">
      <c r="B6" s="44" t="s">
        <v>50</v>
      </c>
      <c r="C6" s="45" t="s">
        <v>46</v>
      </c>
      <c r="D6" s="45" t="s">
        <v>51</v>
      </c>
      <c r="E6" s="49" t="s">
        <v>52</v>
      </c>
      <c r="F6" s="46">
        <v>46015</v>
      </c>
      <c r="G6" s="38">
        <v>46037</v>
      </c>
      <c r="H6" s="8" t="s">
        <v>43</v>
      </c>
      <c r="I6" s="46">
        <f>G6+7</f>
        <v>46044</v>
      </c>
      <c r="J6" s="47">
        <f t="shared" si="0"/>
        <v>46044</v>
      </c>
      <c r="K6" s="46" t="s">
        <v>53</v>
      </c>
      <c r="L6" s="48">
        <v>120</v>
      </c>
      <c r="M6" s="48">
        <v>100</v>
      </c>
      <c r="N6" s="48" t="s">
        <v>20</v>
      </c>
      <c r="O6" s="48">
        <f>SUM(L6:N6) / Capacity!$B$2</f>
        <v>31.428571428571427</v>
      </c>
    </row>
    <row r="7" spans="2:15" ht="25" thickBot="1" x14ac:dyDescent="0.25">
      <c r="B7" s="44" t="s">
        <v>55</v>
      </c>
      <c r="C7" s="45" t="s">
        <v>46</v>
      </c>
      <c r="D7" s="45" t="s">
        <v>51</v>
      </c>
      <c r="E7" s="49" t="s">
        <v>56</v>
      </c>
      <c r="F7" s="50">
        <v>46010</v>
      </c>
      <c r="G7" s="8" t="s">
        <v>43</v>
      </c>
      <c r="H7" s="46">
        <v>46031</v>
      </c>
      <c r="I7" s="46">
        <f>H7+7</f>
        <v>46038</v>
      </c>
      <c r="J7" s="47">
        <f t="shared" si="0"/>
        <v>46038</v>
      </c>
      <c r="K7" s="46" t="s">
        <v>57</v>
      </c>
      <c r="L7" s="48">
        <v>35</v>
      </c>
      <c r="M7" s="48">
        <v>35</v>
      </c>
      <c r="N7" s="48" t="s">
        <v>20</v>
      </c>
      <c r="O7" s="48">
        <f>SUM(L7:N7) / Capacity!$B$2</f>
        <v>10</v>
      </c>
    </row>
    <row r="8" spans="2:15" ht="25" thickBot="1" x14ac:dyDescent="0.25">
      <c r="B8" s="44" t="s">
        <v>58</v>
      </c>
      <c r="C8" s="45" t="s">
        <v>46</v>
      </c>
      <c r="D8" s="45"/>
      <c r="E8" s="49" t="s">
        <v>56</v>
      </c>
      <c r="F8" s="50">
        <v>46010</v>
      </c>
      <c r="G8" s="8" t="s">
        <v>43</v>
      </c>
      <c r="H8" s="46">
        <v>46031</v>
      </c>
      <c r="I8" s="46">
        <f>H8+7</f>
        <v>46038</v>
      </c>
      <c r="J8" s="47">
        <f t="shared" si="0"/>
        <v>46038</v>
      </c>
      <c r="K8" s="46" t="s">
        <v>59</v>
      </c>
      <c r="L8" s="48">
        <v>40</v>
      </c>
      <c r="M8" s="120">
        <v>0</v>
      </c>
      <c r="N8" s="48" t="s">
        <v>20</v>
      </c>
      <c r="O8" s="48">
        <f>SUM(L8:N8) / Capacity!$B$2</f>
        <v>5.7142857142857144</v>
      </c>
    </row>
    <row r="9" spans="2:15" ht="25" thickBot="1" x14ac:dyDescent="0.25">
      <c r="B9" s="44" t="s">
        <v>60</v>
      </c>
      <c r="C9" s="51" t="s">
        <v>46</v>
      </c>
      <c r="D9" s="51"/>
      <c r="E9" s="49" t="s">
        <v>47</v>
      </c>
      <c r="F9" s="50">
        <v>46008</v>
      </c>
      <c r="G9" s="37">
        <v>46044</v>
      </c>
      <c r="H9" s="8" t="s">
        <v>43</v>
      </c>
      <c r="I9" s="46">
        <f>G9+7</f>
        <v>46051</v>
      </c>
      <c r="J9" s="47">
        <f t="shared" si="0"/>
        <v>46051</v>
      </c>
      <c r="K9" s="46" t="s">
        <v>61</v>
      </c>
      <c r="L9" s="48">
        <v>80</v>
      </c>
      <c r="M9" s="48">
        <v>60</v>
      </c>
      <c r="N9" s="48" t="s">
        <v>20</v>
      </c>
      <c r="O9" s="48">
        <f>SUM(L9:N9) / Capacity!$B$2</f>
        <v>20</v>
      </c>
    </row>
    <row r="10" spans="2:15" ht="17" thickBot="1" x14ac:dyDescent="0.25">
      <c r="B10" s="52"/>
      <c r="C10" s="53"/>
      <c r="D10" s="53"/>
      <c r="E10" s="54"/>
      <c r="F10" s="54"/>
      <c r="G10" s="54"/>
      <c r="H10" s="54"/>
      <c r="I10" s="54"/>
      <c r="J10" s="54"/>
      <c r="K10" s="54"/>
      <c r="L10" s="55"/>
      <c r="M10" s="55"/>
      <c r="N10" s="55"/>
      <c r="O10" s="48">
        <f>SUM(L10:N10) / Capacity!$B$2</f>
        <v>0</v>
      </c>
    </row>
    <row r="11" spans="2:15" ht="25" thickBot="1" x14ac:dyDescent="0.25">
      <c r="B11" s="44" t="s">
        <v>62</v>
      </c>
      <c r="C11" s="45" t="s">
        <v>63</v>
      </c>
      <c r="D11" s="45"/>
      <c r="E11" s="49" t="s">
        <v>64</v>
      </c>
      <c r="F11" s="46">
        <v>46015</v>
      </c>
      <c r="G11" s="8" t="s">
        <v>43</v>
      </c>
      <c r="H11" s="46">
        <v>46031</v>
      </c>
      <c r="I11" s="46">
        <f>H11+7</f>
        <v>46038</v>
      </c>
      <c r="J11" s="47">
        <f t="shared" ref="J11:J17" si="1">I11</f>
        <v>46038</v>
      </c>
      <c r="K11" s="46" t="s">
        <v>65</v>
      </c>
      <c r="L11" s="48">
        <v>20</v>
      </c>
      <c r="M11" s="48">
        <v>20</v>
      </c>
      <c r="N11" s="48" t="s">
        <v>20</v>
      </c>
      <c r="O11" s="48">
        <f>SUM(L11:N11) / Capacity!$B$2</f>
        <v>5.7142857142857144</v>
      </c>
    </row>
    <row r="12" spans="2:15" ht="25" thickBot="1" x14ac:dyDescent="0.25">
      <c r="B12" s="44" t="s">
        <v>66</v>
      </c>
      <c r="C12" s="45" t="s">
        <v>67</v>
      </c>
      <c r="D12" s="45"/>
      <c r="E12" s="46" t="s">
        <v>68</v>
      </c>
      <c r="F12" s="46" t="s">
        <v>69</v>
      </c>
      <c r="G12" s="34">
        <v>46051</v>
      </c>
      <c r="H12" s="8" t="s">
        <v>43</v>
      </c>
      <c r="I12" s="35">
        <f>G12+7</f>
        <v>46058</v>
      </c>
      <c r="J12" s="47">
        <f t="shared" si="1"/>
        <v>46058</v>
      </c>
      <c r="K12" s="46" t="s">
        <v>70</v>
      </c>
      <c r="L12" s="48">
        <v>140</v>
      </c>
      <c r="M12" s="48">
        <v>100</v>
      </c>
      <c r="N12" s="48" t="s">
        <v>20</v>
      </c>
      <c r="O12" s="48">
        <f>SUM(L12:N12) / Capacity!$B$2</f>
        <v>34.285714285714285</v>
      </c>
    </row>
    <row r="13" spans="2:15" ht="17" thickBot="1" x14ac:dyDescent="0.25">
      <c r="B13" s="44" t="s">
        <v>71</v>
      </c>
      <c r="C13" s="45" t="s">
        <v>72</v>
      </c>
      <c r="D13" s="45"/>
      <c r="E13" s="46">
        <v>46045</v>
      </c>
      <c r="F13" s="46">
        <v>46052</v>
      </c>
      <c r="G13" s="8" t="s">
        <v>43</v>
      </c>
      <c r="H13" s="46">
        <v>46059</v>
      </c>
      <c r="I13" s="46">
        <f>H13+7</f>
        <v>46066</v>
      </c>
      <c r="J13" s="47">
        <f t="shared" si="1"/>
        <v>46066</v>
      </c>
      <c r="K13" s="46" t="s">
        <v>65</v>
      </c>
      <c r="L13" s="48">
        <v>90</v>
      </c>
      <c r="M13" s="48">
        <v>60</v>
      </c>
      <c r="N13" s="48" t="s">
        <v>20</v>
      </c>
      <c r="O13" s="48">
        <f>SUM(L13:N13) / Capacity!$B$2</f>
        <v>21.428571428571427</v>
      </c>
    </row>
    <row r="14" spans="2:15" ht="17" thickBot="1" x14ac:dyDescent="0.25">
      <c r="B14" s="44" t="s">
        <v>73</v>
      </c>
      <c r="C14" s="45" t="s">
        <v>24</v>
      </c>
      <c r="D14" s="45"/>
      <c r="E14" s="56">
        <v>46045</v>
      </c>
      <c r="F14" s="56">
        <v>46050</v>
      </c>
      <c r="G14" s="8">
        <v>46059</v>
      </c>
      <c r="H14" s="8" t="s">
        <v>43</v>
      </c>
      <c r="I14" s="46">
        <f>G14+7</f>
        <v>46066</v>
      </c>
      <c r="J14" s="47">
        <f t="shared" si="1"/>
        <v>46066</v>
      </c>
      <c r="K14" s="56" t="s">
        <v>74</v>
      </c>
      <c r="L14" s="57">
        <v>350</v>
      </c>
      <c r="M14" s="119">
        <v>215</v>
      </c>
      <c r="N14" s="57" t="s">
        <v>20</v>
      </c>
      <c r="O14" s="48">
        <f>SUM(L14:N14) / Capacity!$B$2</f>
        <v>80.714285714285708</v>
      </c>
    </row>
    <row r="15" spans="2:15" ht="17" thickBot="1" x14ac:dyDescent="0.25">
      <c r="B15" s="44" t="s">
        <v>75</v>
      </c>
      <c r="C15" s="45" t="s">
        <v>63</v>
      </c>
      <c r="D15" s="45"/>
      <c r="E15" s="50">
        <v>46015</v>
      </c>
      <c r="F15" s="46">
        <v>46022</v>
      </c>
      <c r="G15" s="8">
        <v>46051</v>
      </c>
      <c r="H15" s="8" t="s">
        <v>43</v>
      </c>
      <c r="I15" s="46">
        <f>G15+7</f>
        <v>46058</v>
      </c>
      <c r="J15" s="47">
        <f t="shared" si="1"/>
        <v>46058</v>
      </c>
      <c r="K15" s="46" t="s">
        <v>65</v>
      </c>
      <c r="L15" s="48">
        <v>40</v>
      </c>
      <c r="M15" s="48">
        <v>40</v>
      </c>
      <c r="N15" s="48" t="s">
        <v>20</v>
      </c>
      <c r="O15" s="48">
        <f>SUM(L15:N15) / Capacity!$B$2</f>
        <v>11.428571428571429</v>
      </c>
    </row>
    <row r="16" spans="2:15" ht="17" thickBot="1" x14ac:dyDescent="0.25">
      <c r="B16" s="44" t="s">
        <v>79</v>
      </c>
      <c r="C16" s="45" t="s">
        <v>63</v>
      </c>
      <c r="D16" s="45"/>
      <c r="E16" s="46">
        <v>46031</v>
      </c>
      <c r="F16" s="46">
        <v>46036</v>
      </c>
      <c r="G16" s="8" t="s">
        <v>43</v>
      </c>
      <c r="H16" s="46">
        <v>46038</v>
      </c>
      <c r="I16" s="46">
        <f>H16+7</f>
        <v>46045</v>
      </c>
      <c r="J16" s="47">
        <f t="shared" si="1"/>
        <v>46045</v>
      </c>
      <c r="K16" s="46" t="s">
        <v>80</v>
      </c>
      <c r="L16" s="48">
        <v>90</v>
      </c>
      <c r="M16" s="48">
        <v>80</v>
      </c>
      <c r="N16" s="48" t="s">
        <v>20</v>
      </c>
      <c r="O16" s="48">
        <f>SUM(L16:N16) / Capacity!$B$2</f>
        <v>24.285714285714285</v>
      </c>
    </row>
    <row r="17" spans="2:15" ht="17" thickBot="1" x14ac:dyDescent="0.25">
      <c r="B17" s="44" t="s">
        <v>81</v>
      </c>
      <c r="C17" s="45" t="s">
        <v>63</v>
      </c>
      <c r="D17" s="45"/>
      <c r="E17" s="46">
        <v>46038</v>
      </c>
      <c r="F17" s="8" t="s">
        <v>43</v>
      </c>
      <c r="G17" s="8" t="s">
        <v>43</v>
      </c>
      <c r="H17" s="46">
        <v>46038</v>
      </c>
      <c r="I17" s="46">
        <f>H17+7</f>
        <v>46045</v>
      </c>
      <c r="J17" s="47">
        <f t="shared" si="1"/>
        <v>46045</v>
      </c>
      <c r="K17" s="46" t="s">
        <v>65</v>
      </c>
      <c r="L17" s="48">
        <v>40</v>
      </c>
      <c r="M17" s="48">
        <v>40</v>
      </c>
      <c r="N17" s="48" t="s">
        <v>20</v>
      </c>
      <c r="O17" s="48">
        <f>SUM(L17:N17) / Capacity!$B$2</f>
        <v>11.428571428571429</v>
      </c>
    </row>
    <row r="18" spans="2:15" ht="17" thickBot="1" x14ac:dyDescent="0.25">
      <c r="B18" s="44" t="s">
        <v>82</v>
      </c>
      <c r="C18" s="45" t="s">
        <v>63</v>
      </c>
      <c r="D18" s="45"/>
      <c r="E18" s="46">
        <v>46052</v>
      </c>
      <c r="F18" s="46">
        <v>46059</v>
      </c>
      <c r="G18" s="8" t="s">
        <v>43</v>
      </c>
      <c r="H18" s="46">
        <v>46066</v>
      </c>
      <c r="I18" s="35" t="s">
        <v>40</v>
      </c>
      <c r="J18" s="46"/>
      <c r="K18" s="46" t="s">
        <v>83</v>
      </c>
      <c r="L18" s="48">
        <v>10</v>
      </c>
      <c r="M18" s="48">
        <v>11</v>
      </c>
      <c r="N18" s="48" t="s">
        <v>20</v>
      </c>
      <c r="O18" s="48">
        <f>SUM(L18:N18) / Capacity!$B$2</f>
        <v>3</v>
      </c>
    </row>
    <row r="19" spans="2:15" ht="26" thickBot="1" x14ac:dyDescent="0.25">
      <c r="B19" s="44" t="s">
        <v>84</v>
      </c>
      <c r="C19" s="45" t="s">
        <v>46</v>
      </c>
      <c r="D19" s="45"/>
      <c r="E19" s="49" t="s">
        <v>85</v>
      </c>
      <c r="F19" s="49" t="s">
        <v>85</v>
      </c>
      <c r="G19" s="58" t="s">
        <v>85</v>
      </c>
      <c r="H19" s="58" t="s">
        <v>85</v>
      </c>
      <c r="I19" s="58" t="s">
        <v>85</v>
      </c>
      <c r="J19" s="58" t="s">
        <v>85</v>
      </c>
      <c r="K19" s="46" t="s">
        <v>86</v>
      </c>
      <c r="L19" s="48" t="s">
        <v>87</v>
      </c>
      <c r="M19" s="48" t="s">
        <v>87</v>
      </c>
      <c r="N19" s="48" t="s">
        <v>20</v>
      </c>
      <c r="O19" s="48">
        <f>SUM(L19:N19) / Capacity!$B$2</f>
        <v>0</v>
      </c>
    </row>
    <row r="20" spans="2:15" ht="17" thickBot="1" x14ac:dyDescent="0.25">
      <c r="B20" s="44" t="s">
        <v>88</v>
      </c>
      <c r="C20" s="45" t="s">
        <v>46</v>
      </c>
      <c r="D20" s="45"/>
      <c r="E20" s="49" t="s">
        <v>85</v>
      </c>
      <c r="F20" s="49" t="s">
        <v>85</v>
      </c>
      <c r="G20" s="58" t="s">
        <v>85</v>
      </c>
      <c r="H20" s="58" t="s">
        <v>85</v>
      </c>
      <c r="I20" s="58" t="s">
        <v>85</v>
      </c>
      <c r="J20" s="58" t="s">
        <v>85</v>
      </c>
      <c r="K20" s="46" t="s">
        <v>89</v>
      </c>
      <c r="L20" s="48">
        <v>19</v>
      </c>
      <c r="M20" s="48">
        <v>19</v>
      </c>
      <c r="N20" s="48" t="s">
        <v>20</v>
      </c>
      <c r="O20" s="48">
        <f>SUM(L20:N20) / Capacity!$B$2</f>
        <v>5.4285714285714288</v>
      </c>
    </row>
    <row r="21" spans="2:15" ht="17" thickBot="1" x14ac:dyDescent="0.25">
      <c r="B21" s="44" t="s">
        <v>90</v>
      </c>
      <c r="C21" s="45" t="s">
        <v>46</v>
      </c>
      <c r="D21" s="45"/>
      <c r="E21" s="49" t="s">
        <v>85</v>
      </c>
      <c r="F21" s="49" t="s">
        <v>85</v>
      </c>
      <c r="G21" s="58" t="s">
        <v>85</v>
      </c>
      <c r="H21" s="58" t="s">
        <v>85</v>
      </c>
      <c r="I21" s="58" t="s">
        <v>85</v>
      </c>
      <c r="J21" s="58" t="s">
        <v>85</v>
      </c>
      <c r="K21" s="46" t="s">
        <v>91</v>
      </c>
      <c r="L21" s="48">
        <v>41</v>
      </c>
      <c r="M21" s="48">
        <v>41</v>
      </c>
      <c r="N21" s="48" t="s">
        <v>20</v>
      </c>
      <c r="O21" s="48">
        <f>SUM(L21:N21) / Capacity!$B$2</f>
        <v>11.714285714285714</v>
      </c>
    </row>
    <row r="22" spans="2:15" ht="17" thickBot="1" x14ac:dyDescent="0.25">
      <c r="B22" s="52"/>
      <c r="C22" s="53"/>
      <c r="D22" s="53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48">
        <f>SUM(L22:N22) / Capacity!$B$2</f>
        <v>0</v>
      </c>
    </row>
    <row r="23" spans="2:15" ht="17" thickBot="1" x14ac:dyDescent="0.25">
      <c r="B23" s="44" t="s">
        <v>92</v>
      </c>
      <c r="C23" s="59"/>
      <c r="D23" s="59"/>
      <c r="E23" s="49" t="s">
        <v>85</v>
      </c>
      <c r="F23" s="49" t="s">
        <v>85</v>
      </c>
      <c r="G23" s="58" t="s">
        <v>85</v>
      </c>
      <c r="H23" s="58" t="s">
        <v>85</v>
      </c>
      <c r="I23" s="49" t="s">
        <v>85</v>
      </c>
      <c r="J23" s="49" t="s">
        <v>85</v>
      </c>
      <c r="K23" s="48" t="s">
        <v>93</v>
      </c>
      <c r="L23" s="48">
        <v>47</v>
      </c>
      <c r="M23" s="48">
        <v>47</v>
      </c>
      <c r="N23" s="48" t="s">
        <v>20</v>
      </c>
      <c r="O23" s="48">
        <f>SUM(L23:N23) / Capacity!$B$2</f>
        <v>13.428571428571429</v>
      </c>
    </row>
    <row r="24" spans="2:15" ht="17" thickBot="1" x14ac:dyDescent="0.25">
      <c r="B24" s="60" t="s">
        <v>94</v>
      </c>
      <c r="C24" s="61"/>
      <c r="D24" s="61"/>
      <c r="E24" s="62" t="s">
        <v>85</v>
      </c>
      <c r="F24" s="62" t="s">
        <v>85</v>
      </c>
      <c r="G24" s="63" t="s">
        <v>85</v>
      </c>
      <c r="H24" s="63" t="s">
        <v>85</v>
      </c>
      <c r="I24" s="62" t="s">
        <v>85</v>
      </c>
      <c r="J24" s="62" t="s">
        <v>85</v>
      </c>
      <c r="K24" s="64" t="s">
        <v>95</v>
      </c>
      <c r="L24" s="64">
        <v>5</v>
      </c>
      <c r="M24" s="64">
        <v>5</v>
      </c>
      <c r="N24" s="64" t="s">
        <v>20</v>
      </c>
      <c r="O24" s="48">
        <f>SUM(L24:N24) / Capacity!$B$2</f>
        <v>1.4285714285714286</v>
      </c>
    </row>
    <row r="25" spans="2:15" ht="17" thickBot="1" x14ac:dyDescent="0.25">
      <c r="B25" s="26"/>
      <c r="C25" s="65"/>
      <c r="D25" s="65"/>
      <c r="E25" s="28"/>
      <c r="F25" s="28"/>
      <c r="G25" s="28"/>
      <c r="H25" s="28"/>
      <c r="I25" s="28"/>
      <c r="J25" s="28"/>
      <c r="K25" s="28"/>
      <c r="L25" s="66">
        <f>SUM(L3:L24)</f>
        <v>2179</v>
      </c>
      <c r="M25" s="66">
        <f>SUM(M3:M24)</f>
        <v>1687</v>
      </c>
      <c r="N25" s="29"/>
      <c r="O25" s="29">
        <f>SUM(O3:O24)</f>
        <v>552.28571428571433</v>
      </c>
    </row>
    <row r="26" spans="2:15" x14ac:dyDescent="0.2">
      <c r="C26" s="39"/>
      <c r="D26" s="39"/>
    </row>
    <row r="27" spans="2:15" x14ac:dyDescent="0.2">
      <c r="C27" s="39"/>
      <c r="D27" s="39"/>
    </row>
    <row r="28" spans="2:15" x14ac:dyDescent="0.2">
      <c r="C28" s="39"/>
      <c r="D28" s="39"/>
    </row>
    <row r="29" spans="2:15" x14ac:dyDescent="0.2">
      <c r="C29" s="39"/>
      <c r="D29" s="39"/>
    </row>
    <row r="30" spans="2:15" x14ac:dyDescent="0.2">
      <c r="C30" s="39"/>
      <c r="D30" s="39"/>
    </row>
    <row r="31" spans="2:15" x14ac:dyDescent="0.2">
      <c r="C31" s="39"/>
      <c r="D31" s="39"/>
    </row>
    <row r="32" spans="2:15" x14ac:dyDescent="0.2">
      <c r="C32" s="39"/>
      <c r="D32" s="39"/>
    </row>
    <row r="33" spans="3:4" x14ac:dyDescent="0.2">
      <c r="C33" s="39"/>
      <c r="D33" s="39"/>
    </row>
    <row r="34" spans="3:4" x14ac:dyDescent="0.2">
      <c r="C34" s="39"/>
      <c r="D34" s="39"/>
    </row>
    <row r="35" spans="3:4" x14ac:dyDescent="0.2">
      <c r="C35" s="39"/>
      <c r="D35" s="39"/>
    </row>
    <row r="36" spans="3:4" x14ac:dyDescent="0.2">
      <c r="C36" s="39"/>
      <c r="D36" s="39"/>
    </row>
    <row r="37" spans="3:4" x14ac:dyDescent="0.2">
      <c r="C37" s="39"/>
      <c r="D37" s="39"/>
    </row>
    <row r="38" spans="3:4" x14ac:dyDescent="0.2">
      <c r="C38" s="39"/>
      <c r="D38" s="39"/>
    </row>
    <row r="39" spans="3:4" x14ac:dyDescent="0.2">
      <c r="C39" s="39"/>
      <c r="D39" s="39"/>
    </row>
    <row r="40" spans="3:4" x14ac:dyDescent="0.2">
      <c r="C40" s="39"/>
      <c r="D40" s="39"/>
    </row>
    <row r="41" spans="3:4" x14ac:dyDescent="0.2">
      <c r="C41" s="39"/>
      <c r="D41" s="39"/>
    </row>
    <row r="42" spans="3:4" x14ac:dyDescent="0.2">
      <c r="C42" s="39"/>
      <c r="D42" s="39"/>
    </row>
    <row r="43" spans="3:4" x14ac:dyDescent="0.2">
      <c r="C43" s="39"/>
      <c r="D43" s="39"/>
    </row>
    <row r="44" spans="3:4" x14ac:dyDescent="0.2">
      <c r="C44" s="39"/>
      <c r="D44" s="39"/>
    </row>
    <row r="45" spans="3:4" x14ac:dyDescent="0.2">
      <c r="C45" s="39"/>
      <c r="D45" s="39"/>
    </row>
    <row r="46" spans="3:4" x14ac:dyDescent="0.2">
      <c r="C46" s="39"/>
      <c r="D46" s="39"/>
    </row>
    <row r="47" spans="3:4" x14ac:dyDescent="0.2">
      <c r="C47" s="39"/>
      <c r="D47" s="39"/>
    </row>
    <row r="48" spans="3:4" x14ac:dyDescent="0.2">
      <c r="C48" s="39"/>
      <c r="D48" s="39"/>
    </row>
    <row r="49" spans="3:4" x14ac:dyDescent="0.2">
      <c r="C49" s="39"/>
      <c r="D49" s="39"/>
    </row>
    <row r="50" spans="3:4" x14ac:dyDescent="0.2">
      <c r="C50" s="39"/>
      <c r="D50" s="39"/>
    </row>
    <row r="51" spans="3:4" x14ac:dyDescent="0.2">
      <c r="C51" s="39"/>
      <c r="D51" s="39"/>
    </row>
    <row r="52" spans="3:4" x14ac:dyDescent="0.2">
      <c r="C52" s="39"/>
      <c r="D52" s="39"/>
    </row>
    <row r="53" spans="3:4" x14ac:dyDescent="0.2">
      <c r="C53" s="39"/>
      <c r="D53" s="39"/>
    </row>
    <row r="54" spans="3:4" x14ac:dyDescent="0.2">
      <c r="C54" s="39"/>
      <c r="D54" s="39"/>
    </row>
    <row r="55" spans="3:4" x14ac:dyDescent="0.2">
      <c r="C55" s="39"/>
      <c r="D55" s="39"/>
    </row>
    <row r="56" spans="3:4" x14ac:dyDescent="0.2">
      <c r="C56" s="39"/>
      <c r="D56" s="39"/>
    </row>
    <row r="57" spans="3:4" x14ac:dyDescent="0.2">
      <c r="C57" s="39"/>
      <c r="D57" s="39"/>
    </row>
    <row r="58" spans="3:4" x14ac:dyDescent="0.2">
      <c r="C58" s="39"/>
      <c r="D58" s="39"/>
    </row>
    <row r="59" spans="3:4" x14ac:dyDescent="0.2">
      <c r="C59" s="39"/>
      <c r="D59" s="39"/>
    </row>
    <row r="60" spans="3:4" x14ac:dyDescent="0.2">
      <c r="C60" s="39"/>
      <c r="D60" s="39"/>
    </row>
    <row r="61" spans="3:4" x14ac:dyDescent="0.2">
      <c r="C61" s="39"/>
      <c r="D61" s="39"/>
    </row>
    <row r="62" spans="3:4" x14ac:dyDescent="0.2">
      <c r="C62" s="39"/>
      <c r="D62" s="39"/>
    </row>
    <row r="63" spans="3:4" x14ac:dyDescent="0.2">
      <c r="C63" s="39"/>
      <c r="D63" s="39"/>
    </row>
    <row r="64" spans="3:4" x14ac:dyDescent="0.2">
      <c r="C64" s="39"/>
      <c r="D64" s="39"/>
    </row>
    <row r="65" spans="3:4" x14ac:dyDescent="0.2">
      <c r="C65" s="39"/>
      <c r="D65" s="39"/>
    </row>
    <row r="66" spans="3:4" x14ac:dyDescent="0.2">
      <c r="C66" s="39"/>
      <c r="D66" s="39"/>
    </row>
    <row r="67" spans="3:4" x14ac:dyDescent="0.2">
      <c r="C67" s="39"/>
      <c r="D67" s="39"/>
    </row>
    <row r="68" spans="3:4" x14ac:dyDescent="0.2">
      <c r="C68" s="39"/>
      <c r="D68" s="39"/>
    </row>
    <row r="69" spans="3:4" x14ac:dyDescent="0.2">
      <c r="C69" s="39"/>
      <c r="D69" s="39"/>
    </row>
    <row r="70" spans="3:4" x14ac:dyDescent="0.2">
      <c r="C70" s="39"/>
      <c r="D70" s="39"/>
    </row>
    <row r="71" spans="3:4" x14ac:dyDescent="0.2">
      <c r="C71" s="39"/>
      <c r="D71" s="39"/>
    </row>
    <row r="72" spans="3:4" x14ac:dyDescent="0.2">
      <c r="C72" s="39"/>
      <c r="D72" s="39"/>
    </row>
    <row r="73" spans="3:4" x14ac:dyDescent="0.2">
      <c r="C73" s="39"/>
      <c r="D73" s="39"/>
    </row>
    <row r="74" spans="3:4" x14ac:dyDescent="0.2">
      <c r="C74" s="39"/>
      <c r="D74" s="39"/>
    </row>
    <row r="75" spans="3:4" x14ac:dyDescent="0.2">
      <c r="C75" s="39"/>
      <c r="D75" s="39"/>
    </row>
    <row r="76" spans="3:4" x14ac:dyDescent="0.2">
      <c r="C76" s="39"/>
      <c r="D76" s="39"/>
    </row>
    <row r="77" spans="3:4" x14ac:dyDescent="0.2">
      <c r="C77" s="39"/>
      <c r="D77" s="39"/>
    </row>
    <row r="78" spans="3:4" x14ac:dyDescent="0.2">
      <c r="C78" s="39"/>
      <c r="D78" s="39"/>
    </row>
    <row r="79" spans="3:4" x14ac:dyDescent="0.2">
      <c r="C79" s="39"/>
      <c r="D79" s="39"/>
    </row>
    <row r="80" spans="3:4" x14ac:dyDescent="0.2">
      <c r="C80" s="39"/>
      <c r="D80" s="39"/>
    </row>
    <row r="81" spans="3:4" x14ac:dyDescent="0.2">
      <c r="C81" s="39"/>
      <c r="D81" s="39"/>
    </row>
    <row r="82" spans="3:4" x14ac:dyDescent="0.2">
      <c r="C82" s="39"/>
      <c r="D82" s="39"/>
    </row>
    <row r="83" spans="3:4" x14ac:dyDescent="0.2">
      <c r="C83" s="39"/>
      <c r="D83" s="39"/>
    </row>
    <row r="84" spans="3:4" x14ac:dyDescent="0.2">
      <c r="C84" s="39"/>
      <c r="D84" s="39"/>
    </row>
    <row r="85" spans="3:4" x14ac:dyDescent="0.2">
      <c r="C85" s="39"/>
      <c r="D85" s="39"/>
    </row>
    <row r="86" spans="3:4" x14ac:dyDescent="0.2">
      <c r="C86" s="39"/>
      <c r="D86" s="39"/>
    </row>
    <row r="87" spans="3:4" x14ac:dyDescent="0.2">
      <c r="C87" s="39"/>
      <c r="D87" s="39"/>
    </row>
    <row r="88" spans="3:4" x14ac:dyDescent="0.2">
      <c r="C88" s="39"/>
      <c r="D88" s="39"/>
    </row>
    <row r="89" spans="3:4" x14ac:dyDescent="0.2">
      <c r="C89" s="39"/>
      <c r="D89" s="39"/>
    </row>
    <row r="90" spans="3:4" x14ac:dyDescent="0.2">
      <c r="C90" s="39"/>
      <c r="D90" s="39"/>
    </row>
    <row r="91" spans="3:4" x14ac:dyDescent="0.2">
      <c r="C91" s="39"/>
      <c r="D91" s="39"/>
    </row>
    <row r="92" spans="3:4" x14ac:dyDescent="0.2">
      <c r="C92" s="39"/>
      <c r="D92" s="39"/>
    </row>
    <row r="93" spans="3:4" x14ac:dyDescent="0.2">
      <c r="C93" s="39"/>
      <c r="D93" s="39"/>
    </row>
    <row r="94" spans="3:4" x14ac:dyDescent="0.2">
      <c r="C94" s="39"/>
      <c r="D94" s="39"/>
    </row>
    <row r="95" spans="3:4" x14ac:dyDescent="0.2">
      <c r="C95" s="39"/>
      <c r="D95" s="39"/>
    </row>
    <row r="96" spans="3:4" x14ac:dyDescent="0.2">
      <c r="C96" s="39"/>
      <c r="D96" s="39"/>
    </row>
    <row r="97" spans="3:4" x14ac:dyDescent="0.2">
      <c r="C97" s="39"/>
      <c r="D97" s="39"/>
    </row>
    <row r="98" spans="3:4" x14ac:dyDescent="0.2">
      <c r="C98" s="39"/>
      <c r="D98" s="39"/>
    </row>
    <row r="99" spans="3:4" x14ac:dyDescent="0.2">
      <c r="C99" s="39"/>
      <c r="D99" s="39"/>
    </row>
    <row r="100" spans="3:4" x14ac:dyDescent="0.2">
      <c r="C100" s="39"/>
      <c r="D100" s="39"/>
    </row>
    <row r="101" spans="3:4" x14ac:dyDescent="0.2">
      <c r="C101" s="39"/>
      <c r="D101" s="39"/>
    </row>
    <row r="102" spans="3:4" x14ac:dyDescent="0.2">
      <c r="C102" s="39"/>
      <c r="D102" s="39"/>
    </row>
    <row r="103" spans="3:4" x14ac:dyDescent="0.2">
      <c r="C103" s="39"/>
      <c r="D103" s="39"/>
    </row>
    <row r="104" spans="3:4" x14ac:dyDescent="0.2">
      <c r="C104" s="39"/>
      <c r="D104" s="39"/>
    </row>
    <row r="105" spans="3:4" x14ac:dyDescent="0.2">
      <c r="C105" s="39"/>
      <c r="D105" s="39"/>
    </row>
    <row r="106" spans="3:4" x14ac:dyDescent="0.2">
      <c r="C106" s="39"/>
      <c r="D106" s="39"/>
    </row>
    <row r="107" spans="3:4" x14ac:dyDescent="0.2">
      <c r="C107" s="39"/>
      <c r="D107" s="39"/>
    </row>
    <row r="108" spans="3:4" x14ac:dyDescent="0.2">
      <c r="C108" s="39"/>
      <c r="D108" s="39"/>
    </row>
    <row r="109" spans="3:4" x14ac:dyDescent="0.2">
      <c r="C109" s="39"/>
      <c r="D109" s="39"/>
    </row>
    <row r="110" spans="3:4" x14ac:dyDescent="0.2">
      <c r="C110" s="39"/>
      <c r="D110" s="39"/>
    </row>
    <row r="111" spans="3:4" x14ac:dyDescent="0.2">
      <c r="C111" s="39"/>
      <c r="D111" s="39"/>
    </row>
    <row r="112" spans="3:4" x14ac:dyDescent="0.2">
      <c r="C112" s="39"/>
      <c r="D112" s="39"/>
    </row>
    <row r="113" spans="3:4" x14ac:dyDescent="0.2">
      <c r="C113" s="39"/>
      <c r="D113" s="39"/>
    </row>
    <row r="114" spans="3:4" x14ac:dyDescent="0.2">
      <c r="C114" s="39"/>
      <c r="D114" s="39"/>
    </row>
    <row r="115" spans="3:4" x14ac:dyDescent="0.2">
      <c r="C115" s="39"/>
      <c r="D115" s="39"/>
    </row>
    <row r="116" spans="3:4" x14ac:dyDescent="0.2">
      <c r="C116" s="39"/>
      <c r="D116" s="39"/>
    </row>
    <row r="117" spans="3:4" x14ac:dyDescent="0.2">
      <c r="C117" s="39"/>
      <c r="D117" s="39"/>
    </row>
    <row r="118" spans="3:4" x14ac:dyDescent="0.2">
      <c r="C118" s="39"/>
      <c r="D118" s="39"/>
    </row>
    <row r="119" spans="3:4" x14ac:dyDescent="0.2">
      <c r="C119" s="39"/>
      <c r="D119" s="39"/>
    </row>
    <row r="120" spans="3:4" x14ac:dyDescent="0.2">
      <c r="C120" s="39"/>
      <c r="D120" s="39"/>
    </row>
    <row r="121" spans="3:4" x14ac:dyDescent="0.2">
      <c r="C121" s="39"/>
      <c r="D121" s="39"/>
    </row>
    <row r="122" spans="3:4" x14ac:dyDescent="0.2">
      <c r="C122" s="39"/>
      <c r="D122" s="39"/>
    </row>
    <row r="123" spans="3:4" x14ac:dyDescent="0.2">
      <c r="C123" s="39"/>
      <c r="D123" s="39"/>
    </row>
    <row r="124" spans="3:4" x14ac:dyDescent="0.2">
      <c r="C124" s="39"/>
      <c r="D124" s="39"/>
    </row>
    <row r="125" spans="3:4" x14ac:dyDescent="0.2">
      <c r="C125" s="39"/>
      <c r="D125" s="39"/>
    </row>
    <row r="126" spans="3:4" x14ac:dyDescent="0.2">
      <c r="C126" s="39"/>
      <c r="D126" s="39"/>
    </row>
    <row r="127" spans="3:4" x14ac:dyDescent="0.2">
      <c r="C127" s="39"/>
      <c r="D127" s="39"/>
    </row>
    <row r="128" spans="3:4" x14ac:dyDescent="0.2">
      <c r="C128" s="39"/>
      <c r="D128" s="39"/>
    </row>
    <row r="129" spans="3:4" x14ac:dyDescent="0.2">
      <c r="C129" s="39"/>
      <c r="D129" s="39"/>
    </row>
    <row r="130" spans="3:4" x14ac:dyDescent="0.2">
      <c r="C130" s="39"/>
      <c r="D130" s="39"/>
    </row>
    <row r="131" spans="3:4" x14ac:dyDescent="0.2">
      <c r="C131" s="39"/>
      <c r="D131" s="39"/>
    </row>
    <row r="132" spans="3:4" x14ac:dyDescent="0.2">
      <c r="C132" s="39"/>
      <c r="D132" s="39"/>
    </row>
    <row r="133" spans="3:4" x14ac:dyDescent="0.2">
      <c r="C133" s="39"/>
      <c r="D133" s="39"/>
    </row>
    <row r="134" spans="3:4" x14ac:dyDescent="0.2">
      <c r="C134" s="39"/>
      <c r="D134" s="39"/>
    </row>
    <row r="135" spans="3:4" x14ac:dyDescent="0.2">
      <c r="C135" s="39"/>
      <c r="D135" s="39"/>
    </row>
    <row r="136" spans="3:4" x14ac:dyDescent="0.2">
      <c r="C136" s="39"/>
      <c r="D136" s="39"/>
    </row>
    <row r="137" spans="3:4" x14ac:dyDescent="0.2">
      <c r="C137" s="39"/>
      <c r="D137" s="39"/>
    </row>
    <row r="138" spans="3:4" x14ac:dyDescent="0.2">
      <c r="C138" s="39"/>
      <c r="D138" s="39"/>
    </row>
    <row r="139" spans="3:4" x14ac:dyDescent="0.2">
      <c r="C139" s="39"/>
      <c r="D139" s="39"/>
    </row>
    <row r="140" spans="3:4" x14ac:dyDescent="0.2">
      <c r="C140" s="39"/>
      <c r="D140" s="39"/>
    </row>
    <row r="141" spans="3:4" x14ac:dyDescent="0.2">
      <c r="C141" s="39"/>
      <c r="D141" s="39"/>
    </row>
    <row r="142" spans="3:4" x14ac:dyDescent="0.2">
      <c r="C142" s="39"/>
      <c r="D142" s="39"/>
    </row>
    <row r="143" spans="3:4" x14ac:dyDescent="0.2">
      <c r="C143" s="39"/>
      <c r="D143" s="39"/>
    </row>
    <row r="144" spans="3:4" x14ac:dyDescent="0.2">
      <c r="C144" s="39"/>
      <c r="D144" s="39"/>
    </row>
    <row r="145" spans="3:4" x14ac:dyDescent="0.2">
      <c r="C145" s="39"/>
      <c r="D145" s="39"/>
    </row>
    <row r="146" spans="3:4" x14ac:dyDescent="0.2">
      <c r="C146" s="39"/>
      <c r="D146" s="39"/>
    </row>
    <row r="147" spans="3:4" x14ac:dyDescent="0.2">
      <c r="C147" s="39"/>
      <c r="D147" s="39"/>
    </row>
    <row r="148" spans="3:4" x14ac:dyDescent="0.2">
      <c r="C148" s="39"/>
      <c r="D148" s="39"/>
    </row>
    <row r="149" spans="3:4" x14ac:dyDescent="0.2">
      <c r="C149" s="39"/>
      <c r="D149" s="39"/>
    </row>
    <row r="150" spans="3:4" x14ac:dyDescent="0.2">
      <c r="C150" s="39"/>
      <c r="D150" s="39"/>
    </row>
    <row r="151" spans="3:4" x14ac:dyDescent="0.2">
      <c r="C151" s="39"/>
      <c r="D151" s="39"/>
    </row>
    <row r="152" spans="3:4" x14ac:dyDescent="0.2">
      <c r="C152" s="39"/>
      <c r="D152" s="39"/>
    </row>
    <row r="153" spans="3:4" x14ac:dyDescent="0.2">
      <c r="C153" s="39"/>
      <c r="D153" s="39"/>
    </row>
    <row r="154" spans="3:4" x14ac:dyDescent="0.2">
      <c r="C154" s="39"/>
      <c r="D154" s="39"/>
    </row>
    <row r="155" spans="3:4" x14ac:dyDescent="0.2">
      <c r="C155" s="39"/>
      <c r="D155" s="39"/>
    </row>
    <row r="156" spans="3:4" x14ac:dyDescent="0.2">
      <c r="C156" s="39"/>
      <c r="D156" s="39"/>
    </row>
    <row r="157" spans="3:4" x14ac:dyDescent="0.2">
      <c r="C157" s="39"/>
      <c r="D157" s="39"/>
    </row>
    <row r="158" spans="3:4" x14ac:dyDescent="0.2">
      <c r="C158" s="39"/>
      <c r="D158" s="39"/>
    </row>
    <row r="159" spans="3:4" x14ac:dyDescent="0.2">
      <c r="C159" s="39"/>
      <c r="D159" s="39"/>
    </row>
    <row r="160" spans="3:4" x14ac:dyDescent="0.2">
      <c r="C160" s="39"/>
      <c r="D160" s="39"/>
    </row>
    <row r="161" spans="3:4" x14ac:dyDescent="0.2">
      <c r="C161" s="39"/>
      <c r="D161" s="39"/>
    </row>
    <row r="162" spans="3:4" x14ac:dyDescent="0.2">
      <c r="C162" s="39"/>
      <c r="D162" s="39"/>
    </row>
    <row r="163" spans="3:4" x14ac:dyDescent="0.2">
      <c r="C163" s="39"/>
      <c r="D163" s="39"/>
    </row>
    <row r="164" spans="3:4" x14ac:dyDescent="0.2">
      <c r="C164" s="39"/>
      <c r="D164" s="39"/>
    </row>
    <row r="165" spans="3:4" x14ac:dyDescent="0.2">
      <c r="C165" s="39"/>
      <c r="D165" s="39"/>
    </row>
    <row r="166" spans="3:4" x14ac:dyDescent="0.2">
      <c r="C166" s="39"/>
      <c r="D166" s="39"/>
    </row>
    <row r="167" spans="3:4" x14ac:dyDescent="0.2">
      <c r="C167" s="39"/>
      <c r="D167" s="39"/>
    </row>
    <row r="168" spans="3:4" x14ac:dyDescent="0.2">
      <c r="C168" s="39"/>
      <c r="D168" s="39"/>
    </row>
    <row r="169" spans="3:4" x14ac:dyDescent="0.2">
      <c r="C169" s="39"/>
      <c r="D169" s="39"/>
    </row>
    <row r="170" spans="3:4" x14ac:dyDescent="0.2">
      <c r="C170" s="39"/>
      <c r="D170" s="39"/>
    </row>
    <row r="171" spans="3:4" x14ac:dyDescent="0.2">
      <c r="C171" s="39"/>
      <c r="D171" s="39"/>
    </row>
    <row r="172" spans="3:4" x14ac:dyDescent="0.2">
      <c r="C172" s="39"/>
      <c r="D172" s="39"/>
    </row>
    <row r="173" spans="3:4" x14ac:dyDescent="0.2">
      <c r="C173" s="39"/>
      <c r="D173" s="39"/>
    </row>
    <row r="174" spans="3:4" x14ac:dyDescent="0.2">
      <c r="C174" s="39"/>
      <c r="D174" s="39"/>
    </row>
    <row r="175" spans="3:4" x14ac:dyDescent="0.2">
      <c r="C175" s="39"/>
      <c r="D175" s="39"/>
    </row>
    <row r="176" spans="3:4" x14ac:dyDescent="0.2">
      <c r="C176" s="39"/>
      <c r="D176" s="39"/>
    </row>
    <row r="177" spans="3:4" x14ac:dyDescent="0.2">
      <c r="C177" s="39"/>
      <c r="D177" s="39"/>
    </row>
    <row r="178" spans="3:4" x14ac:dyDescent="0.2">
      <c r="C178" s="39"/>
      <c r="D178" s="39"/>
    </row>
    <row r="179" spans="3:4" x14ac:dyDescent="0.2">
      <c r="C179" s="39"/>
      <c r="D179" s="39"/>
    </row>
    <row r="180" spans="3:4" x14ac:dyDescent="0.2">
      <c r="C180" s="39"/>
      <c r="D180" s="39"/>
    </row>
    <row r="181" spans="3:4" x14ac:dyDescent="0.2">
      <c r="C181" s="39"/>
      <c r="D181" s="39"/>
    </row>
    <row r="182" spans="3:4" x14ac:dyDescent="0.2">
      <c r="C182" s="39"/>
      <c r="D182" s="39"/>
    </row>
    <row r="183" spans="3:4" x14ac:dyDescent="0.2">
      <c r="C183" s="39"/>
      <c r="D183" s="39"/>
    </row>
    <row r="184" spans="3:4" x14ac:dyDescent="0.2">
      <c r="C184" s="39"/>
      <c r="D184" s="39"/>
    </row>
    <row r="185" spans="3:4" x14ac:dyDescent="0.2">
      <c r="C185" s="39"/>
      <c r="D185" s="39"/>
    </row>
    <row r="186" spans="3:4" x14ac:dyDescent="0.2">
      <c r="C186" s="39"/>
      <c r="D186" s="39"/>
    </row>
    <row r="187" spans="3:4" x14ac:dyDescent="0.2">
      <c r="C187" s="39"/>
      <c r="D187" s="39"/>
    </row>
    <row r="188" spans="3:4" x14ac:dyDescent="0.2">
      <c r="C188" s="39"/>
      <c r="D188" s="39"/>
    </row>
    <row r="189" spans="3:4" x14ac:dyDescent="0.2">
      <c r="C189" s="39"/>
      <c r="D189" s="39"/>
    </row>
    <row r="190" spans="3:4" x14ac:dyDescent="0.2">
      <c r="C190" s="39"/>
      <c r="D190" s="39"/>
    </row>
    <row r="191" spans="3:4" x14ac:dyDescent="0.2">
      <c r="C191" s="39"/>
      <c r="D191" s="39"/>
    </row>
    <row r="192" spans="3:4" x14ac:dyDescent="0.2">
      <c r="C192" s="39"/>
      <c r="D192" s="39"/>
    </row>
    <row r="193" spans="3:4" x14ac:dyDescent="0.2">
      <c r="C193" s="39"/>
      <c r="D193" s="39"/>
    </row>
    <row r="194" spans="3:4" x14ac:dyDescent="0.2">
      <c r="C194" s="39"/>
      <c r="D194" s="39"/>
    </row>
    <row r="195" spans="3:4" x14ac:dyDescent="0.2">
      <c r="C195" s="39"/>
      <c r="D195" s="39"/>
    </row>
    <row r="196" spans="3:4" x14ac:dyDescent="0.2">
      <c r="C196" s="39"/>
      <c r="D196" s="39"/>
    </row>
    <row r="197" spans="3:4" x14ac:dyDescent="0.2">
      <c r="C197" s="39"/>
      <c r="D197" s="39"/>
    </row>
    <row r="198" spans="3:4" x14ac:dyDescent="0.2">
      <c r="C198" s="39"/>
      <c r="D198" s="39"/>
    </row>
    <row r="199" spans="3:4" x14ac:dyDescent="0.2">
      <c r="C199" s="39"/>
      <c r="D199" s="39"/>
    </row>
    <row r="200" spans="3:4" x14ac:dyDescent="0.2">
      <c r="C200" s="39"/>
      <c r="D200" s="39"/>
    </row>
    <row r="201" spans="3:4" x14ac:dyDescent="0.2">
      <c r="C201" s="39"/>
      <c r="D201" s="39"/>
    </row>
    <row r="202" spans="3:4" x14ac:dyDescent="0.2">
      <c r="C202" s="39"/>
      <c r="D202" s="39"/>
    </row>
    <row r="203" spans="3:4" x14ac:dyDescent="0.2">
      <c r="C203" s="39"/>
      <c r="D203" s="39"/>
    </row>
    <row r="204" spans="3:4" x14ac:dyDescent="0.2">
      <c r="C204" s="39"/>
      <c r="D204" s="39"/>
    </row>
    <row r="205" spans="3:4" x14ac:dyDescent="0.2">
      <c r="C205" s="39"/>
      <c r="D205" s="39"/>
    </row>
    <row r="206" spans="3:4" x14ac:dyDescent="0.2">
      <c r="C206" s="39"/>
      <c r="D206" s="39"/>
    </row>
    <row r="207" spans="3:4" x14ac:dyDescent="0.2">
      <c r="C207" s="39"/>
      <c r="D207" s="39"/>
    </row>
    <row r="208" spans="3:4" x14ac:dyDescent="0.2">
      <c r="C208" s="39"/>
      <c r="D208" s="39"/>
    </row>
    <row r="209" spans="3:4" x14ac:dyDescent="0.2">
      <c r="C209" s="39"/>
      <c r="D209" s="39"/>
    </row>
    <row r="210" spans="3:4" x14ac:dyDescent="0.2">
      <c r="C210" s="39"/>
      <c r="D210" s="39"/>
    </row>
    <row r="211" spans="3:4" x14ac:dyDescent="0.2">
      <c r="C211" s="39"/>
      <c r="D211" s="39"/>
    </row>
    <row r="212" spans="3:4" x14ac:dyDescent="0.2">
      <c r="C212" s="39"/>
      <c r="D212" s="39"/>
    </row>
    <row r="213" spans="3:4" x14ac:dyDescent="0.2">
      <c r="C213" s="39"/>
      <c r="D213" s="39"/>
    </row>
    <row r="214" spans="3:4" x14ac:dyDescent="0.2">
      <c r="C214" s="39"/>
      <c r="D214" s="39"/>
    </row>
    <row r="215" spans="3:4" x14ac:dyDescent="0.2">
      <c r="C215" s="39"/>
      <c r="D215" s="39"/>
    </row>
    <row r="216" spans="3:4" x14ac:dyDescent="0.2">
      <c r="C216" s="39"/>
      <c r="D216" s="39"/>
    </row>
    <row r="217" spans="3:4" x14ac:dyDescent="0.2">
      <c r="C217" s="39"/>
      <c r="D217" s="39"/>
    </row>
    <row r="218" spans="3:4" x14ac:dyDescent="0.2">
      <c r="C218" s="39"/>
      <c r="D218" s="39"/>
    </row>
    <row r="219" spans="3:4" x14ac:dyDescent="0.2">
      <c r="C219" s="39"/>
      <c r="D219" s="39"/>
    </row>
    <row r="220" spans="3:4" x14ac:dyDescent="0.2">
      <c r="C220" s="39"/>
      <c r="D220" s="39"/>
    </row>
    <row r="221" spans="3:4" x14ac:dyDescent="0.2">
      <c r="C221" s="39"/>
      <c r="D221" s="39"/>
    </row>
    <row r="222" spans="3:4" x14ac:dyDescent="0.2">
      <c r="C222" s="39"/>
      <c r="D222" s="39"/>
    </row>
    <row r="223" spans="3:4" x14ac:dyDescent="0.2">
      <c r="C223" s="39"/>
      <c r="D223" s="39"/>
    </row>
    <row r="224" spans="3:4" x14ac:dyDescent="0.2">
      <c r="C224" s="39"/>
      <c r="D224" s="39"/>
    </row>
    <row r="225" spans="3:4" x14ac:dyDescent="0.2">
      <c r="C225" s="39"/>
      <c r="D225" s="39"/>
    </row>
    <row r="226" spans="3:4" x14ac:dyDescent="0.2">
      <c r="C226" s="39"/>
      <c r="D226" s="39"/>
    </row>
    <row r="227" spans="3:4" x14ac:dyDescent="0.2">
      <c r="C227" s="39"/>
      <c r="D227" s="39"/>
    </row>
    <row r="228" spans="3:4" x14ac:dyDescent="0.2">
      <c r="C228" s="39"/>
      <c r="D228" s="39"/>
    </row>
    <row r="229" spans="3:4" x14ac:dyDescent="0.2">
      <c r="C229" s="39"/>
      <c r="D229" s="39"/>
    </row>
    <row r="230" spans="3:4" x14ac:dyDescent="0.2">
      <c r="C230" s="39"/>
      <c r="D230" s="39"/>
    </row>
    <row r="231" spans="3:4" x14ac:dyDescent="0.2">
      <c r="C231" s="39"/>
      <c r="D231" s="39"/>
    </row>
    <row r="232" spans="3:4" x14ac:dyDescent="0.2">
      <c r="C232" s="39"/>
      <c r="D232" s="39"/>
    </row>
    <row r="233" spans="3:4" x14ac:dyDescent="0.2">
      <c r="C233" s="39"/>
      <c r="D233" s="39"/>
    </row>
    <row r="234" spans="3:4" x14ac:dyDescent="0.2">
      <c r="C234" s="39"/>
      <c r="D234" s="39"/>
    </row>
    <row r="235" spans="3:4" x14ac:dyDescent="0.2">
      <c r="C235" s="39"/>
      <c r="D235" s="39"/>
    </row>
    <row r="236" spans="3:4" x14ac:dyDescent="0.2">
      <c r="C236" s="39"/>
      <c r="D236" s="39"/>
    </row>
    <row r="237" spans="3:4" x14ac:dyDescent="0.2">
      <c r="C237" s="39"/>
      <c r="D237" s="39"/>
    </row>
    <row r="238" spans="3:4" x14ac:dyDescent="0.2">
      <c r="C238" s="39"/>
      <c r="D238" s="39"/>
    </row>
    <row r="239" spans="3:4" x14ac:dyDescent="0.2">
      <c r="C239" s="39"/>
      <c r="D239" s="39"/>
    </row>
    <row r="240" spans="3:4" x14ac:dyDescent="0.2">
      <c r="C240" s="39"/>
      <c r="D240" s="39"/>
    </row>
    <row r="241" spans="3:4" x14ac:dyDescent="0.2">
      <c r="C241" s="39"/>
      <c r="D241" s="39"/>
    </row>
    <row r="242" spans="3:4" x14ac:dyDescent="0.2">
      <c r="C242" s="39"/>
      <c r="D242" s="39"/>
    </row>
    <row r="243" spans="3:4" x14ac:dyDescent="0.2">
      <c r="C243" s="39"/>
      <c r="D243" s="39"/>
    </row>
    <row r="244" spans="3:4" x14ac:dyDescent="0.2">
      <c r="C244" s="39"/>
      <c r="D244" s="39"/>
    </row>
    <row r="245" spans="3:4" x14ac:dyDescent="0.2">
      <c r="C245" s="39"/>
      <c r="D245" s="39"/>
    </row>
    <row r="246" spans="3:4" x14ac:dyDescent="0.2">
      <c r="C246" s="39"/>
      <c r="D246" s="39"/>
    </row>
    <row r="247" spans="3:4" x14ac:dyDescent="0.2">
      <c r="C247" s="39"/>
      <c r="D247" s="39"/>
    </row>
    <row r="248" spans="3:4" x14ac:dyDescent="0.2">
      <c r="C248" s="39"/>
      <c r="D248" s="39"/>
    </row>
    <row r="249" spans="3:4" x14ac:dyDescent="0.2">
      <c r="C249" s="39"/>
      <c r="D249" s="39"/>
    </row>
    <row r="250" spans="3:4" x14ac:dyDescent="0.2">
      <c r="C250" s="39"/>
      <c r="D250" s="39"/>
    </row>
    <row r="251" spans="3:4" x14ac:dyDescent="0.2">
      <c r="C251" s="39"/>
      <c r="D251" s="39"/>
    </row>
    <row r="252" spans="3:4" x14ac:dyDescent="0.2">
      <c r="C252" s="39"/>
      <c r="D252" s="39"/>
    </row>
    <row r="253" spans="3:4" x14ac:dyDescent="0.2">
      <c r="C253" s="39"/>
      <c r="D253" s="39"/>
    </row>
    <row r="254" spans="3:4" x14ac:dyDescent="0.2">
      <c r="C254" s="39"/>
      <c r="D254" s="39"/>
    </row>
    <row r="255" spans="3:4" x14ac:dyDescent="0.2">
      <c r="C255" s="39"/>
      <c r="D255" s="39"/>
    </row>
    <row r="256" spans="3:4" x14ac:dyDescent="0.2">
      <c r="C256" s="39"/>
      <c r="D256" s="39"/>
    </row>
    <row r="257" spans="3:4" x14ac:dyDescent="0.2">
      <c r="C257" s="39"/>
      <c r="D257" s="39"/>
    </row>
    <row r="258" spans="3:4" x14ac:dyDescent="0.2">
      <c r="C258" s="39"/>
      <c r="D258" s="39"/>
    </row>
    <row r="259" spans="3:4" x14ac:dyDescent="0.2">
      <c r="C259" s="39"/>
      <c r="D259" s="39"/>
    </row>
    <row r="260" spans="3:4" x14ac:dyDescent="0.2">
      <c r="C260" s="39"/>
      <c r="D260" s="39"/>
    </row>
    <row r="261" spans="3:4" x14ac:dyDescent="0.2">
      <c r="C261" s="39"/>
      <c r="D261" s="39"/>
    </row>
    <row r="262" spans="3:4" x14ac:dyDescent="0.2">
      <c r="C262" s="39"/>
      <c r="D262" s="39"/>
    </row>
    <row r="263" spans="3:4" x14ac:dyDescent="0.2">
      <c r="C263" s="39"/>
      <c r="D263" s="39"/>
    </row>
    <row r="264" spans="3:4" x14ac:dyDescent="0.2">
      <c r="C264" s="39"/>
      <c r="D264" s="39"/>
    </row>
    <row r="265" spans="3:4" x14ac:dyDescent="0.2">
      <c r="C265" s="39"/>
      <c r="D265" s="39"/>
    </row>
    <row r="266" spans="3:4" x14ac:dyDescent="0.2">
      <c r="C266" s="39"/>
      <c r="D266" s="39"/>
    </row>
    <row r="267" spans="3:4" x14ac:dyDescent="0.2">
      <c r="C267" s="39"/>
      <c r="D267" s="39"/>
    </row>
    <row r="268" spans="3:4" x14ac:dyDescent="0.2">
      <c r="C268" s="39"/>
      <c r="D268" s="39"/>
    </row>
    <row r="269" spans="3:4" x14ac:dyDescent="0.2">
      <c r="C269" s="39"/>
      <c r="D269" s="39"/>
    </row>
    <row r="270" spans="3:4" x14ac:dyDescent="0.2">
      <c r="C270" s="39"/>
      <c r="D270" s="39"/>
    </row>
    <row r="271" spans="3:4" x14ac:dyDescent="0.2">
      <c r="C271" s="39"/>
      <c r="D271" s="39"/>
    </row>
    <row r="272" spans="3:4" x14ac:dyDescent="0.2">
      <c r="C272" s="39"/>
      <c r="D272" s="39"/>
    </row>
    <row r="273" spans="3:4" x14ac:dyDescent="0.2">
      <c r="C273" s="39"/>
      <c r="D273" s="39"/>
    </row>
    <row r="274" spans="3:4" x14ac:dyDescent="0.2">
      <c r="C274" s="39"/>
      <c r="D274" s="39"/>
    </row>
    <row r="275" spans="3:4" x14ac:dyDescent="0.2">
      <c r="C275" s="39"/>
      <c r="D275" s="39"/>
    </row>
    <row r="276" spans="3:4" x14ac:dyDescent="0.2">
      <c r="C276" s="39"/>
      <c r="D276" s="39"/>
    </row>
    <row r="277" spans="3:4" x14ac:dyDescent="0.2">
      <c r="C277" s="39"/>
      <c r="D277" s="39"/>
    </row>
    <row r="278" spans="3:4" x14ac:dyDescent="0.2">
      <c r="C278" s="39"/>
      <c r="D278" s="39"/>
    </row>
    <row r="279" spans="3:4" x14ac:dyDescent="0.2">
      <c r="C279" s="39"/>
      <c r="D279" s="39"/>
    </row>
    <row r="280" spans="3:4" x14ac:dyDescent="0.2">
      <c r="C280" s="39"/>
      <c r="D280" s="39"/>
    </row>
    <row r="281" spans="3:4" x14ac:dyDescent="0.2">
      <c r="C281" s="39"/>
      <c r="D281" s="39"/>
    </row>
    <row r="282" spans="3:4" x14ac:dyDescent="0.2">
      <c r="C282" s="39"/>
      <c r="D282" s="39"/>
    </row>
    <row r="283" spans="3:4" x14ac:dyDescent="0.2">
      <c r="C283" s="39"/>
      <c r="D283" s="39"/>
    </row>
    <row r="284" spans="3:4" x14ac:dyDescent="0.2">
      <c r="C284" s="39"/>
      <c r="D284" s="39"/>
    </row>
    <row r="285" spans="3:4" x14ac:dyDescent="0.2">
      <c r="C285" s="39"/>
      <c r="D285" s="39"/>
    </row>
    <row r="286" spans="3:4" x14ac:dyDescent="0.2">
      <c r="C286" s="39"/>
      <c r="D286" s="39"/>
    </row>
    <row r="287" spans="3:4" x14ac:dyDescent="0.2">
      <c r="C287" s="39"/>
      <c r="D287" s="39"/>
    </row>
    <row r="288" spans="3:4" x14ac:dyDescent="0.2">
      <c r="C288" s="39"/>
      <c r="D288" s="39"/>
    </row>
    <row r="289" spans="3:4" x14ac:dyDescent="0.2">
      <c r="C289" s="39"/>
      <c r="D289" s="39"/>
    </row>
    <row r="290" spans="3:4" x14ac:dyDescent="0.2">
      <c r="C290" s="39"/>
      <c r="D290" s="39"/>
    </row>
    <row r="291" spans="3:4" x14ac:dyDescent="0.2">
      <c r="C291" s="39"/>
      <c r="D291" s="39"/>
    </row>
    <row r="292" spans="3:4" x14ac:dyDescent="0.2">
      <c r="C292" s="39"/>
      <c r="D292" s="39"/>
    </row>
    <row r="293" spans="3:4" x14ac:dyDescent="0.2">
      <c r="C293" s="39"/>
      <c r="D293" s="39"/>
    </row>
    <row r="294" spans="3:4" x14ac:dyDescent="0.2">
      <c r="C294" s="39"/>
      <c r="D294" s="39"/>
    </row>
    <row r="295" spans="3:4" x14ac:dyDescent="0.2">
      <c r="C295" s="39"/>
      <c r="D295" s="39"/>
    </row>
    <row r="296" spans="3:4" x14ac:dyDescent="0.2">
      <c r="C296" s="39"/>
      <c r="D296" s="39"/>
    </row>
    <row r="297" spans="3:4" x14ac:dyDescent="0.2">
      <c r="C297" s="39"/>
      <c r="D297" s="39"/>
    </row>
    <row r="298" spans="3:4" x14ac:dyDescent="0.2">
      <c r="C298" s="39"/>
      <c r="D298" s="39"/>
    </row>
    <row r="299" spans="3:4" x14ac:dyDescent="0.2">
      <c r="C299" s="39"/>
      <c r="D299" s="39"/>
    </row>
    <row r="300" spans="3:4" x14ac:dyDescent="0.2">
      <c r="C300" s="39"/>
      <c r="D300" s="39"/>
    </row>
    <row r="301" spans="3:4" x14ac:dyDescent="0.2">
      <c r="C301" s="39"/>
      <c r="D301" s="39"/>
    </row>
    <row r="302" spans="3:4" x14ac:dyDescent="0.2">
      <c r="C302" s="39"/>
      <c r="D302" s="39"/>
    </row>
    <row r="303" spans="3:4" x14ac:dyDescent="0.2">
      <c r="C303" s="39"/>
      <c r="D303" s="39"/>
    </row>
    <row r="304" spans="3:4" x14ac:dyDescent="0.2">
      <c r="C304" s="39"/>
      <c r="D304" s="39"/>
    </row>
    <row r="305" spans="3:4" x14ac:dyDescent="0.2">
      <c r="C305" s="39"/>
      <c r="D305" s="39"/>
    </row>
    <row r="306" spans="3:4" x14ac:dyDescent="0.2">
      <c r="C306" s="39"/>
      <c r="D306" s="39"/>
    </row>
    <row r="307" spans="3:4" x14ac:dyDescent="0.2">
      <c r="C307" s="39"/>
      <c r="D307" s="39"/>
    </row>
    <row r="308" spans="3:4" x14ac:dyDescent="0.2">
      <c r="C308" s="39"/>
      <c r="D308" s="39"/>
    </row>
    <row r="309" spans="3:4" x14ac:dyDescent="0.2">
      <c r="C309" s="39"/>
      <c r="D309" s="39"/>
    </row>
    <row r="310" spans="3:4" x14ac:dyDescent="0.2">
      <c r="C310" s="39"/>
      <c r="D310" s="39"/>
    </row>
    <row r="311" spans="3:4" x14ac:dyDescent="0.2">
      <c r="C311" s="39"/>
      <c r="D311" s="39"/>
    </row>
    <row r="312" spans="3:4" x14ac:dyDescent="0.2">
      <c r="C312" s="39"/>
      <c r="D312" s="39"/>
    </row>
    <row r="313" spans="3:4" x14ac:dyDescent="0.2">
      <c r="C313" s="39"/>
      <c r="D313" s="39"/>
    </row>
    <row r="314" spans="3:4" x14ac:dyDescent="0.2">
      <c r="C314" s="39"/>
      <c r="D314" s="39"/>
    </row>
    <row r="315" spans="3:4" x14ac:dyDescent="0.2">
      <c r="C315" s="39"/>
      <c r="D315" s="39"/>
    </row>
    <row r="316" spans="3:4" x14ac:dyDescent="0.2">
      <c r="C316" s="39"/>
      <c r="D316" s="39"/>
    </row>
    <row r="317" spans="3:4" x14ac:dyDescent="0.2">
      <c r="C317" s="39"/>
      <c r="D317" s="39"/>
    </row>
    <row r="318" spans="3:4" x14ac:dyDescent="0.2">
      <c r="C318" s="39"/>
      <c r="D318" s="39"/>
    </row>
    <row r="319" spans="3:4" x14ac:dyDescent="0.2">
      <c r="C319" s="39"/>
      <c r="D319" s="39"/>
    </row>
    <row r="320" spans="3:4" x14ac:dyDescent="0.2">
      <c r="C320" s="39"/>
      <c r="D320" s="39"/>
    </row>
    <row r="321" spans="3:4" x14ac:dyDescent="0.2">
      <c r="C321" s="39"/>
      <c r="D321" s="39"/>
    </row>
    <row r="322" spans="3:4" x14ac:dyDescent="0.2">
      <c r="C322" s="39"/>
      <c r="D322" s="39"/>
    </row>
    <row r="323" spans="3:4" x14ac:dyDescent="0.2">
      <c r="C323" s="39"/>
      <c r="D323" s="39"/>
    </row>
    <row r="324" spans="3:4" x14ac:dyDescent="0.2">
      <c r="C324" s="39"/>
      <c r="D324" s="39"/>
    </row>
    <row r="325" spans="3:4" x14ac:dyDescent="0.2">
      <c r="C325" s="39"/>
      <c r="D325" s="39"/>
    </row>
    <row r="326" spans="3:4" x14ac:dyDescent="0.2">
      <c r="C326" s="39"/>
      <c r="D326" s="39"/>
    </row>
    <row r="327" spans="3:4" x14ac:dyDescent="0.2">
      <c r="C327" s="39"/>
      <c r="D327" s="39"/>
    </row>
    <row r="328" spans="3:4" x14ac:dyDescent="0.2">
      <c r="C328" s="39"/>
      <c r="D328" s="39"/>
    </row>
    <row r="329" spans="3:4" x14ac:dyDescent="0.2">
      <c r="C329" s="39"/>
      <c r="D329" s="39"/>
    </row>
    <row r="330" spans="3:4" x14ac:dyDescent="0.2">
      <c r="C330" s="39"/>
      <c r="D330" s="39"/>
    </row>
    <row r="331" spans="3:4" x14ac:dyDescent="0.2">
      <c r="C331" s="39"/>
      <c r="D331" s="39"/>
    </row>
    <row r="332" spans="3:4" x14ac:dyDescent="0.2">
      <c r="C332" s="39"/>
      <c r="D332" s="39"/>
    </row>
    <row r="333" spans="3:4" x14ac:dyDescent="0.2">
      <c r="C333" s="39"/>
      <c r="D333" s="39"/>
    </row>
    <row r="334" spans="3:4" x14ac:dyDescent="0.2">
      <c r="C334" s="39"/>
      <c r="D334" s="39"/>
    </row>
    <row r="335" spans="3:4" x14ac:dyDescent="0.2">
      <c r="C335" s="39"/>
      <c r="D335" s="39"/>
    </row>
    <row r="336" spans="3:4" x14ac:dyDescent="0.2">
      <c r="C336" s="39"/>
      <c r="D336" s="39"/>
    </row>
    <row r="337" spans="3:4" x14ac:dyDescent="0.2">
      <c r="C337" s="39"/>
      <c r="D337" s="39"/>
    </row>
    <row r="338" spans="3:4" x14ac:dyDescent="0.2">
      <c r="C338" s="39"/>
      <c r="D338" s="39"/>
    </row>
    <row r="339" spans="3:4" x14ac:dyDescent="0.2">
      <c r="C339" s="39"/>
      <c r="D339" s="39"/>
    </row>
    <row r="340" spans="3:4" x14ac:dyDescent="0.2">
      <c r="C340" s="39"/>
      <c r="D340" s="39"/>
    </row>
    <row r="341" spans="3:4" x14ac:dyDescent="0.2">
      <c r="C341" s="39"/>
      <c r="D341" s="39"/>
    </row>
    <row r="342" spans="3:4" x14ac:dyDescent="0.2">
      <c r="C342" s="39"/>
      <c r="D342" s="39"/>
    </row>
    <row r="343" spans="3:4" x14ac:dyDescent="0.2">
      <c r="C343" s="39"/>
      <c r="D343" s="39"/>
    </row>
    <row r="344" spans="3:4" x14ac:dyDescent="0.2">
      <c r="C344" s="39"/>
      <c r="D344" s="39"/>
    </row>
    <row r="345" spans="3:4" x14ac:dyDescent="0.2">
      <c r="C345" s="39"/>
      <c r="D345" s="39"/>
    </row>
    <row r="346" spans="3:4" x14ac:dyDescent="0.2">
      <c r="C346" s="39"/>
      <c r="D346" s="39"/>
    </row>
    <row r="347" spans="3:4" x14ac:dyDescent="0.2">
      <c r="C347" s="39"/>
      <c r="D347" s="39"/>
    </row>
    <row r="348" spans="3:4" x14ac:dyDescent="0.2">
      <c r="C348" s="39"/>
      <c r="D348" s="39"/>
    </row>
    <row r="349" spans="3:4" x14ac:dyDescent="0.2">
      <c r="C349" s="39"/>
      <c r="D349" s="39"/>
    </row>
    <row r="350" spans="3:4" x14ac:dyDescent="0.2">
      <c r="C350" s="39"/>
      <c r="D350" s="39"/>
    </row>
    <row r="351" spans="3:4" x14ac:dyDescent="0.2">
      <c r="C351" s="39"/>
      <c r="D351" s="39"/>
    </row>
    <row r="352" spans="3:4" x14ac:dyDescent="0.2">
      <c r="C352" s="39"/>
      <c r="D352" s="39"/>
    </row>
    <row r="353" spans="3:4" x14ac:dyDescent="0.2">
      <c r="C353" s="39"/>
      <c r="D353" s="39"/>
    </row>
    <row r="354" spans="3:4" x14ac:dyDescent="0.2">
      <c r="C354" s="39"/>
      <c r="D354" s="39"/>
    </row>
    <row r="355" spans="3:4" x14ac:dyDescent="0.2">
      <c r="C355" s="39"/>
      <c r="D355" s="39"/>
    </row>
    <row r="356" spans="3:4" x14ac:dyDescent="0.2">
      <c r="C356" s="39"/>
      <c r="D356" s="39"/>
    </row>
    <row r="357" spans="3:4" x14ac:dyDescent="0.2">
      <c r="C357" s="39"/>
      <c r="D357" s="39"/>
    </row>
    <row r="358" spans="3:4" x14ac:dyDescent="0.2">
      <c r="C358" s="39"/>
      <c r="D358" s="39"/>
    </row>
    <row r="359" spans="3:4" x14ac:dyDescent="0.2">
      <c r="C359" s="39"/>
      <c r="D359" s="39"/>
    </row>
    <row r="360" spans="3:4" x14ac:dyDescent="0.2">
      <c r="C360" s="39"/>
      <c r="D360" s="39"/>
    </row>
    <row r="361" spans="3:4" x14ac:dyDescent="0.2">
      <c r="C361" s="39"/>
      <c r="D361" s="39"/>
    </row>
    <row r="362" spans="3:4" x14ac:dyDescent="0.2">
      <c r="C362" s="39"/>
      <c r="D362" s="39"/>
    </row>
    <row r="363" spans="3:4" x14ac:dyDescent="0.2">
      <c r="C363" s="39"/>
      <c r="D363" s="39"/>
    </row>
    <row r="364" spans="3:4" x14ac:dyDescent="0.2">
      <c r="C364" s="39"/>
      <c r="D364" s="39"/>
    </row>
    <row r="365" spans="3:4" x14ac:dyDescent="0.2">
      <c r="C365" s="39"/>
      <c r="D365" s="39"/>
    </row>
    <row r="366" spans="3:4" x14ac:dyDescent="0.2">
      <c r="C366" s="39"/>
      <c r="D366" s="39"/>
    </row>
    <row r="367" spans="3:4" x14ac:dyDescent="0.2">
      <c r="C367" s="39"/>
      <c r="D367" s="39"/>
    </row>
    <row r="368" spans="3:4" x14ac:dyDescent="0.2">
      <c r="C368" s="39"/>
      <c r="D368" s="39"/>
    </row>
    <row r="369" spans="3:4" x14ac:dyDescent="0.2">
      <c r="C369" s="39"/>
      <c r="D369" s="39"/>
    </row>
    <row r="370" spans="3:4" x14ac:dyDescent="0.2">
      <c r="C370" s="39"/>
      <c r="D370" s="39"/>
    </row>
    <row r="371" spans="3:4" x14ac:dyDescent="0.2">
      <c r="C371" s="39"/>
      <c r="D371" s="39"/>
    </row>
    <row r="372" spans="3:4" x14ac:dyDescent="0.2">
      <c r="C372" s="39"/>
      <c r="D372" s="39"/>
    </row>
    <row r="373" spans="3:4" x14ac:dyDescent="0.2">
      <c r="C373" s="39"/>
      <c r="D373" s="39"/>
    </row>
    <row r="374" spans="3:4" x14ac:dyDescent="0.2">
      <c r="C374" s="39"/>
      <c r="D374" s="39"/>
    </row>
    <row r="375" spans="3:4" x14ac:dyDescent="0.2">
      <c r="C375" s="39"/>
      <c r="D375" s="39"/>
    </row>
    <row r="376" spans="3:4" x14ac:dyDescent="0.2">
      <c r="C376" s="39"/>
      <c r="D376" s="39"/>
    </row>
    <row r="377" spans="3:4" x14ac:dyDescent="0.2">
      <c r="C377" s="39"/>
      <c r="D377" s="39"/>
    </row>
    <row r="378" spans="3:4" x14ac:dyDescent="0.2">
      <c r="C378" s="39"/>
      <c r="D378" s="39"/>
    </row>
    <row r="379" spans="3:4" x14ac:dyDescent="0.2">
      <c r="C379" s="39"/>
      <c r="D379" s="39"/>
    </row>
    <row r="380" spans="3:4" x14ac:dyDescent="0.2">
      <c r="C380" s="39"/>
      <c r="D380" s="39"/>
    </row>
    <row r="381" spans="3:4" x14ac:dyDescent="0.2">
      <c r="C381" s="39"/>
      <c r="D381" s="39"/>
    </row>
    <row r="382" spans="3:4" x14ac:dyDescent="0.2">
      <c r="C382" s="39"/>
      <c r="D382" s="39"/>
    </row>
    <row r="383" spans="3:4" x14ac:dyDescent="0.2">
      <c r="C383" s="39"/>
      <c r="D383" s="39"/>
    </row>
    <row r="384" spans="3:4" x14ac:dyDescent="0.2">
      <c r="C384" s="39"/>
      <c r="D384" s="39"/>
    </row>
    <row r="385" spans="3:4" x14ac:dyDescent="0.2">
      <c r="C385" s="39"/>
      <c r="D385" s="39"/>
    </row>
    <row r="386" spans="3:4" x14ac:dyDescent="0.2">
      <c r="C386" s="39"/>
      <c r="D386" s="39"/>
    </row>
    <row r="387" spans="3:4" x14ac:dyDescent="0.2">
      <c r="C387" s="39"/>
      <c r="D387" s="39"/>
    </row>
    <row r="388" spans="3:4" x14ac:dyDescent="0.2">
      <c r="C388" s="39"/>
      <c r="D388" s="39"/>
    </row>
    <row r="389" spans="3:4" x14ac:dyDescent="0.2">
      <c r="C389" s="39"/>
      <c r="D389" s="39"/>
    </row>
    <row r="390" spans="3:4" x14ac:dyDescent="0.2">
      <c r="C390" s="39"/>
      <c r="D390" s="39"/>
    </row>
    <row r="391" spans="3:4" x14ac:dyDescent="0.2">
      <c r="C391" s="39"/>
      <c r="D391" s="39"/>
    </row>
    <row r="392" spans="3:4" x14ac:dyDescent="0.2">
      <c r="C392" s="39"/>
      <c r="D392" s="39"/>
    </row>
    <row r="393" spans="3:4" x14ac:dyDescent="0.2">
      <c r="C393" s="39"/>
      <c r="D393" s="39"/>
    </row>
    <row r="394" spans="3:4" x14ac:dyDescent="0.2">
      <c r="C394" s="39"/>
      <c r="D394" s="39"/>
    </row>
    <row r="395" spans="3:4" x14ac:dyDescent="0.2">
      <c r="C395" s="39"/>
      <c r="D395" s="39"/>
    </row>
    <row r="396" spans="3:4" x14ac:dyDescent="0.2">
      <c r="C396" s="39"/>
      <c r="D396" s="39"/>
    </row>
    <row r="397" spans="3:4" x14ac:dyDescent="0.2">
      <c r="C397" s="39"/>
      <c r="D397" s="39"/>
    </row>
    <row r="398" spans="3:4" x14ac:dyDescent="0.2">
      <c r="C398" s="39"/>
      <c r="D398" s="39"/>
    </row>
    <row r="399" spans="3:4" x14ac:dyDescent="0.2">
      <c r="C399" s="39"/>
      <c r="D399" s="39"/>
    </row>
    <row r="400" spans="3:4" x14ac:dyDescent="0.2">
      <c r="C400" s="39"/>
      <c r="D400" s="39"/>
    </row>
    <row r="401" spans="3:4" x14ac:dyDescent="0.2">
      <c r="C401" s="39"/>
      <c r="D401" s="39"/>
    </row>
    <row r="402" spans="3:4" x14ac:dyDescent="0.2">
      <c r="C402" s="39"/>
      <c r="D402" s="39"/>
    </row>
    <row r="403" spans="3:4" x14ac:dyDescent="0.2">
      <c r="C403" s="39"/>
      <c r="D403" s="39"/>
    </row>
    <row r="404" spans="3:4" x14ac:dyDescent="0.2">
      <c r="C404" s="39"/>
      <c r="D404" s="39"/>
    </row>
    <row r="405" spans="3:4" x14ac:dyDescent="0.2">
      <c r="C405" s="39"/>
      <c r="D405" s="39"/>
    </row>
    <row r="406" spans="3:4" x14ac:dyDescent="0.2">
      <c r="C406" s="39"/>
      <c r="D406" s="39"/>
    </row>
    <row r="407" spans="3:4" x14ac:dyDescent="0.2">
      <c r="C407" s="39"/>
      <c r="D407" s="39"/>
    </row>
    <row r="408" spans="3:4" x14ac:dyDescent="0.2">
      <c r="C408" s="39"/>
      <c r="D408" s="39"/>
    </row>
    <row r="409" spans="3:4" x14ac:dyDescent="0.2">
      <c r="C409" s="39"/>
      <c r="D409" s="39"/>
    </row>
    <row r="410" spans="3:4" x14ac:dyDescent="0.2">
      <c r="C410" s="39"/>
      <c r="D410" s="39"/>
    </row>
    <row r="411" spans="3:4" x14ac:dyDescent="0.2">
      <c r="C411" s="39"/>
      <c r="D411" s="39"/>
    </row>
    <row r="412" spans="3:4" x14ac:dyDescent="0.2">
      <c r="C412" s="39"/>
      <c r="D412" s="39"/>
    </row>
    <row r="413" spans="3:4" x14ac:dyDescent="0.2">
      <c r="C413" s="39"/>
      <c r="D413" s="39"/>
    </row>
    <row r="414" spans="3:4" x14ac:dyDescent="0.2">
      <c r="C414" s="39"/>
      <c r="D414" s="39"/>
    </row>
    <row r="415" spans="3:4" x14ac:dyDescent="0.2">
      <c r="C415" s="39"/>
      <c r="D415" s="39"/>
    </row>
    <row r="416" spans="3:4" x14ac:dyDescent="0.2">
      <c r="C416" s="39"/>
      <c r="D416" s="39"/>
    </row>
    <row r="417" spans="3:4" x14ac:dyDescent="0.2">
      <c r="C417" s="39"/>
      <c r="D417" s="39"/>
    </row>
    <row r="418" spans="3:4" x14ac:dyDescent="0.2">
      <c r="C418" s="39"/>
      <c r="D418" s="39"/>
    </row>
    <row r="419" spans="3:4" x14ac:dyDescent="0.2">
      <c r="C419" s="39"/>
      <c r="D419" s="39"/>
    </row>
    <row r="420" spans="3:4" x14ac:dyDescent="0.2">
      <c r="C420" s="39"/>
      <c r="D420" s="39"/>
    </row>
    <row r="421" spans="3:4" x14ac:dyDescent="0.2">
      <c r="C421" s="39"/>
      <c r="D421" s="39"/>
    </row>
    <row r="422" spans="3:4" x14ac:dyDescent="0.2">
      <c r="C422" s="39"/>
      <c r="D422" s="39"/>
    </row>
    <row r="423" spans="3:4" x14ac:dyDescent="0.2">
      <c r="C423" s="39"/>
      <c r="D423" s="39"/>
    </row>
    <row r="424" spans="3:4" x14ac:dyDescent="0.2">
      <c r="C424" s="39"/>
      <c r="D424" s="39"/>
    </row>
    <row r="425" spans="3:4" x14ac:dyDescent="0.2">
      <c r="C425" s="39"/>
      <c r="D425" s="39"/>
    </row>
    <row r="426" spans="3:4" x14ac:dyDescent="0.2">
      <c r="C426" s="39"/>
      <c r="D426" s="39"/>
    </row>
    <row r="427" spans="3:4" x14ac:dyDescent="0.2">
      <c r="C427" s="39"/>
      <c r="D427" s="39"/>
    </row>
    <row r="428" spans="3:4" x14ac:dyDescent="0.2">
      <c r="C428" s="39"/>
      <c r="D428" s="39"/>
    </row>
    <row r="429" spans="3:4" x14ac:dyDescent="0.2">
      <c r="C429" s="39"/>
      <c r="D429" s="39"/>
    </row>
    <row r="430" spans="3:4" x14ac:dyDescent="0.2">
      <c r="C430" s="39"/>
      <c r="D430" s="39"/>
    </row>
    <row r="431" spans="3:4" x14ac:dyDescent="0.2">
      <c r="C431" s="39"/>
      <c r="D431" s="39"/>
    </row>
    <row r="432" spans="3:4" x14ac:dyDescent="0.2">
      <c r="C432" s="39"/>
      <c r="D432" s="39"/>
    </row>
    <row r="433" spans="3:4" x14ac:dyDescent="0.2">
      <c r="C433" s="39"/>
      <c r="D433" s="39"/>
    </row>
    <row r="434" spans="3:4" x14ac:dyDescent="0.2">
      <c r="C434" s="39"/>
      <c r="D434" s="39"/>
    </row>
    <row r="435" spans="3:4" x14ac:dyDescent="0.2">
      <c r="C435" s="39"/>
      <c r="D435" s="39"/>
    </row>
    <row r="436" spans="3:4" x14ac:dyDescent="0.2">
      <c r="C436" s="39"/>
      <c r="D436" s="39"/>
    </row>
    <row r="437" spans="3:4" x14ac:dyDescent="0.2">
      <c r="C437" s="39"/>
      <c r="D437" s="39"/>
    </row>
    <row r="438" spans="3:4" x14ac:dyDescent="0.2">
      <c r="C438" s="39"/>
      <c r="D438" s="39"/>
    </row>
    <row r="439" spans="3:4" x14ac:dyDescent="0.2">
      <c r="C439" s="39"/>
      <c r="D439" s="39"/>
    </row>
    <row r="440" spans="3:4" x14ac:dyDescent="0.2">
      <c r="C440" s="39"/>
      <c r="D440" s="39"/>
    </row>
    <row r="441" spans="3:4" x14ac:dyDescent="0.2">
      <c r="C441" s="39"/>
      <c r="D441" s="39"/>
    </row>
    <row r="442" spans="3:4" x14ac:dyDescent="0.2">
      <c r="C442" s="39"/>
      <c r="D442" s="39"/>
    </row>
    <row r="443" spans="3:4" x14ac:dyDescent="0.2">
      <c r="C443" s="39"/>
      <c r="D443" s="39"/>
    </row>
    <row r="444" spans="3:4" x14ac:dyDescent="0.2">
      <c r="C444" s="39"/>
      <c r="D444" s="39"/>
    </row>
    <row r="445" spans="3:4" x14ac:dyDescent="0.2">
      <c r="C445" s="39"/>
      <c r="D445" s="39"/>
    </row>
    <row r="446" spans="3:4" x14ac:dyDescent="0.2">
      <c r="C446" s="39"/>
      <c r="D446" s="39"/>
    </row>
    <row r="447" spans="3:4" x14ac:dyDescent="0.2">
      <c r="C447" s="39"/>
      <c r="D447" s="39"/>
    </row>
    <row r="448" spans="3:4" x14ac:dyDescent="0.2">
      <c r="C448" s="39"/>
      <c r="D448" s="39"/>
    </row>
    <row r="449" spans="3:4" x14ac:dyDescent="0.2">
      <c r="C449" s="39"/>
      <c r="D449" s="39"/>
    </row>
    <row r="450" spans="3:4" x14ac:dyDescent="0.2">
      <c r="C450" s="39"/>
      <c r="D450" s="39"/>
    </row>
    <row r="451" spans="3:4" x14ac:dyDescent="0.2">
      <c r="C451" s="39"/>
      <c r="D451" s="39"/>
    </row>
    <row r="452" spans="3:4" x14ac:dyDescent="0.2">
      <c r="C452" s="39"/>
      <c r="D452" s="39"/>
    </row>
    <row r="453" spans="3:4" x14ac:dyDescent="0.2">
      <c r="C453" s="39"/>
      <c r="D453" s="39"/>
    </row>
    <row r="454" spans="3:4" x14ac:dyDescent="0.2">
      <c r="C454" s="39"/>
      <c r="D454" s="39"/>
    </row>
    <row r="455" spans="3:4" x14ac:dyDescent="0.2">
      <c r="C455" s="39"/>
      <c r="D455" s="39"/>
    </row>
    <row r="456" spans="3:4" x14ac:dyDescent="0.2">
      <c r="C456" s="39"/>
      <c r="D456" s="39"/>
    </row>
    <row r="457" spans="3:4" x14ac:dyDescent="0.2">
      <c r="C457" s="39"/>
      <c r="D457" s="39"/>
    </row>
    <row r="458" spans="3:4" x14ac:dyDescent="0.2">
      <c r="C458" s="39"/>
      <c r="D458" s="39"/>
    </row>
    <row r="459" spans="3:4" x14ac:dyDescent="0.2">
      <c r="C459" s="39"/>
      <c r="D459" s="39"/>
    </row>
    <row r="460" spans="3:4" x14ac:dyDescent="0.2">
      <c r="C460" s="39"/>
      <c r="D460" s="39"/>
    </row>
    <row r="461" spans="3:4" x14ac:dyDescent="0.2">
      <c r="C461" s="39"/>
      <c r="D461" s="39"/>
    </row>
    <row r="462" spans="3:4" x14ac:dyDescent="0.2">
      <c r="C462" s="39"/>
      <c r="D462" s="39"/>
    </row>
    <row r="463" spans="3:4" x14ac:dyDescent="0.2">
      <c r="C463" s="39"/>
      <c r="D463" s="39"/>
    </row>
    <row r="464" spans="3:4" x14ac:dyDescent="0.2">
      <c r="C464" s="39"/>
      <c r="D464" s="39"/>
    </row>
    <row r="465" spans="3:4" x14ac:dyDescent="0.2">
      <c r="C465" s="39"/>
      <c r="D465" s="39"/>
    </row>
    <row r="466" spans="3:4" x14ac:dyDescent="0.2">
      <c r="C466" s="39"/>
      <c r="D466" s="39"/>
    </row>
    <row r="467" spans="3:4" x14ac:dyDescent="0.2">
      <c r="C467" s="39"/>
      <c r="D467" s="39"/>
    </row>
    <row r="468" spans="3:4" x14ac:dyDescent="0.2">
      <c r="C468" s="39"/>
      <c r="D468" s="39"/>
    </row>
    <row r="469" spans="3:4" x14ac:dyDescent="0.2">
      <c r="C469" s="39"/>
      <c r="D469" s="39"/>
    </row>
    <row r="470" spans="3:4" x14ac:dyDescent="0.2">
      <c r="C470" s="39"/>
      <c r="D470" s="39"/>
    </row>
    <row r="471" spans="3:4" x14ac:dyDescent="0.2">
      <c r="C471" s="39"/>
      <c r="D471" s="39"/>
    </row>
    <row r="472" spans="3:4" x14ac:dyDescent="0.2">
      <c r="C472" s="39"/>
      <c r="D472" s="39"/>
    </row>
    <row r="473" spans="3:4" x14ac:dyDescent="0.2">
      <c r="C473" s="39"/>
      <c r="D473" s="39"/>
    </row>
    <row r="474" spans="3:4" x14ac:dyDescent="0.2">
      <c r="C474" s="39"/>
      <c r="D474" s="39"/>
    </row>
    <row r="475" spans="3:4" x14ac:dyDescent="0.2">
      <c r="C475" s="39"/>
      <c r="D475" s="39"/>
    </row>
    <row r="476" spans="3:4" x14ac:dyDescent="0.2">
      <c r="C476" s="39"/>
      <c r="D476" s="39"/>
    </row>
    <row r="477" spans="3:4" x14ac:dyDescent="0.2">
      <c r="C477" s="39"/>
      <c r="D477" s="39"/>
    </row>
    <row r="478" spans="3:4" x14ac:dyDescent="0.2">
      <c r="C478" s="39"/>
      <c r="D478" s="39"/>
    </row>
    <row r="479" spans="3:4" x14ac:dyDescent="0.2">
      <c r="C479" s="39"/>
      <c r="D479" s="39"/>
    </row>
    <row r="480" spans="3:4" x14ac:dyDescent="0.2">
      <c r="C480" s="39"/>
      <c r="D480" s="39"/>
    </row>
    <row r="481" spans="3:4" x14ac:dyDescent="0.2">
      <c r="C481" s="39"/>
      <c r="D481" s="39"/>
    </row>
    <row r="482" spans="3:4" x14ac:dyDescent="0.2">
      <c r="C482" s="39"/>
      <c r="D482" s="39"/>
    </row>
    <row r="483" spans="3:4" x14ac:dyDescent="0.2">
      <c r="C483" s="39"/>
      <c r="D483" s="39"/>
    </row>
    <row r="484" spans="3:4" x14ac:dyDescent="0.2">
      <c r="C484" s="39"/>
      <c r="D484" s="39"/>
    </row>
    <row r="485" spans="3:4" x14ac:dyDescent="0.2">
      <c r="C485" s="39"/>
      <c r="D485" s="39"/>
    </row>
    <row r="486" spans="3:4" x14ac:dyDescent="0.2">
      <c r="C486" s="39"/>
      <c r="D486" s="39"/>
    </row>
    <row r="487" spans="3:4" x14ac:dyDescent="0.2">
      <c r="C487" s="39"/>
      <c r="D487" s="39"/>
    </row>
    <row r="488" spans="3:4" x14ac:dyDescent="0.2">
      <c r="C488" s="39"/>
      <c r="D488" s="39"/>
    </row>
    <row r="489" spans="3:4" x14ac:dyDescent="0.2">
      <c r="C489" s="39"/>
      <c r="D489" s="39"/>
    </row>
    <row r="490" spans="3:4" x14ac:dyDescent="0.2">
      <c r="C490" s="39"/>
      <c r="D490" s="39"/>
    </row>
    <row r="491" spans="3:4" x14ac:dyDescent="0.2">
      <c r="C491" s="39"/>
      <c r="D491" s="39"/>
    </row>
    <row r="492" spans="3:4" x14ac:dyDescent="0.2">
      <c r="C492" s="39"/>
      <c r="D492" s="39"/>
    </row>
    <row r="493" spans="3:4" x14ac:dyDescent="0.2">
      <c r="C493" s="39"/>
      <c r="D493" s="39"/>
    </row>
    <row r="494" spans="3:4" x14ac:dyDescent="0.2">
      <c r="C494" s="39"/>
      <c r="D494" s="39"/>
    </row>
    <row r="495" spans="3:4" x14ac:dyDescent="0.2">
      <c r="C495" s="39"/>
      <c r="D495" s="39"/>
    </row>
    <row r="496" spans="3:4" x14ac:dyDescent="0.2">
      <c r="C496" s="39"/>
      <c r="D496" s="39"/>
    </row>
    <row r="497" spans="3:4" x14ac:dyDescent="0.2">
      <c r="C497" s="39"/>
      <c r="D497" s="39"/>
    </row>
    <row r="498" spans="3:4" x14ac:dyDescent="0.2">
      <c r="C498" s="39"/>
      <c r="D498" s="39"/>
    </row>
    <row r="499" spans="3:4" x14ac:dyDescent="0.2">
      <c r="C499" s="39"/>
      <c r="D499" s="39"/>
    </row>
    <row r="500" spans="3:4" x14ac:dyDescent="0.2">
      <c r="C500" s="39"/>
      <c r="D500" s="39"/>
    </row>
    <row r="501" spans="3:4" x14ac:dyDescent="0.2">
      <c r="C501" s="39"/>
      <c r="D501" s="39"/>
    </row>
    <row r="502" spans="3:4" x14ac:dyDescent="0.2">
      <c r="C502" s="39"/>
      <c r="D502" s="39"/>
    </row>
    <row r="503" spans="3:4" x14ac:dyDescent="0.2">
      <c r="C503" s="39"/>
      <c r="D503" s="39"/>
    </row>
    <row r="504" spans="3:4" x14ac:dyDescent="0.2">
      <c r="C504" s="39"/>
      <c r="D504" s="39"/>
    </row>
    <row r="505" spans="3:4" x14ac:dyDescent="0.2">
      <c r="C505" s="39"/>
      <c r="D505" s="39"/>
    </row>
    <row r="506" spans="3:4" x14ac:dyDescent="0.2">
      <c r="C506" s="39"/>
      <c r="D506" s="39"/>
    </row>
    <row r="507" spans="3:4" x14ac:dyDescent="0.2">
      <c r="C507" s="39"/>
      <c r="D507" s="39"/>
    </row>
    <row r="508" spans="3:4" x14ac:dyDescent="0.2">
      <c r="C508" s="39"/>
      <c r="D508" s="39"/>
    </row>
    <row r="509" spans="3:4" x14ac:dyDescent="0.2">
      <c r="C509" s="39"/>
      <c r="D509" s="39"/>
    </row>
    <row r="510" spans="3:4" x14ac:dyDescent="0.2">
      <c r="C510" s="39"/>
      <c r="D510" s="39"/>
    </row>
    <row r="511" spans="3:4" x14ac:dyDescent="0.2">
      <c r="C511" s="39"/>
      <c r="D511" s="39"/>
    </row>
    <row r="512" spans="3:4" x14ac:dyDescent="0.2">
      <c r="C512" s="39"/>
      <c r="D512" s="39"/>
    </row>
    <row r="513" spans="3:4" x14ac:dyDescent="0.2">
      <c r="C513" s="39"/>
      <c r="D513" s="39"/>
    </row>
    <row r="514" spans="3:4" x14ac:dyDescent="0.2">
      <c r="C514" s="39"/>
      <c r="D514" s="39"/>
    </row>
    <row r="515" spans="3:4" x14ac:dyDescent="0.2">
      <c r="C515" s="39"/>
      <c r="D515" s="39"/>
    </row>
    <row r="516" spans="3:4" x14ac:dyDescent="0.2">
      <c r="C516" s="39"/>
      <c r="D516" s="39"/>
    </row>
    <row r="517" spans="3:4" x14ac:dyDescent="0.2">
      <c r="C517" s="39"/>
      <c r="D517" s="39"/>
    </row>
    <row r="518" spans="3:4" x14ac:dyDescent="0.2">
      <c r="C518" s="39"/>
      <c r="D518" s="39"/>
    </row>
    <row r="519" spans="3:4" x14ac:dyDescent="0.2">
      <c r="C519" s="39"/>
      <c r="D519" s="39"/>
    </row>
    <row r="520" spans="3:4" x14ac:dyDescent="0.2">
      <c r="C520" s="39"/>
      <c r="D520" s="39"/>
    </row>
    <row r="521" spans="3:4" x14ac:dyDescent="0.2">
      <c r="C521" s="39"/>
      <c r="D521" s="39"/>
    </row>
    <row r="522" spans="3:4" x14ac:dyDescent="0.2">
      <c r="C522" s="39"/>
      <c r="D522" s="39"/>
    </row>
    <row r="523" spans="3:4" x14ac:dyDescent="0.2">
      <c r="C523" s="39"/>
      <c r="D523" s="39"/>
    </row>
    <row r="524" spans="3:4" x14ac:dyDescent="0.2">
      <c r="C524" s="39"/>
      <c r="D524" s="39"/>
    </row>
    <row r="525" spans="3:4" x14ac:dyDescent="0.2">
      <c r="C525" s="39"/>
      <c r="D525" s="39"/>
    </row>
    <row r="526" spans="3:4" x14ac:dyDescent="0.2">
      <c r="C526" s="39"/>
      <c r="D526" s="39"/>
    </row>
    <row r="527" spans="3:4" x14ac:dyDescent="0.2">
      <c r="C527" s="39"/>
      <c r="D527" s="39"/>
    </row>
    <row r="528" spans="3:4" x14ac:dyDescent="0.2">
      <c r="C528" s="39"/>
      <c r="D528" s="39"/>
    </row>
    <row r="529" spans="3:4" x14ac:dyDescent="0.2">
      <c r="C529" s="39"/>
      <c r="D529" s="39"/>
    </row>
    <row r="530" spans="3:4" x14ac:dyDescent="0.2">
      <c r="C530" s="39"/>
      <c r="D530" s="39"/>
    </row>
    <row r="531" spans="3:4" x14ac:dyDescent="0.2">
      <c r="C531" s="39"/>
      <c r="D531" s="39"/>
    </row>
    <row r="532" spans="3:4" x14ac:dyDescent="0.2">
      <c r="C532" s="39"/>
      <c r="D532" s="39"/>
    </row>
    <row r="533" spans="3:4" x14ac:dyDescent="0.2">
      <c r="C533" s="39"/>
      <c r="D533" s="39"/>
    </row>
    <row r="534" spans="3:4" x14ac:dyDescent="0.2">
      <c r="C534" s="39"/>
      <c r="D534" s="39"/>
    </row>
    <row r="535" spans="3:4" x14ac:dyDescent="0.2">
      <c r="C535" s="39"/>
      <c r="D535" s="39"/>
    </row>
    <row r="536" spans="3:4" x14ac:dyDescent="0.2">
      <c r="C536" s="39"/>
      <c r="D536" s="39"/>
    </row>
    <row r="537" spans="3:4" x14ac:dyDescent="0.2">
      <c r="C537" s="39"/>
      <c r="D537" s="39"/>
    </row>
    <row r="538" spans="3:4" x14ac:dyDescent="0.2">
      <c r="C538" s="39"/>
      <c r="D538" s="39"/>
    </row>
    <row r="539" spans="3:4" x14ac:dyDescent="0.2">
      <c r="C539" s="39"/>
      <c r="D539" s="39"/>
    </row>
    <row r="540" spans="3:4" x14ac:dyDescent="0.2">
      <c r="C540" s="39"/>
      <c r="D540" s="39"/>
    </row>
    <row r="541" spans="3:4" x14ac:dyDescent="0.2">
      <c r="C541" s="39"/>
      <c r="D541" s="39"/>
    </row>
    <row r="542" spans="3:4" x14ac:dyDescent="0.2">
      <c r="C542" s="39"/>
      <c r="D542" s="39"/>
    </row>
    <row r="543" spans="3:4" x14ac:dyDescent="0.2">
      <c r="C543" s="39"/>
      <c r="D543" s="39"/>
    </row>
    <row r="544" spans="3:4" x14ac:dyDescent="0.2">
      <c r="C544" s="39"/>
      <c r="D544" s="39"/>
    </row>
    <row r="545" spans="3:4" x14ac:dyDescent="0.2">
      <c r="C545" s="39"/>
      <c r="D545" s="39"/>
    </row>
    <row r="546" spans="3:4" x14ac:dyDescent="0.2">
      <c r="C546" s="39"/>
      <c r="D546" s="39"/>
    </row>
    <row r="547" spans="3:4" x14ac:dyDescent="0.2">
      <c r="C547" s="39"/>
      <c r="D547" s="39"/>
    </row>
    <row r="548" spans="3:4" x14ac:dyDescent="0.2">
      <c r="C548" s="39"/>
      <c r="D548" s="39"/>
    </row>
    <row r="549" spans="3:4" x14ac:dyDescent="0.2">
      <c r="C549" s="39"/>
      <c r="D549" s="39"/>
    </row>
    <row r="550" spans="3:4" x14ac:dyDescent="0.2">
      <c r="C550" s="39"/>
      <c r="D550" s="39"/>
    </row>
    <row r="551" spans="3:4" x14ac:dyDescent="0.2">
      <c r="C551" s="39"/>
      <c r="D551" s="39"/>
    </row>
    <row r="552" spans="3:4" x14ac:dyDescent="0.2">
      <c r="C552" s="39"/>
      <c r="D552" s="39"/>
    </row>
    <row r="553" spans="3:4" x14ac:dyDescent="0.2">
      <c r="C553" s="39"/>
      <c r="D553" s="39"/>
    </row>
    <row r="554" spans="3:4" x14ac:dyDescent="0.2">
      <c r="C554" s="39"/>
      <c r="D554" s="39"/>
    </row>
    <row r="555" spans="3:4" x14ac:dyDescent="0.2">
      <c r="C555" s="39"/>
      <c r="D555" s="39"/>
    </row>
    <row r="556" spans="3:4" x14ac:dyDescent="0.2">
      <c r="C556" s="39"/>
      <c r="D556" s="39"/>
    </row>
    <row r="557" spans="3:4" x14ac:dyDescent="0.2">
      <c r="C557" s="39"/>
      <c r="D557" s="39"/>
    </row>
    <row r="558" spans="3:4" x14ac:dyDescent="0.2">
      <c r="C558" s="39"/>
      <c r="D558" s="39"/>
    </row>
    <row r="559" spans="3:4" x14ac:dyDescent="0.2">
      <c r="C559" s="39"/>
      <c r="D559" s="39"/>
    </row>
    <row r="560" spans="3:4" x14ac:dyDescent="0.2">
      <c r="C560" s="39"/>
      <c r="D560" s="39"/>
    </row>
    <row r="561" spans="3:4" x14ac:dyDescent="0.2">
      <c r="C561" s="39"/>
      <c r="D561" s="39"/>
    </row>
    <row r="562" spans="3:4" x14ac:dyDescent="0.2">
      <c r="C562" s="39"/>
      <c r="D562" s="39"/>
    </row>
    <row r="563" spans="3:4" x14ac:dyDescent="0.2">
      <c r="C563" s="39"/>
      <c r="D563" s="39"/>
    </row>
    <row r="564" spans="3:4" x14ac:dyDescent="0.2">
      <c r="C564" s="39"/>
      <c r="D564" s="39"/>
    </row>
    <row r="565" spans="3:4" x14ac:dyDescent="0.2">
      <c r="C565" s="39"/>
      <c r="D565" s="39"/>
    </row>
    <row r="566" spans="3:4" x14ac:dyDescent="0.2">
      <c r="C566" s="39"/>
      <c r="D566" s="39"/>
    </row>
    <row r="567" spans="3:4" x14ac:dyDescent="0.2">
      <c r="C567" s="39"/>
      <c r="D567" s="39"/>
    </row>
    <row r="568" spans="3:4" x14ac:dyDescent="0.2">
      <c r="C568" s="39"/>
      <c r="D568" s="39"/>
    </row>
    <row r="569" spans="3:4" x14ac:dyDescent="0.2">
      <c r="C569" s="39"/>
      <c r="D569" s="39"/>
    </row>
    <row r="570" spans="3:4" x14ac:dyDescent="0.2">
      <c r="C570" s="39"/>
      <c r="D570" s="39"/>
    </row>
    <row r="571" spans="3:4" x14ac:dyDescent="0.2">
      <c r="C571" s="39"/>
      <c r="D571" s="39"/>
    </row>
    <row r="572" spans="3:4" x14ac:dyDescent="0.2">
      <c r="C572" s="39"/>
      <c r="D572" s="39"/>
    </row>
    <row r="573" spans="3:4" x14ac:dyDescent="0.2">
      <c r="C573" s="39"/>
      <c r="D573" s="39"/>
    </row>
    <row r="574" spans="3:4" x14ac:dyDescent="0.2">
      <c r="C574" s="39"/>
      <c r="D574" s="39"/>
    </row>
    <row r="575" spans="3:4" x14ac:dyDescent="0.2">
      <c r="C575" s="39"/>
      <c r="D575" s="39"/>
    </row>
    <row r="576" spans="3:4" x14ac:dyDescent="0.2">
      <c r="C576" s="39"/>
      <c r="D576" s="39"/>
    </row>
    <row r="577" spans="3:4" x14ac:dyDescent="0.2">
      <c r="C577" s="39"/>
      <c r="D577" s="39"/>
    </row>
    <row r="578" spans="3:4" x14ac:dyDescent="0.2">
      <c r="C578" s="39"/>
      <c r="D578" s="39"/>
    </row>
    <row r="579" spans="3:4" x14ac:dyDescent="0.2">
      <c r="C579" s="39"/>
      <c r="D579" s="39"/>
    </row>
    <row r="580" spans="3:4" x14ac:dyDescent="0.2">
      <c r="C580" s="39"/>
      <c r="D580" s="39"/>
    </row>
    <row r="581" spans="3:4" x14ac:dyDescent="0.2">
      <c r="C581" s="39"/>
      <c r="D581" s="39"/>
    </row>
    <row r="582" spans="3:4" x14ac:dyDescent="0.2">
      <c r="C582" s="39"/>
      <c r="D582" s="39"/>
    </row>
    <row r="583" spans="3:4" x14ac:dyDescent="0.2">
      <c r="C583" s="39"/>
      <c r="D583" s="39"/>
    </row>
    <row r="584" spans="3:4" x14ac:dyDescent="0.2">
      <c r="C584" s="39"/>
      <c r="D584" s="39"/>
    </row>
    <row r="585" spans="3:4" x14ac:dyDescent="0.2">
      <c r="C585" s="39"/>
      <c r="D585" s="39"/>
    </row>
    <row r="586" spans="3:4" x14ac:dyDescent="0.2">
      <c r="C586" s="39"/>
      <c r="D586" s="39"/>
    </row>
    <row r="587" spans="3:4" x14ac:dyDescent="0.2">
      <c r="C587" s="39"/>
      <c r="D587" s="39"/>
    </row>
    <row r="588" spans="3:4" x14ac:dyDescent="0.2">
      <c r="C588" s="39"/>
      <c r="D588" s="39"/>
    </row>
    <row r="589" spans="3:4" x14ac:dyDescent="0.2">
      <c r="C589" s="39"/>
      <c r="D589" s="39"/>
    </row>
    <row r="590" spans="3:4" x14ac:dyDescent="0.2">
      <c r="C590" s="39"/>
      <c r="D590" s="39"/>
    </row>
    <row r="591" spans="3:4" x14ac:dyDescent="0.2">
      <c r="C591" s="39"/>
      <c r="D591" s="39"/>
    </row>
    <row r="592" spans="3:4" x14ac:dyDescent="0.2">
      <c r="C592" s="39"/>
      <c r="D592" s="39"/>
    </row>
    <row r="593" spans="3:4" x14ac:dyDescent="0.2">
      <c r="C593" s="39"/>
      <c r="D593" s="39"/>
    </row>
    <row r="594" spans="3:4" x14ac:dyDescent="0.2">
      <c r="C594" s="39"/>
      <c r="D594" s="39"/>
    </row>
    <row r="595" spans="3:4" x14ac:dyDescent="0.2">
      <c r="C595" s="39"/>
      <c r="D595" s="39"/>
    </row>
    <row r="596" spans="3:4" x14ac:dyDescent="0.2">
      <c r="C596" s="39"/>
      <c r="D596" s="39"/>
    </row>
    <row r="597" spans="3:4" x14ac:dyDescent="0.2">
      <c r="C597" s="39"/>
      <c r="D597" s="39"/>
    </row>
    <row r="598" spans="3:4" x14ac:dyDescent="0.2">
      <c r="C598" s="39"/>
      <c r="D598" s="39"/>
    </row>
    <row r="599" spans="3:4" x14ac:dyDescent="0.2">
      <c r="C599" s="39"/>
      <c r="D599" s="39"/>
    </row>
    <row r="600" spans="3:4" x14ac:dyDescent="0.2">
      <c r="C600" s="39"/>
      <c r="D600" s="39"/>
    </row>
    <row r="601" spans="3:4" x14ac:dyDescent="0.2">
      <c r="C601" s="39"/>
      <c r="D601" s="39"/>
    </row>
    <row r="602" spans="3:4" x14ac:dyDescent="0.2">
      <c r="C602" s="39"/>
      <c r="D602" s="39"/>
    </row>
    <row r="603" spans="3:4" x14ac:dyDescent="0.2">
      <c r="C603" s="39"/>
      <c r="D603" s="39"/>
    </row>
    <row r="604" spans="3:4" x14ac:dyDescent="0.2">
      <c r="C604" s="39"/>
      <c r="D604" s="39"/>
    </row>
    <row r="605" spans="3:4" x14ac:dyDescent="0.2">
      <c r="C605" s="39"/>
      <c r="D605" s="39"/>
    </row>
    <row r="606" spans="3:4" x14ac:dyDescent="0.2">
      <c r="C606" s="39"/>
      <c r="D606" s="39"/>
    </row>
    <row r="607" spans="3:4" x14ac:dyDescent="0.2">
      <c r="C607" s="39"/>
      <c r="D607" s="39"/>
    </row>
    <row r="608" spans="3:4" x14ac:dyDescent="0.2">
      <c r="C608" s="39"/>
      <c r="D608" s="39"/>
    </row>
    <row r="609" spans="3:4" x14ac:dyDescent="0.2">
      <c r="C609" s="39"/>
      <c r="D609" s="39"/>
    </row>
    <row r="610" spans="3:4" x14ac:dyDescent="0.2">
      <c r="C610" s="39"/>
      <c r="D610" s="39"/>
    </row>
    <row r="611" spans="3:4" x14ac:dyDescent="0.2">
      <c r="C611" s="39"/>
      <c r="D611" s="39"/>
    </row>
    <row r="612" spans="3:4" x14ac:dyDescent="0.2">
      <c r="C612" s="39"/>
      <c r="D612" s="39"/>
    </row>
    <row r="613" spans="3:4" x14ac:dyDescent="0.2">
      <c r="C613" s="39"/>
      <c r="D613" s="39"/>
    </row>
    <row r="614" spans="3:4" x14ac:dyDescent="0.2">
      <c r="C614" s="39"/>
      <c r="D614" s="39"/>
    </row>
    <row r="615" spans="3:4" x14ac:dyDescent="0.2">
      <c r="C615" s="39"/>
      <c r="D615" s="39"/>
    </row>
    <row r="616" spans="3:4" x14ac:dyDescent="0.2">
      <c r="C616" s="39"/>
      <c r="D616" s="39"/>
    </row>
    <row r="617" spans="3:4" x14ac:dyDescent="0.2">
      <c r="C617" s="39"/>
      <c r="D617" s="39"/>
    </row>
    <row r="618" spans="3:4" x14ac:dyDescent="0.2">
      <c r="C618" s="39"/>
      <c r="D618" s="39"/>
    </row>
    <row r="619" spans="3:4" x14ac:dyDescent="0.2">
      <c r="C619" s="39"/>
      <c r="D619" s="39"/>
    </row>
    <row r="620" spans="3:4" x14ac:dyDescent="0.2">
      <c r="C620" s="39"/>
      <c r="D620" s="39"/>
    </row>
    <row r="621" spans="3:4" x14ac:dyDescent="0.2">
      <c r="C621" s="39"/>
      <c r="D621" s="39"/>
    </row>
    <row r="622" spans="3:4" x14ac:dyDescent="0.2">
      <c r="C622" s="39"/>
      <c r="D622" s="39"/>
    </row>
    <row r="623" spans="3:4" x14ac:dyDescent="0.2">
      <c r="C623" s="39"/>
      <c r="D623" s="39"/>
    </row>
    <row r="624" spans="3:4" x14ac:dyDescent="0.2">
      <c r="C624" s="39"/>
      <c r="D624" s="39"/>
    </row>
    <row r="625" spans="3:4" x14ac:dyDescent="0.2">
      <c r="C625" s="39"/>
      <c r="D625" s="39"/>
    </row>
    <row r="626" spans="3:4" x14ac:dyDescent="0.2">
      <c r="C626" s="39"/>
      <c r="D626" s="39"/>
    </row>
    <row r="627" spans="3:4" x14ac:dyDescent="0.2">
      <c r="C627" s="39"/>
      <c r="D627" s="39"/>
    </row>
    <row r="628" spans="3:4" x14ac:dyDescent="0.2">
      <c r="C628" s="39"/>
      <c r="D628" s="39"/>
    </row>
    <row r="629" spans="3:4" x14ac:dyDescent="0.2">
      <c r="C629" s="39"/>
      <c r="D629" s="39"/>
    </row>
    <row r="630" spans="3:4" x14ac:dyDescent="0.2">
      <c r="C630" s="39"/>
      <c r="D630" s="39"/>
    </row>
    <row r="631" spans="3:4" x14ac:dyDescent="0.2">
      <c r="C631" s="39"/>
      <c r="D631" s="39"/>
    </row>
    <row r="632" spans="3:4" x14ac:dyDescent="0.2">
      <c r="C632" s="39"/>
      <c r="D632" s="39"/>
    </row>
    <row r="633" spans="3:4" x14ac:dyDescent="0.2">
      <c r="C633" s="39"/>
      <c r="D633" s="39"/>
    </row>
    <row r="634" spans="3:4" x14ac:dyDescent="0.2">
      <c r="C634" s="39"/>
      <c r="D634" s="39"/>
    </row>
    <row r="635" spans="3:4" x14ac:dyDescent="0.2">
      <c r="C635" s="39"/>
      <c r="D635" s="39"/>
    </row>
    <row r="636" spans="3:4" x14ac:dyDescent="0.2">
      <c r="C636" s="39"/>
      <c r="D636" s="39"/>
    </row>
    <row r="637" spans="3:4" x14ac:dyDescent="0.2">
      <c r="C637" s="39"/>
      <c r="D637" s="39"/>
    </row>
    <row r="638" spans="3:4" x14ac:dyDescent="0.2">
      <c r="C638" s="39"/>
      <c r="D638" s="39"/>
    </row>
    <row r="639" spans="3:4" x14ac:dyDescent="0.2">
      <c r="C639" s="39"/>
      <c r="D639" s="39"/>
    </row>
    <row r="640" spans="3:4" x14ac:dyDescent="0.2">
      <c r="C640" s="39"/>
      <c r="D640" s="39"/>
    </row>
    <row r="641" spans="3:4" x14ac:dyDescent="0.2">
      <c r="C641" s="39"/>
      <c r="D641" s="39"/>
    </row>
    <row r="642" spans="3:4" x14ac:dyDescent="0.2">
      <c r="C642" s="39"/>
      <c r="D642" s="39"/>
    </row>
    <row r="643" spans="3:4" x14ac:dyDescent="0.2">
      <c r="C643" s="39"/>
      <c r="D643" s="39"/>
    </row>
    <row r="644" spans="3:4" x14ac:dyDescent="0.2">
      <c r="C644" s="39"/>
      <c r="D644" s="39"/>
    </row>
    <row r="645" spans="3:4" x14ac:dyDescent="0.2">
      <c r="C645" s="39"/>
      <c r="D645" s="39"/>
    </row>
    <row r="646" spans="3:4" x14ac:dyDescent="0.2">
      <c r="C646" s="39"/>
      <c r="D646" s="39"/>
    </row>
    <row r="647" spans="3:4" x14ac:dyDescent="0.2">
      <c r="C647" s="39"/>
      <c r="D647" s="39"/>
    </row>
    <row r="648" spans="3:4" x14ac:dyDescent="0.2">
      <c r="C648" s="39"/>
      <c r="D648" s="39"/>
    </row>
    <row r="649" spans="3:4" x14ac:dyDescent="0.2">
      <c r="C649" s="39"/>
      <c r="D649" s="39"/>
    </row>
    <row r="650" spans="3:4" x14ac:dyDescent="0.2">
      <c r="C650" s="39"/>
      <c r="D650" s="39"/>
    </row>
    <row r="651" spans="3:4" x14ac:dyDescent="0.2">
      <c r="C651" s="39"/>
      <c r="D651" s="39"/>
    </row>
    <row r="652" spans="3:4" x14ac:dyDescent="0.2">
      <c r="C652" s="39"/>
      <c r="D652" s="39"/>
    </row>
    <row r="653" spans="3:4" x14ac:dyDescent="0.2">
      <c r="C653" s="39"/>
      <c r="D653" s="39"/>
    </row>
    <row r="654" spans="3:4" x14ac:dyDescent="0.2">
      <c r="C654" s="39"/>
      <c r="D654" s="39"/>
    </row>
    <row r="655" spans="3:4" x14ac:dyDescent="0.2">
      <c r="C655" s="39"/>
      <c r="D655" s="39"/>
    </row>
    <row r="656" spans="3:4" x14ac:dyDescent="0.2">
      <c r="C656" s="39"/>
      <c r="D656" s="39"/>
    </row>
    <row r="657" spans="3:4" x14ac:dyDescent="0.2">
      <c r="C657" s="39"/>
      <c r="D657" s="39"/>
    </row>
    <row r="658" spans="3:4" x14ac:dyDescent="0.2">
      <c r="C658" s="39"/>
      <c r="D658" s="39"/>
    </row>
    <row r="659" spans="3:4" x14ac:dyDescent="0.2">
      <c r="C659" s="39"/>
      <c r="D659" s="39"/>
    </row>
    <row r="660" spans="3:4" x14ac:dyDescent="0.2">
      <c r="C660" s="39"/>
      <c r="D660" s="39"/>
    </row>
    <row r="661" spans="3:4" x14ac:dyDescent="0.2">
      <c r="C661" s="39"/>
      <c r="D661" s="39"/>
    </row>
    <row r="662" spans="3:4" x14ac:dyDescent="0.2">
      <c r="C662" s="39"/>
      <c r="D662" s="39"/>
    </row>
    <row r="663" spans="3:4" x14ac:dyDescent="0.2">
      <c r="C663" s="39"/>
      <c r="D663" s="39"/>
    </row>
    <row r="664" spans="3:4" x14ac:dyDescent="0.2">
      <c r="C664" s="39"/>
      <c r="D664" s="39"/>
    </row>
    <row r="665" spans="3:4" x14ac:dyDescent="0.2">
      <c r="C665" s="39"/>
      <c r="D665" s="39"/>
    </row>
    <row r="666" spans="3:4" x14ac:dyDescent="0.2">
      <c r="C666" s="39"/>
      <c r="D666" s="39"/>
    </row>
    <row r="667" spans="3:4" x14ac:dyDescent="0.2">
      <c r="C667" s="39"/>
      <c r="D667" s="39"/>
    </row>
    <row r="668" spans="3:4" x14ac:dyDescent="0.2">
      <c r="C668" s="39"/>
      <c r="D668" s="39"/>
    </row>
    <row r="669" spans="3:4" x14ac:dyDescent="0.2">
      <c r="C669" s="39"/>
      <c r="D669" s="39"/>
    </row>
    <row r="670" spans="3:4" x14ac:dyDescent="0.2">
      <c r="C670" s="39"/>
      <c r="D670" s="39"/>
    </row>
    <row r="671" spans="3:4" x14ac:dyDescent="0.2">
      <c r="C671" s="39"/>
      <c r="D671" s="39"/>
    </row>
    <row r="672" spans="3:4" x14ac:dyDescent="0.2">
      <c r="C672" s="39"/>
      <c r="D672" s="39"/>
    </row>
    <row r="673" spans="3:4" x14ac:dyDescent="0.2">
      <c r="C673" s="39"/>
      <c r="D673" s="39"/>
    </row>
    <row r="674" spans="3:4" x14ac:dyDescent="0.2">
      <c r="C674" s="39"/>
      <c r="D674" s="39"/>
    </row>
    <row r="675" spans="3:4" x14ac:dyDescent="0.2">
      <c r="C675" s="39"/>
      <c r="D675" s="39"/>
    </row>
    <row r="676" spans="3:4" x14ac:dyDescent="0.2">
      <c r="C676" s="39"/>
      <c r="D676" s="39"/>
    </row>
    <row r="677" spans="3:4" x14ac:dyDescent="0.2">
      <c r="C677" s="39"/>
      <c r="D677" s="39"/>
    </row>
    <row r="678" spans="3:4" x14ac:dyDescent="0.2">
      <c r="C678" s="39"/>
      <c r="D678" s="39"/>
    </row>
    <row r="679" spans="3:4" x14ac:dyDescent="0.2">
      <c r="C679" s="39"/>
      <c r="D679" s="39"/>
    </row>
    <row r="680" spans="3:4" x14ac:dyDescent="0.2">
      <c r="C680" s="39"/>
      <c r="D680" s="39"/>
    </row>
    <row r="681" spans="3:4" x14ac:dyDescent="0.2">
      <c r="C681" s="39"/>
      <c r="D681" s="39"/>
    </row>
    <row r="682" spans="3:4" x14ac:dyDescent="0.2">
      <c r="C682" s="39"/>
      <c r="D682" s="39"/>
    </row>
    <row r="683" spans="3:4" x14ac:dyDescent="0.2">
      <c r="C683" s="39"/>
      <c r="D683" s="39"/>
    </row>
    <row r="684" spans="3:4" x14ac:dyDescent="0.2">
      <c r="C684" s="39"/>
      <c r="D684" s="39"/>
    </row>
    <row r="685" spans="3:4" x14ac:dyDescent="0.2">
      <c r="C685" s="39"/>
      <c r="D685" s="39"/>
    </row>
    <row r="686" spans="3:4" x14ac:dyDescent="0.2">
      <c r="C686" s="39"/>
      <c r="D686" s="39"/>
    </row>
    <row r="687" spans="3:4" x14ac:dyDescent="0.2">
      <c r="C687" s="39"/>
      <c r="D687" s="39"/>
    </row>
    <row r="688" spans="3:4" x14ac:dyDescent="0.2">
      <c r="C688" s="39"/>
      <c r="D688" s="39"/>
    </row>
    <row r="689" spans="3:4" x14ac:dyDescent="0.2">
      <c r="C689" s="39"/>
      <c r="D689" s="39"/>
    </row>
    <row r="690" spans="3:4" x14ac:dyDescent="0.2">
      <c r="C690" s="39"/>
      <c r="D690" s="39"/>
    </row>
    <row r="691" spans="3:4" x14ac:dyDescent="0.2">
      <c r="C691" s="39"/>
      <c r="D691" s="39"/>
    </row>
    <row r="692" spans="3:4" x14ac:dyDescent="0.2">
      <c r="C692" s="39"/>
      <c r="D692" s="39"/>
    </row>
    <row r="693" spans="3:4" x14ac:dyDescent="0.2">
      <c r="C693" s="39"/>
      <c r="D693" s="39"/>
    </row>
    <row r="694" spans="3:4" x14ac:dyDescent="0.2">
      <c r="C694" s="39"/>
      <c r="D694" s="39"/>
    </row>
    <row r="695" spans="3:4" x14ac:dyDescent="0.2">
      <c r="C695" s="39"/>
      <c r="D695" s="39"/>
    </row>
    <row r="696" spans="3:4" x14ac:dyDescent="0.2">
      <c r="C696" s="39"/>
      <c r="D696" s="39"/>
    </row>
    <row r="697" spans="3:4" x14ac:dyDescent="0.2">
      <c r="C697" s="39"/>
      <c r="D697" s="39"/>
    </row>
    <row r="698" spans="3:4" x14ac:dyDescent="0.2">
      <c r="C698" s="39"/>
      <c r="D698" s="39"/>
    </row>
    <row r="699" spans="3:4" x14ac:dyDescent="0.2">
      <c r="C699" s="39"/>
      <c r="D699" s="39"/>
    </row>
    <row r="700" spans="3:4" x14ac:dyDescent="0.2">
      <c r="C700" s="39"/>
      <c r="D700" s="39"/>
    </row>
    <row r="701" spans="3:4" x14ac:dyDescent="0.2">
      <c r="C701" s="39"/>
      <c r="D701" s="39"/>
    </row>
    <row r="702" spans="3:4" x14ac:dyDescent="0.2">
      <c r="C702" s="39"/>
      <c r="D702" s="39"/>
    </row>
    <row r="703" spans="3:4" x14ac:dyDescent="0.2">
      <c r="C703" s="39"/>
      <c r="D703" s="39"/>
    </row>
    <row r="704" spans="3:4" x14ac:dyDescent="0.2">
      <c r="C704" s="39"/>
      <c r="D704" s="39"/>
    </row>
    <row r="705" spans="3:4" x14ac:dyDescent="0.2">
      <c r="C705" s="39"/>
      <c r="D705" s="39"/>
    </row>
    <row r="706" spans="3:4" x14ac:dyDescent="0.2">
      <c r="C706" s="39"/>
      <c r="D706" s="39"/>
    </row>
    <row r="707" spans="3:4" x14ac:dyDescent="0.2">
      <c r="C707" s="39"/>
      <c r="D707" s="39"/>
    </row>
    <row r="708" spans="3:4" x14ac:dyDescent="0.2">
      <c r="C708" s="39"/>
      <c r="D708" s="39"/>
    </row>
    <row r="709" spans="3:4" x14ac:dyDescent="0.2">
      <c r="C709" s="39"/>
      <c r="D709" s="39"/>
    </row>
    <row r="710" spans="3:4" x14ac:dyDescent="0.2">
      <c r="C710" s="39"/>
      <c r="D710" s="39"/>
    </row>
    <row r="711" spans="3:4" x14ac:dyDescent="0.2">
      <c r="C711" s="39"/>
      <c r="D711" s="39"/>
    </row>
    <row r="712" spans="3:4" x14ac:dyDescent="0.2">
      <c r="C712" s="39"/>
      <c r="D712" s="39"/>
    </row>
    <row r="713" spans="3:4" x14ac:dyDescent="0.2">
      <c r="C713" s="39"/>
      <c r="D713" s="39"/>
    </row>
    <row r="714" spans="3:4" x14ac:dyDescent="0.2">
      <c r="C714" s="39"/>
      <c r="D714" s="39"/>
    </row>
    <row r="715" spans="3:4" x14ac:dyDescent="0.2">
      <c r="C715" s="39"/>
      <c r="D715" s="39"/>
    </row>
    <row r="716" spans="3:4" x14ac:dyDescent="0.2">
      <c r="C716" s="39"/>
      <c r="D716" s="39"/>
    </row>
    <row r="717" spans="3:4" x14ac:dyDescent="0.2">
      <c r="C717" s="39"/>
      <c r="D717" s="39"/>
    </row>
    <row r="718" spans="3:4" x14ac:dyDescent="0.2">
      <c r="C718" s="39"/>
      <c r="D718" s="39"/>
    </row>
    <row r="719" spans="3:4" x14ac:dyDescent="0.2">
      <c r="C719" s="39"/>
      <c r="D719" s="39"/>
    </row>
    <row r="720" spans="3:4" x14ac:dyDescent="0.2">
      <c r="C720" s="39"/>
      <c r="D720" s="39"/>
    </row>
    <row r="721" spans="3:4" x14ac:dyDescent="0.2">
      <c r="C721" s="39"/>
      <c r="D721" s="39"/>
    </row>
    <row r="722" spans="3:4" x14ac:dyDescent="0.2">
      <c r="C722" s="39"/>
      <c r="D722" s="39"/>
    </row>
    <row r="723" spans="3:4" x14ac:dyDescent="0.2">
      <c r="C723" s="39"/>
      <c r="D723" s="39"/>
    </row>
    <row r="724" spans="3:4" x14ac:dyDescent="0.2">
      <c r="C724" s="39"/>
      <c r="D724" s="39"/>
    </row>
    <row r="725" spans="3:4" x14ac:dyDescent="0.2">
      <c r="C725" s="39"/>
      <c r="D725" s="39"/>
    </row>
    <row r="726" spans="3:4" x14ac:dyDescent="0.2">
      <c r="C726" s="39"/>
      <c r="D726" s="39"/>
    </row>
    <row r="727" spans="3:4" x14ac:dyDescent="0.2">
      <c r="C727" s="39"/>
      <c r="D727" s="39"/>
    </row>
    <row r="728" spans="3:4" x14ac:dyDescent="0.2">
      <c r="C728" s="39"/>
      <c r="D728" s="39"/>
    </row>
    <row r="729" spans="3:4" x14ac:dyDescent="0.2">
      <c r="C729" s="39"/>
      <c r="D729" s="39"/>
    </row>
    <row r="730" spans="3:4" x14ac:dyDescent="0.2">
      <c r="C730" s="39"/>
      <c r="D730" s="39"/>
    </row>
    <row r="731" spans="3:4" x14ac:dyDescent="0.2">
      <c r="C731" s="39"/>
      <c r="D731" s="39"/>
    </row>
    <row r="732" spans="3:4" x14ac:dyDescent="0.2">
      <c r="C732" s="39"/>
      <c r="D732" s="39"/>
    </row>
    <row r="733" spans="3:4" x14ac:dyDescent="0.2">
      <c r="C733" s="39"/>
      <c r="D733" s="39"/>
    </row>
    <row r="734" spans="3:4" x14ac:dyDescent="0.2">
      <c r="C734" s="39"/>
      <c r="D734" s="39"/>
    </row>
    <row r="735" spans="3:4" x14ac:dyDescent="0.2">
      <c r="C735" s="39"/>
      <c r="D735" s="39"/>
    </row>
    <row r="736" spans="3:4" x14ac:dyDescent="0.2">
      <c r="C736" s="39"/>
      <c r="D736" s="39"/>
    </row>
    <row r="737" spans="3:4" x14ac:dyDescent="0.2">
      <c r="C737" s="39"/>
      <c r="D737" s="39"/>
    </row>
    <row r="738" spans="3:4" x14ac:dyDescent="0.2">
      <c r="C738" s="39"/>
      <c r="D738" s="39"/>
    </row>
    <row r="739" spans="3:4" x14ac:dyDescent="0.2">
      <c r="C739" s="39"/>
      <c r="D739" s="39"/>
    </row>
    <row r="740" spans="3:4" x14ac:dyDescent="0.2">
      <c r="C740" s="39"/>
      <c r="D740" s="39"/>
    </row>
    <row r="741" spans="3:4" x14ac:dyDescent="0.2">
      <c r="C741" s="39"/>
      <c r="D741" s="39"/>
    </row>
    <row r="742" spans="3:4" x14ac:dyDescent="0.2">
      <c r="C742" s="39"/>
      <c r="D742" s="39"/>
    </row>
    <row r="743" spans="3:4" x14ac:dyDescent="0.2">
      <c r="C743" s="39"/>
      <c r="D743" s="39"/>
    </row>
    <row r="744" spans="3:4" x14ac:dyDescent="0.2">
      <c r="C744" s="39"/>
      <c r="D744" s="39"/>
    </row>
    <row r="745" spans="3:4" x14ac:dyDescent="0.2">
      <c r="C745" s="39"/>
      <c r="D745" s="39"/>
    </row>
    <row r="746" spans="3:4" x14ac:dyDescent="0.2">
      <c r="C746" s="39"/>
      <c r="D746" s="39"/>
    </row>
    <row r="747" spans="3:4" x14ac:dyDescent="0.2">
      <c r="C747" s="39"/>
      <c r="D747" s="39"/>
    </row>
    <row r="748" spans="3:4" x14ac:dyDescent="0.2">
      <c r="C748" s="39"/>
      <c r="D748" s="39"/>
    </row>
    <row r="749" spans="3:4" x14ac:dyDescent="0.2">
      <c r="C749" s="39"/>
      <c r="D749" s="39"/>
    </row>
    <row r="750" spans="3:4" x14ac:dyDescent="0.2">
      <c r="C750" s="39"/>
      <c r="D750" s="39"/>
    </row>
    <row r="751" spans="3:4" x14ac:dyDescent="0.2">
      <c r="C751" s="39"/>
      <c r="D751" s="39"/>
    </row>
    <row r="752" spans="3:4" x14ac:dyDescent="0.2">
      <c r="C752" s="39"/>
      <c r="D752" s="39"/>
    </row>
    <row r="753" spans="3:4" x14ac:dyDescent="0.2">
      <c r="C753" s="39"/>
      <c r="D753" s="39"/>
    </row>
    <row r="754" spans="3:4" x14ac:dyDescent="0.2">
      <c r="C754" s="39"/>
      <c r="D754" s="39"/>
    </row>
    <row r="755" spans="3:4" x14ac:dyDescent="0.2">
      <c r="C755" s="39"/>
      <c r="D755" s="39"/>
    </row>
    <row r="756" spans="3:4" x14ac:dyDescent="0.2">
      <c r="C756" s="39"/>
      <c r="D756" s="39"/>
    </row>
    <row r="757" spans="3:4" x14ac:dyDescent="0.2">
      <c r="C757" s="39"/>
      <c r="D757" s="39"/>
    </row>
    <row r="758" spans="3:4" x14ac:dyDescent="0.2">
      <c r="C758" s="39"/>
      <c r="D758" s="39"/>
    </row>
    <row r="759" spans="3:4" x14ac:dyDescent="0.2">
      <c r="C759" s="39"/>
      <c r="D759" s="39"/>
    </row>
    <row r="760" spans="3:4" x14ac:dyDescent="0.2">
      <c r="C760" s="39"/>
      <c r="D760" s="39"/>
    </row>
    <row r="761" spans="3:4" x14ac:dyDescent="0.2">
      <c r="C761" s="39"/>
      <c r="D761" s="39"/>
    </row>
    <row r="762" spans="3:4" x14ac:dyDescent="0.2">
      <c r="C762" s="39"/>
      <c r="D762" s="39"/>
    </row>
    <row r="763" spans="3:4" x14ac:dyDescent="0.2">
      <c r="C763" s="39"/>
      <c r="D763" s="39"/>
    </row>
    <row r="764" spans="3:4" x14ac:dyDescent="0.2">
      <c r="C764" s="39"/>
      <c r="D764" s="39"/>
    </row>
    <row r="765" spans="3:4" x14ac:dyDescent="0.2">
      <c r="C765" s="39"/>
      <c r="D765" s="39"/>
    </row>
    <row r="766" spans="3:4" x14ac:dyDescent="0.2">
      <c r="C766" s="39"/>
      <c r="D766" s="39"/>
    </row>
    <row r="767" spans="3:4" x14ac:dyDescent="0.2">
      <c r="C767" s="39"/>
      <c r="D767" s="39"/>
    </row>
    <row r="768" spans="3:4" x14ac:dyDescent="0.2">
      <c r="C768" s="39"/>
      <c r="D768" s="39"/>
    </row>
    <row r="769" spans="3:4" x14ac:dyDescent="0.2">
      <c r="C769" s="39"/>
      <c r="D769" s="39"/>
    </row>
    <row r="770" spans="3:4" x14ac:dyDescent="0.2">
      <c r="C770" s="39"/>
      <c r="D770" s="39"/>
    </row>
    <row r="771" spans="3:4" x14ac:dyDescent="0.2">
      <c r="C771" s="39"/>
      <c r="D771" s="39"/>
    </row>
    <row r="772" spans="3:4" x14ac:dyDescent="0.2">
      <c r="C772" s="39"/>
      <c r="D772" s="39"/>
    </row>
    <row r="773" spans="3:4" x14ac:dyDescent="0.2">
      <c r="C773" s="39"/>
      <c r="D773" s="39"/>
    </row>
    <row r="774" spans="3:4" x14ac:dyDescent="0.2">
      <c r="C774" s="39"/>
      <c r="D774" s="39"/>
    </row>
    <row r="775" spans="3:4" x14ac:dyDescent="0.2">
      <c r="C775" s="39"/>
      <c r="D775" s="39"/>
    </row>
    <row r="776" spans="3:4" x14ac:dyDescent="0.2">
      <c r="C776" s="39"/>
      <c r="D776" s="39"/>
    </row>
    <row r="777" spans="3:4" x14ac:dyDescent="0.2">
      <c r="C777" s="39"/>
      <c r="D777" s="39"/>
    </row>
    <row r="778" spans="3:4" x14ac:dyDescent="0.2">
      <c r="C778" s="39"/>
      <c r="D778" s="39"/>
    </row>
    <row r="779" spans="3:4" x14ac:dyDescent="0.2">
      <c r="C779" s="39"/>
      <c r="D779" s="39"/>
    </row>
    <row r="780" spans="3:4" x14ac:dyDescent="0.2">
      <c r="C780" s="39"/>
      <c r="D780" s="39"/>
    </row>
    <row r="781" spans="3:4" x14ac:dyDescent="0.2">
      <c r="C781" s="39"/>
      <c r="D781" s="39"/>
    </row>
    <row r="782" spans="3:4" x14ac:dyDescent="0.2">
      <c r="C782" s="39"/>
      <c r="D782" s="39"/>
    </row>
    <row r="783" spans="3:4" x14ac:dyDescent="0.2">
      <c r="C783" s="39"/>
      <c r="D783" s="39"/>
    </row>
    <row r="784" spans="3:4" x14ac:dyDescent="0.2">
      <c r="C784" s="39"/>
      <c r="D784" s="39"/>
    </row>
    <row r="785" spans="3:4" x14ac:dyDescent="0.2">
      <c r="C785" s="39"/>
      <c r="D785" s="39"/>
    </row>
    <row r="786" spans="3:4" x14ac:dyDescent="0.2">
      <c r="C786" s="39"/>
      <c r="D786" s="39"/>
    </row>
    <row r="787" spans="3:4" x14ac:dyDescent="0.2">
      <c r="C787" s="39"/>
      <c r="D787" s="39"/>
    </row>
    <row r="788" spans="3:4" x14ac:dyDescent="0.2">
      <c r="C788" s="39"/>
      <c r="D788" s="39"/>
    </row>
    <row r="789" spans="3:4" x14ac:dyDescent="0.2">
      <c r="C789" s="39"/>
      <c r="D789" s="39"/>
    </row>
    <row r="790" spans="3:4" x14ac:dyDescent="0.2">
      <c r="C790" s="39"/>
      <c r="D790" s="39"/>
    </row>
    <row r="791" spans="3:4" x14ac:dyDescent="0.2">
      <c r="C791" s="39"/>
      <c r="D791" s="39"/>
    </row>
    <row r="792" spans="3:4" x14ac:dyDescent="0.2">
      <c r="C792" s="39"/>
      <c r="D792" s="39"/>
    </row>
    <row r="793" spans="3:4" x14ac:dyDescent="0.2">
      <c r="C793" s="39"/>
      <c r="D793" s="39"/>
    </row>
    <row r="794" spans="3:4" x14ac:dyDescent="0.2">
      <c r="C794" s="39"/>
      <c r="D794" s="39"/>
    </row>
    <row r="795" spans="3:4" x14ac:dyDescent="0.2">
      <c r="C795" s="39"/>
      <c r="D795" s="39"/>
    </row>
    <row r="796" spans="3:4" x14ac:dyDescent="0.2">
      <c r="C796" s="39"/>
      <c r="D796" s="39"/>
    </row>
    <row r="797" spans="3:4" x14ac:dyDescent="0.2">
      <c r="C797" s="39"/>
      <c r="D797" s="39"/>
    </row>
    <row r="798" spans="3:4" x14ac:dyDescent="0.2">
      <c r="C798" s="39"/>
      <c r="D798" s="39"/>
    </row>
    <row r="799" spans="3:4" x14ac:dyDescent="0.2">
      <c r="C799" s="39"/>
      <c r="D799" s="39"/>
    </row>
    <row r="800" spans="3:4" x14ac:dyDescent="0.2">
      <c r="C800" s="39"/>
      <c r="D800" s="39"/>
    </row>
    <row r="801" spans="3:4" x14ac:dyDescent="0.2">
      <c r="C801" s="39"/>
      <c r="D801" s="39"/>
    </row>
    <row r="802" spans="3:4" x14ac:dyDescent="0.2">
      <c r="C802" s="39"/>
      <c r="D802" s="39"/>
    </row>
    <row r="803" spans="3:4" x14ac:dyDescent="0.2">
      <c r="C803" s="39"/>
      <c r="D803" s="39"/>
    </row>
    <row r="804" spans="3:4" x14ac:dyDescent="0.2">
      <c r="C804" s="39"/>
      <c r="D804" s="39"/>
    </row>
    <row r="805" spans="3:4" x14ac:dyDescent="0.2">
      <c r="C805" s="39"/>
      <c r="D805" s="39"/>
    </row>
    <row r="806" spans="3:4" x14ac:dyDescent="0.2">
      <c r="C806" s="39"/>
      <c r="D806" s="39"/>
    </row>
    <row r="807" spans="3:4" x14ac:dyDescent="0.2">
      <c r="C807" s="39"/>
      <c r="D807" s="39"/>
    </row>
    <row r="808" spans="3:4" x14ac:dyDescent="0.2">
      <c r="C808" s="39"/>
      <c r="D808" s="39"/>
    </row>
    <row r="809" spans="3:4" x14ac:dyDescent="0.2">
      <c r="C809" s="39"/>
      <c r="D809" s="39"/>
    </row>
    <row r="810" spans="3:4" x14ac:dyDescent="0.2">
      <c r="C810" s="39"/>
      <c r="D810" s="39"/>
    </row>
    <row r="811" spans="3:4" x14ac:dyDescent="0.2">
      <c r="C811" s="39"/>
      <c r="D811" s="39"/>
    </row>
    <row r="812" spans="3:4" x14ac:dyDescent="0.2">
      <c r="C812" s="39"/>
      <c r="D812" s="39"/>
    </row>
    <row r="813" spans="3:4" x14ac:dyDescent="0.2">
      <c r="C813" s="39"/>
      <c r="D813" s="39"/>
    </row>
    <row r="814" spans="3:4" x14ac:dyDescent="0.2">
      <c r="C814" s="39"/>
      <c r="D814" s="39"/>
    </row>
    <row r="815" spans="3:4" x14ac:dyDescent="0.2">
      <c r="C815" s="39"/>
      <c r="D815" s="39"/>
    </row>
    <row r="816" spans="3:4" x14ac:dyDescent="0.2">
      <c r="C816" s="39"/>
      <c r="D816" s="39"/>
    </row>
    <row r="817" spans="3:4" x14ac:dyDescent="0.2">
      <c r="C817" s="39"/>
      <c r="D817" s="39"/>
    </row>
    <row r="818" spans="3:4" x14ac:dyDescent="0.2">
      <c r="C818" s="39"/>
      <c r="D818" s="39"/>
    </row>
    <row r="819" spans="3:4" x14ac:dyDescent="0.2">
      <c r="C819" s="39"/>
      <c r="D819" s="39"/>
    </row>
    <row r="820" spans="3:4" x14ac:dyDescent="0.2">
      <c r="C820" s="39"/>
      <c r="D820" s="39"/>
    </row>
    <row r="821" spans="3:4" x14ac:dyDescent="0.2">
      <c r="C821" s="39"/>
      <c r="D821" s="39"/>
    </row>
    <row r="822" spans="3:4" x14ac:dyDescent="0.2">
      <c r="C822" s="39"/>
      <c r="D822" s="39"/>
    </row>
    <row r="823" spans="3:4" x14ac:dyDescent="0.2">
      <c r="C823" s="39"/>
      <c r="D823" s="39"/>
    </row>
    <row r="824" spans="3:4" x14ac:dyDescent="0.2">
      <c r="C824" s="39"/>
      <c r="D824" s="39"/>
    </row>
    <row r="825" spans="3:4" x14ac:dyDescent="0.2">
      <c r="C825" s="39"/>
      <c r="D825" s="39"/>
    </row>
    <row r="826" spans="3:4" x14ac:dyDescent="0.2">
      <c r="C826" s="39"/>
      <c r="D826" s="39"/>
    </row>
    <row r="827" spans="3:4" x14ac:dyDescent="0.2">
      <c r="C827" s="39"/>
      <c r="D827" s="39"/>
    </row>
    <row r="828" spans="3:4" x14ac:dyDescent="0.2">
      <c r="C828" s="39"/>
      <c r="D828" s="39"/>
    </row>
    <row r="829" spans="3:4" x14ac:dyDescent="0.2">
      <c r="C829" s="39"/>
      <c r="D829" s="39"/>
    </row>
    <row r="830" spans="3:4" x14ac:dyDescent="0.2">
      <c r="C830" s="39"/>
      <c r="D830" s="39"/>
    </row>
    <row r="831" spans="3:4" x14ac:dyDescent="0.2">
      <c r="C831" s="39"/>
      <c r="D831" s="39"/>
    </row>
    <row r="832" spans="3:4" x14ac:dyDescent="0.2">
      <c r="C832" s="39"/>
      <c r="D832" s="39"/>
    </row>
    <row r="833" spans="3:4" x14ac:dyDescent="0.2">
      <c r="C833" s="39"/>
      <c r="D833" s="39"/>
    </row>
    <row r="834" spans="3:4" x14ac:dyDescent="0.2">
      <c r="C834" s="39"/>
      <c r="D834" s="39"/>
    </row>
    <row r="835" spans="3:4" x14ac:dyDescent="0.2">
      <c r="C835" s="39"/>
      <c r="D835" s="39"/>
    </row>
    <row r="836" spans="3:4" x14ac:dyDescent="0.2">
      <c r="C836" s="39"/>
      <c r="D836" s="39"/>
    </row>
    <row r="837" spans="3:4" x14ac:dyDescent="0.2">
      <c r="C837" s="39"/>
      <c r="D837" s="39"/>
    </row>
    <row r="838" spans="3:4" x14ac:dyDescent="0.2">
      <c r="C838" s="39"/>
      <c r="D838" s="39"/>
    </row>
    <row r="839" spans="3:4" x14ac:dyDescent="0.2">
      <c r="C839" s="39"/>
      <c r="D839" s="39"/>
    </row>
    <row r="840" spans="3:4" x14ac:dyDescent="0.2">
      <c r="C840" s="39"/>
      <c r="D840" s="39"/>
    </row>
    <row r="841" spans="3:4" x14ac:dyDescent="0.2">
      <c r="C841" s="39"/>
      <c r="D841" s="39"/>
    </row>
    <row r="842" spans="3:4" x14ac:dyDescent="0.2">
      <c r="C842" s="39"/>
      <c r="D842" s="39"/>
    </row>
    <row r="843" spans="3:4" x14ac:dyDescent="0.2">
      <c r="C843" s="39"/>
      <c r="D843" s="39"/>
    </row>
    <row r="844" spans="3:4" x14ac:dyDescent="0.2">
      <c r="C844" s="39"/>
      <c r="D844" s="39"/>
    </row>
    <row r="845" spans="3:4" x14ac:dyDescent="0.2">
      <c r="C845" s="39"/>
      <c r="D845" s="39"/>
    </row>
    <row r="846" spans="3:4" x14ac:dyDescent="0.2">
      <c r="C846" s="39"/>
      <c r="D846" s="39"/>
    </row>
    <row r="847" spans="3:4" x14ac:dyDescent="0.2">
      <c r="C847" s="39"/>
      <c r="D847" s="39"/>
    </row>
    <row r="848" spans="3:4" x14ac:dyDescent="0.2">
      <c r="C848" s="39"/>
      <c r="D848" s="39"/>
    </row>
    <row r="849" spans="3:4" x14ac:dyDescent="0.2">
      <c r="C849" s="39"/>
      <c r="D849" s="39"/>
    </row>
    <row r="850" spans="3:4" x14ac:dyDescent="0.2">
      <c r="C850" s="39"/>
      <c r="D850" s="39"/>
    </row>
    <row r="851" spans="3:4" x14ac:dyDescent="0.2">
      <c r="C851" s="39"/>
      <c r="D851" s="39"/>
    </row>
    <row r="852" spans="3:4" x14ac:dyDescent="0.2">
      <c r="C852" s="39"/>
      <c r="D852" s="39"/>
    </row>
    <row r="853" spans="3:4" x14ac:dyDescent="0.2">
      <c r="C853" s="39"/>
      <c r="D853" s="39"/>
    </row>
    <row r="854" spans="3:4" x14ac:dyDescent="0.2">
      <c r="C854" s="39"/>
      <c r="D854" s="39"/>
    </row>
    <row r="855" spans="3:4" x14ac:dyDescent="0.2">
      <c r="C855" s="39"/>
      <c r="D855" s="39"/>
    </row>
    <row r="856" spans="3:4" x14ac:dyDescent="0.2">
      <c r="C856" s="39"/>
      <c r="D856" s="39"/>
    </row>
    <row r="857" spans="3:4" x14ac:dyDescent="0.2">
      <c r="C857" s="39"/>
      <c r="D857" s="39"/>
    </row>
    <row r="858" spans="3:4" x14ac:dyDescent="0.2">
      <c r="C858" s="39"/>
      <c r="D858" s="39"/>
    </row>
    <row r="859" spans="3:4" x14ac:dyDescent="0.2">
      <c r="C859" s="39"/>
      <c r="D859" s="39"/>
    </row>
    <row r="860" spans="3:4" x14ac:dyDescent="0.2">
      <c r="C860" s="39"/>
      <c r="D860" s="39"/>
    </row>
    <row r="861" spans="3:4" x14ac:dyDescent="0.2">
      <c r="C861" s="39"/>
      <c r="D861" s="39"/>
    </row>
    <row r="862" spans="3:4" x14ac:dyDescent="0.2">
      <c r="C862" s="39"/>
      <c r="D862" s="39"/>
    </row>
    <row r="863" spans="3:4" x14ac:dyDescent="0.2">
      <c r="C863" s="39"/>
      <c r="D863" s="39"/>
    </row>
    <row r="864" spans="3:4" x14ac:dyDescent="0.2">
      <c r="C864" s="39"/>
      <c r="D864" s="39"/>
    </row>
    <row r="865" spans="3:4" x14ac:dyDescent="0.2">
      <c r="C865" s="39"/>
      <c r="D865" s="39"/>
    </row>
    <row r="866" spans="3:4" x14ac:dyDescent="0.2">
      <c r="C866" s="39"/>
      <c r="D866" s="39"/>
    </row>
    <row r="867" spans="3:4" x14ac:dyDescent="0.2">
      <c r="C867" s="39"/>
      <c r="D867" s="39"/>
    </row>
    <row r="868" spans="3:4" x14ac:dyDescent="0.2">
      <c r="C868" s="39"/>
      <c r="D868" s="39"/>
    </row>
    <row r="869" spans="3:4" x14ac:dyDescent="0.2">
      <c r="C869" s="39"/>
      <c r="D869" s="39"/>
    </row>
    <row r="870" spans="3:4" x14ac:dyDescent="0.2">
      <c r="C870" s="39"/>
      <c r="D870" s="39"/>
    </row>
    <row r="871" spans="3:4" x14ac:dyDescent="0.2">
      <c r="C871" s="39"/>
      <c r="D871" s="39"/>
    </row>
    <row r="872" spans="3:4" x14ac:dyDescent="0.2">
      <c r="C872" s="39"/>
      <c r="D872" s="39"/>
    </row>
    <row r="873" spans="3:4" x14ac:dyDescent="0.2">
      <c r="C873" s="39"/>
      <c r="D873" s="39"/>
    </row>
    <row r="874" spans="3:4" x14ac:dyDescent="0.2">
      <c r="C874" s="39"/>
      <c r="D874" s="39"/>
    </row>
    <row r="875" spans="3:4" x14ac:dyDescent="0.2">
      <c r="C875" s="39"/>
      <c r="D875" s="39"/>
    </row>
    <row r="876" spans="3:4" x14ac:dyDescent="0.2">
      <c r="C876" s="39"/>
      <c r="D876" s="39"/>
    </row>
    <row r="877" spans="3:4" x14ac:dyDescent="0.2">
      <c r="C877" s="39"/>
      <c r="D877" s="39"/>
    </row>
    <row r="878" spans="3:4" x14ac:dyDescent="0.2">
      <c r="C878" s="39"/>
      <c r="D878" s="39"/>
    </row>
    <row r="879" spans="3:4" x14ac:dyDescent="0.2">
      <c r="C879" s="39"/>
      <c r="D879" s="39"/>
    </row>
    <row r="880" spans="3:4" x14ac:dyDescent="0.2">
      <c r="C880" s="39"/>
      <c r="D880" s="39"/>
    </row>
    <row r="881" spans="3:4" x14ac:dyDescent="0.2">
      <c r="C881" s="39"/>
      <c r="D881" s="39"/>
    </row>
    <row r="882" spans="3:4" x14ac:dyDescent="0.2">
      <c r="C882" s="39"/>
      <c r="D882" s="39"/>
    </row>
    <row r="883" spans="3:4" x14ac:dyDescent="0.2">
      <c r="C883" s="39"/>
      <c r="D883" s="39"/>
    </row>
    <row r="884" spans="3:4" x14ac:dyDescent="0.2">
      <c r="C884" s="39"/>
      <c r="D884" s="39"/>
    </row>
    <row r="885" spans="3:4" x14ac:dyDescent="0.2">
      <c r="C885" s="39"/>
      <c r="D885" s="39"/>
    </row>
    <row r="886" spans="3:4" x14ac:dyDescent="0.2">
      <c r="C886" s="39"/>
      <c r="D886" s="39"/>
    </row>
    <row r="887" spans="3:4" x14ac:dyDescent="0.2">
      <c r="C887" s="39"/>
      <c r="D887" s="39"/>
    </row>
    <row r="888" spans="3:4" x14ac:dyDescent="0.2">
      <c r="C888" s="39"/>
      <c r="D888" s="39"/>
    </row>
    <row r="889" spans="3:4" x14ac:dyDescent="0.2">
      <c r="C889" s="39"/>
      <c r="D889" s="39"/>
    </row>
    <row r="890" spans="3:4" x14ac:dyDescent="0.2">
      <c r="C890" s="39"/>
      <c r="D890" s="39"/>
    </row>
    <row r="891" spans="3:4" x14ac:dyDescent="0.2">
      <c r="C891" s="39"/>
      <c r="D891" s="39"/>
    </row>
    <row r="892" spans="3:4" x14ac:dyDescent="0.2">
      <c r="C892" s="39"/>
      <c r="D892" s="39"/>
    </row>
    <row r="893" spans="3:4" x14ac:dyDescent="0.2">
      <c r="C893" s="39"/>
      <c r="D893" s="39"/>
    </row>
    <row r="894" spans="3:4" x14ac:dyDescent="0.2">
      <c r="C894" s="39"/>
      <c r="D894" s="39"/>
    </row>
    <row r="895" spans="3:4" x14ac:dyDescent="0.2">
      <c r="C895" s="39"/>
      <c r="D895" s="39"/>
    </row>
    <row r="896" spans="3:4" x14ac:dyDescent="0.2">
      <c r="C896" s="39"/>
      <c r="D896" s="39"/>
    </row>
    <row r="897" spans="3:4" x14ac:dyDescent="0.2">
      <c r="C897" s="39"/>
      <c r="D897" s="39"/>
    </row>
    <row r="898" spans="3:4" x14ac:dyDescent="0.2">
      <c r="C898" s="39"/>
      <c r="D898" s="39"/>
    </row>
    <row r="899" spans="3:4" x14ac:dyDescent="0.2">
      <c r="C899" s="39"/>
      <c r="D899" s="39"/>
    </row>
    <row r="900" spans="3:4" x14ac:dyDescent="0.2">
      <c r="C900" s="39"/>
      <c r="D900" s="39"/>
    </row>
    <row r="901" spans="3:4" x14ac:dyDescent="0.2">
      <c r="C901" s="39"/>
      <c r="D901" s="39"/>
    </row>
    <row r="902" spans="3:4" x14ac:dyDescent="0.2">
      <c r="C902" s="39"/>
      <c r="D902" s="39"/>
    </row>
    <row r="903" spans="3:4" x14ac:dyDescent="0.2">
      <c r="C903" s="39"/>
      <c r="D903" s="39"/>
    </row>
    <row r="904" spans="3:4" x14ac:dyDescent="0.2">
      <c r="C904" s="39"/>
      <c r="D904" s="39"/>
    </row>
    <row r="905" spans="3:4" x14ac:dyDescent="0.2">
      <c r="C905" s="39"/>
      <c r="D905" s="39"/>
    </row>
    <row r="906" spans="3:4" x14ac:dyDescent="0.2">
      <c r="C906" s="39"/>
      <c r="D906" s="39"/>
    </row>
    <row r="907" spans="3:4" x14ac:dyDescent="0.2">
      <c r="C907" s="39"/>
      <c r="D907" s="39"/>
    </row>
    <row r="908" spans="3:4" x14ac:dyDescent="0.2">
      <c r="C908" s="39"/>
      <c r="D908" s="39"/>
    </row>
    <row r="909" spans="3:4" x14ac:dyDescent="0.2">
      <c r="C909" s="39"/>
      <c r="D909" s="39"/>
    </row>
    <row r="910" spans="3:4" x14ac:dyDescent="0.2">
      <c r="C910" s="39"/>
      <c r="D910" s="39"/>
    </row>
    <row r="911" spans="3:4" x14ac:dyDescent="0.2">
      <c r="C911" s="39"/>
      <c r="D911" s="39"/>
    </row>
    <row r="912" spans="3:4" x14ac:dyDescent="0.2">
      <c r="C912" s="39"/>
      <c r="D912" s="39"/>
    </row>
    <row r="913" spans="3:4" x14ac:dyDescent="0.2">
      <c r="C913" s="39"/>
      <c r="D913" s="39"/>
    </row>
    <row r="914" spans="3:4" x14ac:dyDescent="0.2">
      <c r="C914" s="39"/>
      <c r="D914" s="39"/>
    </row>
    <row r="915" spans="3:4" x14ac:dyDescent="0.2">
      <c r="C915" s="39"/>
      <c r="D915" s="39"/>
    </row>
    <row r="916" spans="3:4" x14ac:dyDescent="0.2">
      <c r="C916" s="39"/>
      <c r="D916" s="39"/>
    </row>
    <row r="917" spans="3:4" x14ac:dyDescent="0.2">
      <c r="C917" s="39"/>
      <c r="D917" s="39"/>
    </row>
    <row r="918" spans="3:4" x14ac:dyDescent="0.2">
      <c r="C918" s="39"/>
      <c r="D918" s="39"/>
    </row>
    <row r="919" spans="3:4" x14ac:dyDescent="0.2">
      <c r="C919" s="39"/>
      <c r="D919" s="39"/>
    </row>
    <row r="920" spans="3:4" x14ac:dyDescent="0.2">
      <c r="C920" s="39"/>
      <c r="D920" s="39"/>
    </row>
    <row r="921" spans="3:4" x14ac:dyDescent="0.2">
      <c r="C921" s="39"/>
      <c r="D921" s="39"/>
    </row>
    <row r="922" spans="3:4" x14ac:dyDescent="0.2">
      <c r="C922" s="39"/>
      <c r="D922" s="39"/>
    </row>
    <row r="923" spans="3:4" x14ac:dyDescent="0.2">
      <c r="C923" s="39"/>
      <c r="D923" s="39"/>
    </row>
    <row r="924" spans="3:4" x14ac:dyDescent="0.2">
      <c r="C924" s="39"/>
      <c r="D924" s="39"/>
    </row>
    <row r="925" spans="3:4" x14ac:dyDescent="0.2">
      <c r="C925" s="39"/>
      <c r="D925" s="39"/>
    </row>
    <row r="926" spans="3:4" x14ac:dyDescent="0.2">
      <c r="C926" s="39"/>
      <c r="D926" s="39"/>
    </row>
    <row r="927" spans="3:4" x14ac:dyDescent="0.2">
      <c r="C927" s="39"/>
      <c r="D927" s="39"/>
    </row>
    <row r="928" spans="3:4" x14ac:dyDescent="0.2">
      <c r="C928" s="39"/>
      <c r="D928" s="39"/>
    </row>
    <row r="929" spans="3:4" x14ac:dyDescent="0.2">
      <c r="C929" s="39"/>
      <c r="D929" s="39"/>
    </row>
    <row r="930" spans="3:4" x14ac:dyDescent="0.2">
      <c r="C930" s="39"/>
      <c r="D930" s="39"/>
    </row>
    <row r="931" spans="3:4" x14ac:dyDescent="0.2">
      <c r="C931" s="39"/>
      <c r="D931" s="39"/>
    </row>
    <row r="932" spans="3:4" x14ac:dyDescent="0.2">
      <c r="C932" s="39"/>
      <c r="D932" s="39"/>
    </row>
    <row r="933" spans="3:4" x14ac:dyDescent="0.2">
      <c r="C933" s="39"/>
      <c r="D933" s="39"/>
    </row>
    <row r="934" spans="3:4" x14ac:dyDescent="0.2">
      <c r="C934" s="39"/>
      <c r="D934" s="39"/>
    </row>
    <row r="935" spans="3:4" x14ac:dyDescent="0.2">
      <c r="C935" s="39"/>
      <c r="D935" s="39"/>
    </row>
    <row r="936" spans="3:4" x14ac:dyDescent="0.2">
      <c r="C936" s="39"/>
      <c r="D936" s="39"/>
    </row>
    <row r="937" spans="3:4" x14ac:dyDescent="0.2">
      <c r="C937" s="39"/>
      <c r="D937" s="39"/>
    </row>
    <row r="938" spans="3:4" x14ac:dyDescent="0.2">
      <c r="C938" s="39"/>
      <c r="D938" s="39"/>
    </row>
    <row r="939" spans="3:4" x14ac:dyDescent="0.2">
      <c r="C939" s="39"/>
      <c r="D939" s="39"/>
    </row>
    <row r="940" spans="3:4" x14ac:dyDescent="0.2">
      <c r="C940" s="39"/>
      <c r="D940" s="39"/>
    </row>
    <row r="941" spans="3:4" x14ac:dyDescent="0.2">
      <c r="C941" s="39"/>
      <c r="D941" s="39"/>
    </row>
    <row r="942" spans="3:4" x14ac:dyDescent="0.2">
      <c r="C942" s="39"/>
      <c r="D942" s="39"/>
    </row>
    <row r="943" spans="3:4" x14ac:dyDescent="0.2">
      <c r="C943" s="39"/>
      <c r="D943" s="39"/>
    </row>
    <row r="944" spans="3:4" x14ac:dyDescent="0.2">
      <c r="C944" s="39"/>
      <c r="D944" s="39"/>
    </row>
    <row r="945" spans="3:4" x14ac:dyDescent="0.2">
      <c r="C945" s="39"/>
      <c r="D945" s="39"/>
    </row>
    <row r="946" spans="3:4" x14ac:dyDescent="0.2">
      <c r="C946" s="39"/>
      <c r="D946" s="39"/>
    </row>
    <row r="947" spans="3:4" x14ac:dyDescent="0.2">
      <c r="C947" s="39"/>
      <c r="D947" s="39"/>
    </row>
    <row r="948" spans="3:4" x14ac:dyDescent="0.2">
      <c r="C948" s="39"/>
      <c r="D948" s="39"/>
    </row>
    <row r="949" spans="3:4" x14ac:dyDescent="0.2">
      <c r="C949" s="39"/>
      <c r="D949" s="39"/>
    </row>
    <row r="950" spans="3:4" x14ac:dyDescent="0.2">
      <c r="C950" s="39"/>
      <c r="D950" s="39"/>
    </row>
    <row r="951" spans="3:4" x14ac:dyDescent="0.2">
      <c r="C951" s="39"/>
      <c r="D951" s="39"/>
    </row>
    <row r="952" spans="3:4" x14ac:dyDescent="0.2">
      <c r="C952" s="39"/>
      <c r="D952" s="39"/>
    </row>
    <row r="953" spans="3:4" x14ac:dyDescent="0.2">
      <c r="C953" s="39"/>
      <c r="D953" s="39"/>
    </row>
    <row r="954" spans="3:4" x14ac:dyDescent="0.2">
      <c r="C954" s="39"/>
      <c r="D954" s="39"/>
    </row>
    <row r="955" spans="3:4" x14ac:dyDescent="0.2">
      <c r="C955" s="39"/>
      <c r="D955" s="39"/>
    </row>
    <row r="956" spans="3:4" x14ac:dyDescent="0.2">
      <c r="C956" s="39"/>
      <c r="D956" s="39"/>
    </row>
    <row r="957" spans="3:4" x14ac:dyDescent="0.2">
      <c r="C957" s="39"/>
      <c r="D957" s="39"/>
    </row>
    <row r="958" spans="3:4" x14ac:dyDescent="0.2">
      <c r="C958" s="39"/>
      <c r="D958" s="39"/>
    </row>
    <row r="959" spans="3:4" x14ac:dyDescent="0.2">
      <c r="C959" s="39"/>
      <c r="D959" s="39"/>
    </row>
    <row r="960" spans="3:4" x14ac:dyDescent="0.2">
      <c r="C960" s="39"/>
      <c r="D960" s="39"/>
    </row>
    <row r="961" spans="3:4" x14ac:dyDescent="0.2">
      <c r="C961" s="39"/>
      <c r="D961" s="39"/>
    </row>
    <row r="962" spans="3:4" x14ac:dyDescent="0.2">
      <c r="C962" s="39"/>
      <c r="D962" s="39"/>
    </row>
    <row r="963" spans="3:4" x14ac:dyDescent="0.2">
      <c r="C963" s="39"/>
      <c r="D963" s="39"/>
    </row>
    <row r="964" spans="3:4" x14ac:dyDescent="0.2">
      <c r="C964" s="39"/>
      <c r="D964" s="39"/>
    </row>
    <row r="965" spans="3:4" x14ac:dyDescent="0.2">
      <c r="C965" s="39"/>
      <c r="D965" s="39"/>
    </row>
    <row r="966" spans="3:4" x14ac:dyDescent="0.2">
      <c r="C966" s="39"/>
      <c r="D966" s="39"/>
    </row>
    <row r="967" spans="3:4" x14ac:dyDescent="0.2">
      <c r="C967" s="39"/>
      <c r="D967" s="39"/>
    </row>
    <row r="968" spans="3:4" x14ac:dyDescent="0.2">
      <c r="C968" s="39"/>
      <c r="D968" s="39"/>
    </row>
    <row r="969" spans="3:4" x14ac:dyDescent="0.2">
      <c r="C969" s="39"/>
      <c r="D969" s="39"/>
    </row>
    <row r="970" spans="3:4" x14ac:dyDescent="0.2">
      <c r="C970" s="39"/>
      <c r="D970" s="39"/>
    </row>
    <row r="971" spans="3:4" x14ac:dyDescent="0.2">
      <c r="C971" s="39"/>
      <c r="D971" s="39"/>
    </row>
    <row r="972" spans="3:4" x14ac:dyDescent="0.2">
      <c r="C972" s="39"/>
      <c r="D972" s="39"/>
    </row>
    <row r="973" spans="3:4" x14ac:dyDescent="0.2">
      <c r="C973" s="39"/>
      <c r="D973" s="39"/>
    </row>
    <row r="974" spans="3:4" x14ac:dyDescent="0.2">
      <c r="C974" s="39"/>
      <c r="D974" s="39"/>
    </row>
    <row r="975" spans="3:4" x14ac:dyDescent="0.2">
      <c r="C975" s="39"/>
      <c r="D975" s="39"/>
    </row>
    <row r="976" spans="3:4" x14ac:dyDescent="0.2">
      <c r="C976" s="39"/>
      <c r="D976" s="39"/>
    </row>
    <row r="977" spans="3:4" x14ac:dyDescent="0.2">
      <c r="C977" s="39"/>
      <c r="D977" s="39"/>
    </row>
    <row r="978" spans="3:4" x14ac:dyDescent="0.2">
      <c r="C978" s="39"/>
      <c r="D978" s="39"/>
    </row>
    <row r="979" spans="3:4" x14ac:dyDescent="0.2">
      <c r="C979" s="39"/>
      <c r="D979" s="39"/>
    </row>
    <row r="980" spans="3:4" x14ac:dyDescent="0.2">
      <c r="C980" s="39"/>
      <c r="D980" s="39"/>
    </row>
    <row r="981" spans="3:4" x14ac:dyDescent="0.2">
      <c r="C981" s="39"/>
      <c r="D981" s="39"/>
    </row>
    <row r="982" spans="3:4" x14ac:dyDescent="0.2">
      <c r="C982" s="39"/>
      <c r="D982" s="39"/>
    </row>
    <row r="983" spans="3:4" x14ac:dyDescent="0.2">
      <c r="C983" s="39"/>
      <c r="D983" s="39"/>
    </row>
    <row r="984" spans="3:4" x14ac:dyDescent="0.2">
      <c r="C984" s="39"/>
      <c r="D984" s="39"/>
    </row>
    <row r="985" spans="3:4" x14ac:dyDescent="0.2">
      <c r="C985" s="39"/>
      <c r="D985" s="39"/>
    </row>
    <row r="986" spans="3:4" x14ac:dyDescent="0.2">
      <c r="C986" s="39"/>
      <c r="D986" s="39"/>
    </row>
    <row r="987" spans="3:4" x14ac:dyDescent="0.2">
      <c r="C987" s="39"/>
      <c r="D987" s="39"/>
    </row>
    <row r="988" spans="3:4" x14ac:dyDescent="0.2">
      <c r="C988" s="39"/>
      <c r="D988" s="39"/>
    </row>
    <row r="989" spans="3:4" x14ac:dyDescent="0.2">
      <c r="C989" s="39"/>
      <c r="D989" s="39"/>
    </row>
    <row r="990" spans="3:4" x14ac:dyDescent="0.2">
      <c r="C990" s="39"/>
      <c r="D990" s="39"/>
    </row>
    <row r="991" spans="3:4" x14ac:dyDescent="0.2">
      <c r="C991" s="39"/>
      <c r="D991" s="39"/>
    </row>
    <row r="992" spans="3:4" x14ac:dyDescent="0.2">
      <c r="C992" s="39"/>
      <c r="D992" s="39"/>
    </row>
    <row r="993" spans="3:4" x14ac:dyDescent="0.2">
      <c r="C993" s="39"/>
      <c r="D993" s="39"/>
    </row>
    <row r="994" spans="3:4" x14ac:dyDescent="0.2">
      <c r="C994" s="39"/>
      <c r="D994" s="39"/>
    </row>
    <row r="995" spans="3:4" x14ac:dyDescent="0.2">
      <c r="C995" s="39"/>
      <c r="D995" s="39"/>
    </row>
    <row r="996" spans="3:4" x14ac:dyDescent="0.2">
      <c r="C996" s="39"/>
      <c r="D996" s="39"/>
    </row>
    <row r="997" spans="3:4" x14ac:dyDescent="0.2">
      <c r="C997" s="39"/>
      <c r="D997" s="39"/>
    </row>
    <row r="998" spans="3:4" x14ac:dyDescent="0.2">
      <c r="C998" s="39"/>
      <c r="D998" s="39"/>
    </row>
    <row r="999" spans="3:4" x14ac:dyDescent="0.2">
      <c r="C999" s="39"/>
      <c r="D999" s="39"/>
    </row>
    <row r="1000" spans="3:4" x14ac:dyDescent="0.2">
      <c r="C1000" s="39"/>
      <c r="D1000" s="39"/>
    </row>
    <row r="1001" spans="3:4" x14ac:dyDescent="0.2">
      <c r="C1001" s="39"/>
      <c r="D1001" s="39"/>
    </row>
    <row r="1002" spans="3:4" x14ac:dyDescent="0.2">
      <c r="C1002" s="39"/>
      <c r="D1002" s="39"/>
    </row>
    <row r="1003" spans="3:4" x14ac:dyDescent="0.2">
      <c r="C1003" s="39"/>
      <c r="D1003" s="39"/>
    </row>
  </sheetData>
  <mergeCells count="1">
    <mergeCell ref="E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62249-90E7-4841-86FC-B8834A3FAE45}">
  <dimension ref="B1:Q50"/>
  <sheetViews>
    <sheetView topLeftCell="A11" workbookViewId="0">
      <selection activeCell="C22" sqref="C22"/>
    </sheetView>
  </sheetViews>
  <sheetFormatPr baseColWidth="10" defaultColWidth="8.6640625" defaultRowHeight="16" x14ac:dyDescent="0.2"/>
  <cols>
    <col min="2" max="2" width="41.6640625" customWidth="1"/>
    <col min="3" max="3" width="24" style="87" customWidth="1"/>
    <col min="4" max="4" width="15.6640625" customWidth="1"/>
    <col min="5" max="5" width="10.6640625" customWidth="1"/>
    <col min="6" max="6" width="27.5" customWidth="1"/>
  </cols>
  <sheetData>
    <row r="1" spans="2:17" ht="25.5" customHeight="1" x14ac:dyDescent="0.2">
      <c r="C1" s="85" t="s">
        <v>106</v>
      </c>
      <c r="D1" s="74">
        <v>46013</v>
      </c>
      <c r="E1" s="74">
        <v>46020</v>
      </c>
      <c r="F1" s="74">
        <v>45662</v>
      </c>
      <c r="G1" s="74">
        <v>45669</v>
      </c>
      <c r="H1" s="74">
        <v>45676</v>
      </c>
      <c r="I1" s="74">
        <v>45683</v>
      </c>
      <c r="J1" s="74">
        <v>45690</v>
      </c>
      <c r="K1" s="74">
        <v>45697</v>
      </c>
      <c r="L1" s="74">
        <v>45704</v>
      </c>
      <c r="M1" s="74">
        <v>45711</v>
      </c>
      <c r="N1" s="74">
        <v>45718</v>
      </c>
      <c r="O1" s="74">
        <v>45725</v>
      </c>
      <c r="P1" s="74">
        <v>45732</v>
      </c>
      <c r="Q1" s="74">
        <v>45739</v>
      </c>
    </row>
    <row r="2" spans="2:17" ht="45.75" customHeight="1" x14ac:dyDescent="0.2">
      <c r="B2" s="83" t="s">
        <v>107</v>
      </c>
      <c r="C2" s="123">
        <v>25</v>
      </c>
      <c r="P2" t="s">
        <v>108</v>
      </c>
      <c r="Q2" t="s">
        <v>109</v>
      </c>
    </row>
    <row r="3" spans="2:17" ht="45.75" customHeight="1" x14ac:dyDescent="0.2">
      <c r="B3" s="69" t="s">
        <v>110</v>
      </c>
      <c r="C3" s="123">
        <v>25</v>
      </c>
    </row>
    <row r="4" spans="2:17" ht="45.75" customHeight="1" x14ac:dyDescent="0.2">
      <c r="B4" s="70" t="s">
        <v>111</v>
      </c>
      <c r="C4" s="123">
        <v>20</v>
      </c>
    </row>
    <row r="5" spans="2:17" ht="45.75" customHeight="1" x14ac:dyDescent="0.2">
      <c r="B5" t="s">
        <v>112</v>
      </c>
      <c r="C5" s="123">
        <v>30</v>
      </c>
    </row>
    <row r="6" spans="2:17" ht="45" customHeight="1" x14ac:dyDescent="0.2">
      <c r="B6" t="s">
        <v>113</v>
      </c>
      <c r="C6" s="123">
        <v>25</v>
      </c>
    </row>
    <row r="8" spans="2:17" x14ac:dyDescent="0.2">
      <c r="B8" t="s">
        <v>114</v>
      </c>
      <c r="C8" s="87">
        <f>SUM(C2:C6)</f>
        <v>125</v>
      </c>
    </row>
    <row r="9" spans="2:17" x14ac:dyDescent="0.2">
      <c r="B9" t="s">
        <v>115</v>
      </c>
      <c r="C9" s="87">
        <f>1500/C8</f>
        <v>12</v>
      </c>
    </row>
    <row r="10" spans="2:17" x14ac:dyDescent="0.2">
      <c r="B10" t="s">
        <v>116</v>
      </c>
      <c r="C10" s="124">
        <f>1500/9</f>
        <v>166.66666666666666</v>
      </c>
    </row>
    <row r="11" spans="2:17" ht="17" x14ac:dyDescent="0.2">
      <c r="B11" s="71" t="s">
        <v>117</v>
      </c>
      <c r="C11" s="86" t="s">
        <v>118</v>
      </c>
      <c r="D11" s="84" t="s">
        <v>119</v>
      </c>
      <c r="E11" s="84" t="s">
        <v>120</v>
      </c>
      <c r="F11" s="84" t="s">
        <v>121</v>
      </c>
      <c r="G11" s="84" t="s">
        <v>122</v>
      </c>
    </row>
    <row r="12" spans="2:17" ht="32" x14ac:dyDescent="0.2">
      <c r="B12" s="214" t="s">
        <v>123</v>
      </c>
      <c r="C12" s="99" t="s">
        <v>124</v>
      </c>
      <c r="D12" s="100">
        <f>SUM(D13:D20)</f>
        <v>455</v>
      </c>
      <c r="E12" s="106">
        <f>D12/$C$2</f>
        <v>18.2</v>
      </c>
      <c r="F12" s="81"/>
      <c r="G12" s="82">
        <f>SUM(E12)-COUNT($D$1:$O$1)</f>
        <v>6.1999999999999993</v>
      </c>
    </row>
    <row r="13" spans="2:17" x14ac:dyDescent="0.2">
      <c r="B13" s="214"/>
      <c r="C13" s="146" t="s">
        <v>23</v>
      </c>
      <c r="D13" s="147">
        <v>55</v>
      </c>
      <c r="E13" s="148">
        <f t="shared" ref="E13:E19" si="0">D13/$C$2</f>
        <v>2.2000000000000002</v>
      </c>
      <c r="F13" s="81"/>
      <c r="G13" s="82"/>
    </row>
    <row r="14" spans="2:17" x14ac:dyDescent="0.2">
      <c r="B14" s="214"/>
      <c r="C14" s="146" t="s">
        <v>28</v>
      </c>
      <c r="D14" s="147">
        <v>85</v>
      </c>
      <c r="E14" s="148">
        <f t="shared" si="0"/>
        <v>3.4</v>
      </c>
      <c r="F14" s="81" t="s">
        <v>125</v>
      </c>
      <c r="G14" s="82"/>
    </row>
    <row r="15" spans="2:17" x14ac:dyDescent="0.2">
      <c r="B15" s="214"/>
      <c r="C15" s="146" t="s">
        <v>31</v>
      </c>
      <c r="D15" s="147">
        <v>75</v>
      </c>
      <c r="E15" s="148">
        <f t="shared" si="0"/>
        <v>3</v>
      </c>
      <c r="F15" s="81" t="s">
        <v>126</v>
      </c>
      <c r="G15" s="82"/>
    </row>
    <row r="16" spans="2:17" x14ac:dyDescent="0.2">
      <c r="B16" s="214"/>
      <c r="C16" s="146" t="s">
        <v>33</v>
      </c>
      <c r="D16" s="147">
        <v>40</v>
      </c>
      <c r="E16" s="148">
        <f t="shared" si="0"/>
        <v>1.6</v>
      </c>
      <c r="F16" s="81"/>
      <c r="G16" s="82"/>
    </row>
    <row r="17" spans="2:7" x14ac:dyDescent="0.2">
      <c r="B17" s="214"/>
      <c r="C17" s="146" t="s">
        <v>35</v>
      </c>
      <c r="D17" s="147">
        <v>75</v>
      </c>
      <c r="E17" s="148">
        <f t="shared" si="0"/>
        <v>3</v>
      </c>
      <c r="F17" s="81"/>
      <c r="G17" s="82"/>
    </row>
    <row r="18" spans="2:7" x14ac:dyDescent="0.2">
      <c r="B18" s="214"/>
      <c r="C18" s="146" t="s">
        <v>36</v>
      </c>
      <c r="D18" s="147">
        <v>85</v>
      </c>
      <c r="E18" s="148">
        <f t="shared" si="0"/>
        <v>3.4</v>
      </c>
      <c r="F18" s="81" t="s">
        <v>127</v>
      </c>
      <c r="G18" s="82"/>
    </row>
    <row r="19" spans="2:7" x14ac:dyDescent="0.2">
      <c r="B19" s="214"/>
      <c r="C19" s="146" t="s">
        <v>37</v>
      </c>
      <c r="D19" s="147">
        <v>40</v>
      </c>
      <c r="E19" s="148">
        <f t="shared" si="0"/>
        <v>1.6</v>
      </c>
      <c r="F19" s="81" t="s">
        <v>126</v>
      </c>
      <c r="G19" s="82"/>
    </row>
    <row r="20" spans="2:7" x14ac:dyDescent="0.2">
      <c r="B20" s="214"/>
      <c r="C20" s="146" t="s">
        <v>38</v>
      </c>
      <c r="D20" s="147" t="s">
        <v>128</v>
      </c>
      <c r="E20" s="148" t="s">
        <v>128</v>
      </c>
      <c r="F20" s="81"/>
      <c r="G20" s="82"/>
    </row>
    <row r="21" spans="2:7" x14ac:dyDescent="0.2">
      <c r="B21" s="214"/>
      <c r="C21" s="88"/>
      <c r="D21" s="93"/>
      <c r="E21" s="107"/>
      <c r="F21" s="98"/>
    </row>
    <row r="22" spans="2:7" ht="31.5" customHeight="1" x14ac:dyDescent="0.2">
      <c r="B22" s="215" t="s">
        <v>129</v>
      </c>
      <c r="C22" s="89" t="s">
        <v>90</v>
      </c>
      <c r="D22" s="94">
        <v>41</v>
      </c>
      <c r="E22" s="108">
        <f>D22/$C$3</f>
        <v>1.64</v>
      </c>
      <c r="F22" s="98"/>
      <c r="G22" s="82">
        <f>SUM(E22:E26)-COUNT($D$1:$O$1)</f>
        <v>2.4400000000000013</v>
      </c>
    </row>
    <row r="23" spans="2:7" x14ac:dyDescent="0.2">
      <c r="B23" s="215"/>
      <c r="C23" s="101" t="s">
        <v>130</v>
      </c>
      <c r="D23" s="102">
        <v>180</v>
      </c>
      <c r="E23" s="109">
        <f>D23/$C$3</f>
        <v>7.2</v>
      </c>
      <c r="F23" s="81" t="s">
        <v>127</v>
      </c>
      <c r="G23" s="81"/>
    </row>
    <row r="24" spans="2:7" x14ac:dyDescent="0.2">
      <c r="B24" s="215"/>
      <c r="C24" s="89" t="s">
        <v>71</v>
      </c>
      <c r="D24" s="94">
        <v>60</v>
      </c>
      <c r="E24" s="108">
        <f>D24/$C$6</f>
        <v>2.4</v>
      </c>
      <c r="F24" s="98"/>
      <c r="G24" s="81"/>
    </row>
    <row r="25" spans="2:7" x14ac:dyDescent="0.2">
      <c r="B25" s="215"/>
      <c r="C25" s="89" t="s">
        <v>79</v>
      </c>
      <c r="D25" s="94">
        <v>80</v>
      </c>
      <c r="E25" s="108">
        <f>D25/$C$6</f>
        <v>3.2</v>
      </c>
      <c r="F25" t="s">
        <v>131</v>
      </c>
      <c r="G25" s="81"/>
    </row>
    <row r="26" spans="2:7" x14ac:dyDescent="0.2">
      <c r="B26" s="215"/>
      <c r="C26" s="190"/>
      <c r="D26" s="191"/>
      <c r="E26" s="192"/>
      <c r="F26" s="98"/>
      <c r="G26" s="81"/>
    </row>
    <row r="27" spans="2:7" ht="31.5" customHeight="1" x14ac:dyDescent="0.2">
      <c r="B27" s="216" t="s">
        <v>132</v>
      </c>
      <c r="C27" s="90" t="s">
        <v>88</v>
      </c>
      <c r="D27" s="95">
        <v>19</v>
      </c>
      <c r="E27" s="110">
        <f t="shared" ref="E27:E32" si="1">D27/$C$4</f>
        <v>0.95</v>
      </c>
      <c r="F27" s="98"/>
      <c r="G27" s="82">
        <f>SUM(E27:E33)-COUNT($D$1:$O$1)</f>
        <v>-1.6999999999999993</v>
      </c>
    </row>
    <row r="28" spans="2:7" x14ac:dyDescent="0.2">
      <c r="B28" s="217"/>
      <c r="C28" s="90" t="s">
        <v>60</v>
      </c>
      <c r="D28" s="95">
        <v>60</v>
      </c>
      <c r="E28" s="110">
        <f t="shared" si="1"/>
        <v>3</v>
      </c>
      <c r="F28" s="98"/>
      <c r="G28" s="81"/>
    </row>
    <row r="29" spans="2:7" x14ac:dyDescent="0.2">
      <c r="B29" s="217"/>
      <c r="C29" s="90" t="s">
        <v>92</v>
      </c>
      <c r="D29" s="95">
        <v>47</v>
      </c>
      <c r="E29" s="110">
        <f t="shared" si="1"/>
        <v>2.35</v>
      </c>
      <c r="F29" s="98" t="s">
        <v>133</v>
      </c>
      <c r="G29" s="81"/>
    </row>
    <row r="30" spans="2:7" x14ac:dyDescent="0.2">
      <c r="B30" s="217"/>
      <c r="C30" s="90" t="s">
        <v>94</v>
      </c>
      <c r="D30" s="95">
        <v>5</v>
      </c>
      <c r="E30" s="110">
        <f t="shared" si="1"/>
        <v>0.25</v>
      </c>
      <c r="F30" s="98" t="s">
        <v>133</v>
      </c>
      <c r="G30" s="81"/>
    </row>
    <row r="31" spans="2:7" x14ac:dyDescent="0.2">
      <c r="B31" s="217"/>
      <c r="C31" s="90" t="s">
        <v>38</v>
      </c>
      <c r="D31" s="118">
        <v>40</v>
      </c>
      <c r="E31" s="110">
        <f t="shared" si="1"/>
        <v>2</v>
      </c>
      <c r="F31" s="149" t="s">
        <v>134</v>
      </c>
      <c r="G31" s="81"/>
    </row>
    <row r="32" spans="2:7" x14ac:dyDescent="0.2">
      <c r="B32" s="217"/>
      <c r="C32" s="90" t="s">
        <v>135</v>
      </c>
      <c r="D32" s="95">
        <v>35</v>
      </c>
      <c r="E32" s="110">
        <f t="shared" si="1"/>
        <v>1.75</v>
      </c>
      <c r="G32" s="81"/>
    </row>
    <row r="33" spans="2:7" x14ac:dyDescent="0.2">
      <c r="B33" s="218"/>
      <c r="C33" s="90"/>
      <c r="D33" s="95"/>
      <c r="E33" s="193"/>
      <c r="F33" s="98"/>
      <c r="G33" s="81"/>
    </row>
    <row r="34" spans="2:7" ht="52.5" customHeight="1" x14ac:dyDescent="0.2">
      <c r="B34" s="221" t="s">
        <v>136</v>
      </c>
      <c r="C34" s="103" t="s">
        <v>137</v>
      </c>
      <c r="D34" s="104">
        <v>200</v>
      </c>
      <c r="E34" s="111">
        <f>D34/$C$5</f>
        <v>6.666666666666667</v>
      </c>
      <c r="F34" s="81" t="s">
        <v>127</v>
      </c>
      <c r="G34" s="82">
        <f>SUM(E34:E36)-COUNT($D$1:$O$1)</f>
        <v>1.8333333333333339</v>
      </c>
    </row>
    <row r="35" spans="2:7" ht="52.5" customHeight="1" x14ac:dyDescent="0.2">
      <c r="B35" s="222"/>
      <c r="C35" s="103" t="s">
        <v>73</v>
      </c>
      <c r="D35" s="104">
        <v>215</v>
      </c>
      <c r="E35" s="111">
        <f>D35/$C$5</f>
        <v>7.166666666666667</v>
      </c>
      <c r="F35" s="98"/>
      <c r="G35" s="81"/>
    </row>
    <row r="36" spans="2:7" x14ac:dyDescent="0.2">
      <c r="B36" s="223"/>
      <c r="C36" s="91"/>
      <c r="D36" s="96"/>
      <c r="E36" s="112"/>
      <c r="F36" s="98"/>
      <c r="G36" s="81"/>
    </row>
    <row r="37" spans="2:7" ht="31.5" customHeight="1" x14ac:dyDescent="0.2">
      <c r="B37" s="219" t="s">
        <v>138</v>
      </c>
      <c r="C37" s="144" t="s">
        <v>82</v>
      </c>
      <c r="D37" s="97">
        <v>11</v>
      </c>
      <c r="E37" s="105">
        <f>D37/$C$6</f>
        <v>0.44</v>
      </c>
      <c r="F37" s="98"/>
      <c r="G37" s="82">
        <f>SUM(E37:E41)-COUNT($D$1:$O$1)</f>
        <v>-0.35999999999999943</v>
      </c>
    </row>
    <row r="38" spans="2:7" x14ac:dyDescent="0.2">
      <c r="B38" s="220"/>
      <c r="C38" s="92" t="s">
        <v>81</v>
      </c>
      <c r="D38" s="97">
        <v>40</v>
      </c>
      <c r="E38" s="105">
        <f>D38/$C$6</f>
        <v>1.6</v>
      </c>
      <c r="F38" s="98"/>
    </row>
    <row r="39" spans="2:7" x14ac:dyDescent="0.2">
      <c r="B39" s="220"/>
      <c r="C39" s="92" t="s">
        <v>139</v>
      </c>
      <c r="D39" s="97">
        <v>20</v>
      </c>
      <c r="E39" s="105">
        <f>D39/$C$6</f>
        <v>0.8</v>
      </c>
      <c r="F39" s="98"/>
    </row>
    <row r="40" spans="2:7" x14ac:dyDescent="0.2">
      <c r="B40" s="220"/>
      <c r="C40" s="113" t="s">
        <v>50</v>
      </c>
      <c r="D40" s="114">
        <v>120</v>
      </c>
      <c r="E40" s="115">
        <f>D40/$C$3</f>
        <v>4.8</v>
      </c>
      <c r="F40" s="81" t="s">
        <v>127</v>
      </c>
    </row>
    <row r="41" spans="2:7" x14ac:dyDescent="0.2">
      <c r="B41" s="220"/>
      <c r="C41" s="116" t="s">
        <v>140</v>
      </c>
      <c r="D41" s="117">
        <v>100</v>
      </c>
      <c r="E41" s="115">
        <f>D41/$C$3</f>
        <v>4</v>
      </c>
      <c r="F41" s="98" t="s">
        <v>141</v>
      </c>
    </row>
    <row r="43" spans="2:7" x14ac:dyDescent="0.2">
      <c r="B43" s="79" t="s">
        <v>142</v>
      </c>
      <c r="C43" s="85"/>
      <c r="D43" s="84" t="s">
        <v>119</v>
      </c>
      <c r="E43" s="79" t="s">
        <v>117</v>
      </c>
    </row>
    <row r="44" spans="2:7" ht="17" x14ac:dyDescent="0.2">
      <c r="B44" s="77" t="s">
        <v>75</v>
      </c>
      <c r="C44" s="78"/>
      <c r="D44" s="78">
        <v>40</v>
      </c>
      <c r="E44" s="76" t="s">
        <v>143</v>
      </c>
    </row>
    <row r="45" spans="2:7" ht="17" x14ac:dyDescent="0.2">
      <c r="B45" s="77" t="s">
        <v>84</v>
      </c>
      <c r="C45" s="78"/>
      <c r="D45" s="78" t="s">
        <v>87</v>
      </c>
      <c r="E45" s="76" t="s">
        <v>40</v>
      </c>
    </row>
    <row r="46" spans="2:7" x14ac:dyDescent="0.2">
      <c r="B46" s="77"/>
      <c r="C46" s="78"/>
      <c r="D46" s="78"/>
    </row>
    <row r="47" spans="2:7" x14ac:dyDescent="0.2">
      <c r="B47" s="77"/>
      <c r="C47" s="78"/>
      <c r="D47" s="78"/>
    </row>
    <row r="48" spans="2:7" x14ac:dyDescent="0.2">
      <c r="B48" s="77"/>
      <c r="C48" s="78"/>
      <c r="D48" s="78"/>
    </row>
    <row r="49" spans="2:4" x14ac:dyDescent="0.2">
      <c r="B49" s="77"/>
      <c r="C49" s="78"/>
      <c r="D49" s="78"/>
    </row>
    <row r="50" spans="2:4" x14ac:dyDescent="0.2">
      <c r="C50" s="78"/>
    </row>
  </sheetData>
  <mergeCells count="5">
    <mergeCell ref="B12:B21"/>
    <mergeCell ref="B22:B26"/>
    <mergeCell ref="B27:B33"/>
    <mergeCell ref="B37:B41"/>
    <mergeCell ref="B34:B36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7A293-3B46-3248-87BD-DD21436F0BE7}">
  <dimension ref="B1:G25"/>
  <sheetViews>
    <sheetView topLeftCell="A8" zoomScale="163" zoomScaleNormal="100" workbookViewId="0">
      <selection activeCell="D10" sqref="D10"/>
    </sheetView>
  </sheetViews>
  <sheetFormatPr baseColWidth="10" defaultColWidth="11" defaultRowHeight="16" x14ac:dyDescent="0.2"/>
  <cols>
    <col min="2" max="2" width="45.6640625" customWidth="1"/>
    <col min="3" max="3" width="16.1640625" customWidth="1"/>
    <col min="4" max="4" width="30.6640625" customWidth="1"/>
    <col min="5" max="5" width="27.6640625" customWidth="1"/>
    <col min="6" max="6" width="37.1640625" customWidth="1"/>
    <col min="7" max="7" width="30.1640625" bestFit="1" customWidth="1"/>
  </cols>
  <sheetData>
    <row r="1" spans="2:6" x14ac:dyDescent="0.2">
      <c r="B1" s="71" t="s">
        <v>144</v>
      </c>
      <c r="C1" s="71" t="s">
        <v>2</v>
      </c>
      <c r="D1" s="71" t="s">
        <v>145</v>
      </c>
      <c r="E1" s="71" t="s">
        <v>146</v>
      </c>
      <c r="F1" s="71" t="s">
        <v>147</v>
      </c>
    </row>
    <row r="2" spans="2:6" x14ac:dyDescent="0.2">
      <c r="B2" s="80" t="s">
        <v>148</v>
      </c>
      <c r="C2" s="80" t="s">
        <v>24</v>
      </c>
      <c r="D2" s="80" t="s">
        <v>149</v>
      </c>
      <c r="E2" s="80" t="s">
        <v>150</v>
      </c>
      <c r="F2" s="80" t="s">
        <v>151</v>
      </c>
    </row>
    <row r="3" spans="2:6" x14ac:dyDescent="0.2">
      <c r="B3" s="80" t="s">
        <v>130</v>
      </c>
      <c r="C3" s="80" t="s">
        <v>63</v>
      </c>
      <c r="D3" s="80" t="s">
        <v>152</v>
      </c>
      <c r="E3" s="80" t="s">
        <v>153</v>
      </c>
      <c r="F3" s="80" t="s">
        <v>151</v>
      </c>
    </row>
    <row r="4" spans="2:6" x14ac:dyDescent="0.2">
      <c r="B4" s="80" t="s">
        <v>154</v>
      </c>
      <c r="C4" s="80" t="s">
        <v>24</v>
      </c>
      <c r="D4" s="80" t="s">
        <v>155</v>
      </c>
      <c r="E4" s="80" t="s">
        <v>156</v>
      </c>
      <c r="F4" s="80" t="s">
        <v>151</v>
      </c>
    </row>
    <row r="5" spans="2:6" x14ac:dyDescent="0.2">
      <c r="B5" t="s">
        <v>66</v>
      </c>
      <c r="C5" s="72" t="s">
        <v>63</v>
      </c>
      <c r="D5" t="s">
        <v>157</v>
      </c>
      <c r="E5" t="s">
        <v>158</v>
      </c>
    </row>
    <row r="6" spans="2:6" x14ac:dyDescent="0.2">
      <c r="B6" t="s">
        <v>38</v>
      </c>
      <c r="C6" s="75" t="s">
        <v>63</v>
      </c>
    </row>
    <row r="9" spans="2:6" x14ac:dyDescent="0.2">
      <c r="B9" s="76" t="s">
        <v>159</v>
      </c>
      <c r="C9" s="72" t="s">
        <v>24</v>
      </c>
      <c r="D9" t="s">
        <v>43</v>
      </c>
      <c r="E9" t="s">
        <v>43</v>
      </c>
      <c r="F9" t="s">
        <v>160</v>
      </c>
    </row>
    <row r="10" spans="2:6" x14ac:dyDescent="0.2">
      <c r="B10" t="s">
        <v>75</v>
      </c>
      <c r="C10" s="72" t="s">
        <v>63</v>
      </c>
    </row>
    <row r="11" spans="2:6" x14ac:dyDescent="0.2">
      <c r="B11" s="76" t="s">
        <v>50</v>
      </c>
      <c r="C11" s="72" t="s">
        <v>63</v>
      </c>
    </row>
    <row r="12" spans="2:6" x14ac:dyDescent="0.2">
      <c r="B12" t="s">
        <v>55</v>
      </c>
      <c r="C12" s="72" t="s">
        <v>63</v>
      </c>
    </row>
    <row r="13" spans="2:6" x14ac:dyDescent="0.2">
      <c r="B13" t="s">
        <v>58</v>
      </c>
      <c r="C13" s="72" t="s">
        <v>63</v>
      </c>
    </row>
    <row r="14" spans="2:6" x14ac:dyDescent="0.2">
      <c r="B14" t="s">
        <v>62</v>
      </c>
      <c r="C14" s="72" t="s">
        <v>63</v>
      </c>
    </row>
    <row r="15" spans="2:6" x14ac:dyDescent="0.2">
      <c r="B15" t="s">
        <v>71</v>
      </c>
      <c r="C15" s="72" t="s">
        <v>63</v>
      </c>
    </row>
    <row r="16" spans="2:6" x14ac:dyDescent="0.2">
      <c r="B16" t="s">
        <v>79</v>
      </c>
      <c r="C16" s="72" t="s">
        <v>63</v>
      </c>
    </row>
    <row r="18" spans="2:7" x14ac:dyDescent="0.2">
      <c r="D18" t="s">
        <v>161</v>
      </c>
      <c r="E18" t="s">
        <v>162</v>
      </c>
      <c r="F18" t="s">
        <v>163</v>
      </c>
      <c r="G18" t="s">
        <v>144</v>
      </c>
    </row>
    <row r="19" spans="2:7" x14ac:dyDescent="0.2">
      <c r="B19" s="71" t="s">
        <v>164</v>
      </c>
      <c r="D19" s="80" t="s">
        <v>165</v>
      </c>
      <c r="E19" s="80" t="s">
        <v>166</v>
      </c>
      <c r="F19" s="80" t="s">
        <v>167</v>
      </c>
      <c r="G19" t="s">
        <v>130</v>
      </c>
    </row>
    <row r="20" spans="2:7" x14ac:dyDescent="0.2">
      <c r="D20" t="s">
        <v>168</v>
      </c>
      <c r="E20" t="s">
        <v>169</v>
      </c>
      <c r="F20" t="s">
        <v>26</v>
      </c>
    </row>
    <row r="21" spans="2:7" x14ac:dyDescent="0.2">
      <c r="D21" t="s">
        <v>170</v>
      </c>
      <c r="E21" t="s">
        <v>171</v>
      </c>
      <c r="F21" t="s">
        <v>26</v>
      </c>
    </row>
    <row r="22" spans="2:7" x14ac:dyDescent="0.2">
      <c r="D22" s="73" t="s">
        <v>155</v>
      </c>
      <c r="E22" s="73" t="s">
        <v>156</v>
      </c>
      <c r="F22" s="73" t="s">
        <v>167</v>
      </c>
      <c r="G22" t="s">
        <v>154</v>
      </c>
    </row>
    <row r="23" spans="2:7" x14ac:dyDescent="0.2">
      <c r="D23" s="73" t="s">
        <v>172</v>
      </c>
      <c r="E23" s="73" t="s">
        <v>173</v>
      </c>
      <c r="F23" s="73" t="s">
        <v>167</v>
      </c>
      <c r="G23" t="s">
        <v>66</v>
      </c>
    </row>
    <row r="24" spans="2:7" x14ac:dyDescent="0.2">
      <c r="D24" t="s">
        <v>174</v>
      </c>
      <c r="E24" t="s">
        <v>175</v>
      </c>
      <c r="F24" t="s">
        <v>176</v>
      </c>
    </row>
    <row r="25" spans="2:7" x14ac:dyDescent="0.2">
      <c r="D25" t="s">
        <v>177</v>
      </c>
      <c r="E25" t="s">
        <v>178</v>
      </c>
      <c r="F25" t="s">
        <v>176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1A76-58AC-B247-83DC-358B46C63781}">
  <dimension ref="B1:DR1008"/>
  <sheetViews>
    <sheetView tabSelected="1" zoomScale="150" zoomScaleNormal="100" workbookViewId="0">
      <pane xSplit="3" ySplit="2" topLeftCell="F3" activePane="bottomRight" state="frozen"/>
      <selection pane="topRight" activeCell="D1" sqref="D1"/>
      <selection pane="bottomLeft" activeCell="A3" sqref="A3"/>
      <selection pane="bottomRight" activeCell="K3" sqref="K3"/>
    </sheetView>
  </sheetViews>
  <sheetFormatPr baseColWidth="10" defaultColWidth="11.1640625" defaultRowHeight="16" x14ac:dyDescent="0.2"/>
  <cols>
    <col min="1" max="1" width="3" customWidth="1"/>
    <col min="2" max="2" width="26.1640625" customWidth="1"/>
    <col min="3" max="3" width="10.6640625" customWidth="1"/>
    <col min="4" max="4" width="10" customWidth="1"/>
    <col min="5" max="5" width="13" customWidth="1"/>
    <col min="6" max="6" width="14.33203125" customWidth="1"/>
    <col min="7" max="7" width="13.1640625" customWidth="1"/>
    <col min="8" max="8" width="12.5" customWidth="1"/>
    <col min="9" max="9" width="13.5" customWidth="1"/>
    <col min="10" max="12" width="12.6640625" customWidth="1"/>
    <col min="13" max="22" width="3.83203125" customWidth="1"/>
    <col min="23" max="23" width="26" customWidth="1"/>
    <col min="24" max="24" width="13.33203125" customWidth="1"/>
    <col min="25" max="25" width="14.6640625" customWidth="1"/>
    <col min="26" max="29" width="10.6640625" customWidth="1"/>
    <col min="30" max="121" width="3.6640625" customWidth="1"/>
    <col min="122" max="122" width="7.1640625" customWidth="1"/>
  </cols>
  <sheetData>
    <row r="1" spans="2:122" ht="15.75" customHeight="1" thickBot="1" x14ac:dyDescent="0.25">
      <c r="C1" s="1"/>
      <c r="D1" s="1"/>
      <c r="E1" s="210" t="s">
        <v>0</v>
      </c>
      <c r="F1" s="210"/>
      <c r="G1" s="210"/>
      <c r="H1" s="210"/>
      <c r="I1" s="210"/>
      <c r="J1" s="210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6"/>
      <c r="X1" s="41"/>
      <c r="Y1" s="4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</row>
    <row r="2" spans="2:122" ht="37" thickBot="1" x14ac:dyDescent="0.25"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334</v>
      </c>
      <c r="L2" s="4" t="s">
        <v>335</v>
      </c>
      <c r="M2" s="4" t="s">
        <v>179</v>
      </c>
      <c r="N2" s="4" t="s">
        <v>180</v>
      </c>
      <c r="O2" s="4" t="s">
        <v>181</v>
      </c>
      <c r="P2" s="4" t="s">
        <v>182</v>
      </c>
      <c r="Q2" s="4" t="s">
        <v>183</v>
      </c>
      <c r="R2" s="4" t="s">
        <v>184</v>
      </c>
      <c r="S2" s="4" t="s">
        <v>185</v>
      </c>
      <c r="T2" s="4" t="s">
        <v>186</v>
      </c>
      <c r="U2" s="4" t="s">
        <v>187</v>
      </c>
      <c r="V2" s="4" t="s">
        <v>188</v>
      </c>
      <c r="W2" s="4" t="s">
        <v>10</v>
      </c>
      <c r="X2" s="43" t="s">
        <v>11</v>
      </c>
      <c r="Y2" s="43" t="s">
        <v>12</v>
      </c>
      <c r="Z2" s="4" t="s">
        <v>13</v>
      </c>
      <c r="AA2" s="4" t="s">
        <v>14</v>
      </c>
      <c r="AB2" s="4" t="s">
        <v>189</v>
      </c>
      <c r="AC2" s="4" t="s">
        <v>190</v>
      </c>
      <c r="AD2" s="32">
        <v>46024</v>
      </c>
      <c r="AE2" s="33">
        <f t="shared" ref="AE2:CP2" si="0">AD2+1</f>
        <v>46025</v>
      </c>
      <c r="AF2" s="33">
        <f t="shared" si="0"/>
        <v>46026</v>
      </c>
      <c r="AG2" s="32">
        <f t="shared" si="0"/>
        <v>46027</v>
      </c>
      <c r="AH2" s="32">
        <f t="shared" si="0"/>
        <v>46028</v>
      </c>
      <c r="AI2" s="32">
        <f t="shared" si="0"/>
        <v>46029</v>
      </c>
      <c r="AJ2" s="32">
        <f t="shared" si="0"/>
        <v>46030</v>
      </c>
      <c r="AK2" s="32">
        <f t="shared" si="0"/>
        <v>46031</v>
      </c>
      <c r="AL2" s="33">
        <f t="shared" si="0"/>
        <v>46032</v>
      </c>
      <c r="AM2" s="33">
        <f t="shared" si="0"/>
        <v>46033</v>
      </c>
      <c r="AN2" s="32">
        <f t="shared" si="0"/>
        <v>46034</v>
      </c>
      <c r="AO2" s="32">
        <f t="shared" si="0"/>
        <v>46035</v>
      </c>
      <c r="AP2" s="32">
        <f t="shared" si="0"/>
        <v>46036</v>
      </c>
      <c r="AQ2" s="32">
        <f t="shared" si="0"/>
        <v>46037</v>
      </c>
      <c r="AR2" s="32">
        <f t="shared" si="0"/>
        <v>46038</v>
      </c>
      <c r="AS2" s="33">
        <f t="shared" si="0"/>
        <v>46039</v>
      </c>
      <c r="AT2" s="33">
        <f t="shared" si="0"/>
        <v>46040</v>
      </c>
      <c r="AU2" s="32">
        <f t="shared" si="0"/>
        <v>46041</v>
      </c>
      <c r="AV2" s="32">
        <f t="shared" si="0"/>
        <v>46042</v>
      </c>
      <c r="AW2" s="32">
        <f t="shared" si="0"/>
        <v>46043</v>
      </c>
      <c r="AX2" s="32">
        <f t="shared" si="0"/>
        <v>46044</v>
      </c>
      <c r="AY2" s="32">
        <f t="shared" si="0"/>
        <v>46045</v>
      </c>
      <c r="AZ2" s="33">
        <f t="shared" si="0"/>
        <v>46046</v>
      </c>
      <c r="BA2" s="33">
        <f t="shared" si="0"/>
        <v>46047</v>
      </c>
      <c r="BB2" s="32">
        <f t="shared" si="0"/>
        <v>46048</v>
      </c>
      <c r="BC2" s="32">
        <f t="shared" si="0"/>
        <v>46049</v>
      </c>
      <c r="BD2" s="32">
        <f t="shared" si="0"/>
        <v>46050</v>
      </c>
      <c r="BE2" s="32">
        <f t="shared" si="0"/>
        <v>46051</v>
      </c>
      <c r="BF2" s="32">
        <f t="shared" si="0"/>
        <v>46052</v>
      </c>
      <c r="BG2" s="33">
        <f t="shared" si="0"/>
        <v>46053</v>
      </c>
      <c r="BH2" s="33">
        <f t="shared" si="0"/>
        <v>46054</v>
      </c>
      <c r="BI2" s="32">
        <f t="shared" si="0"/>
        <v>46055</v>
      </c>
      <c r="BJ2" s="32">
        <f t="shared" si="0"/>
        <v>46056</v>
      </c>
      <c r="BK2" s="32">
        <f t="shared" si="0"/>
        <v>46057</v>
      </c>
      <c r="BL2" s="32">
        <f t="shared" si="0"/>
        <v>46058</v>
      </c>
      <c r="BM2" s="32">
        <f t="shared" si="0"/>
        <v>46059</v>
      </c>
      <c r="BN2" s="33">
        <f t="shared" si="0"/>
        <v>46060</v>
      </c>
      <c r="BO2" s="33">
        <f t="shared" si="0"/>
        <v>46061</v>
      </c>
      <c r="BP2" s="32">
        <f t="shared" si="0"/>
        <v>46062</v>
      </c>
      <c r="BQ2" s="32">
        <f t="shared" si="0"/>
        <v>46063</v>
      </c>
      <c r="BR2" s="32">
        <f t="shared" si="0"/>
        <v>46064</v>
      </c>
      <c r="BS2" s="32">
        <f t="shared" si="0"/>
        <v>46065</v>
      </c>
      <c r="BT2" s="32">
        <f t="shared" si="0"/>
        <v>46066</v>
      </c>
      <c r="BU2" s="33">
        <f t="shared" si="0"/>
        <v>46067</v>
      </c>
      <c r="BV2" s="33">
        <f t="shared" si="0"/>
        <v>46068</v>
      </c>
      <c r="BW2" s="32">
        <f t="shared" si="0"/>
        <v>46069</v>
      </c>
      <c r="BX2" s="32">
        <f t="shared" si="0"/>
        <v>46070</v>
      </c>
      <c r="BY2" s="32">
        <f t="shared" si="0"/>
        <v>46071</v>
      </c>
      <c r="BZ2" s="32">
        <f t="shared" si="0"/>
        <v>46072</v>
      </c>
      <c r="CA2" s="32">
        <f t="shared" si="0"/>
        <v>46073</v>
      </c>
      <c r="CB2" s="33">
        <f t="shared" si="0"/>
        <v>46074</v>
      </c>
      <c r="CC2" s="33">
        <f t="shared" si="0"/>
        <v>46075</v>
      </c>
      <c r="CD2" s="32">
        <f t="shared" si="0"/>
        <v>46076</v>
      </c>
      <c r="CE2" s="32">
        <f t="shared" si="0"/>
        <v>46077</v>
      </c>
      <c r="CF2" s="32">
        <f t="shared" si="0"/>
        <v>46078</v>
      </c>
      <c r="CG2" s="32">
        <f t="shared" si="0"/>
        <v>46079</v>
      </c>
      <c r="CH2" s="32">
        <f t="shared" si="0"/>
        <v>46080</v>
      </c>
      <c r="CI2" s="33">
        <f t="shared" si="0"/>
        <v>46081</v>
      </c>
      <c r="CJ2" s="33">
        <f t="shared" si="0"/>
        <v>46082</v>
      </c>
      <c r="CK2" s="32">
        <f t="shared" si="0"/>
        <v>46083</v>
      </c>
      <c r="CL2" s="32">
        <f t="shared" si="0"/>
        <v>46084</v>
      </c>
      <c r="CM2" s="32">
        <f t="shared" si="0"/>
        <v>46085</v>
      </c>
      <c r="CN2" s="32">
        <f t="shared" si="0"/>
        <v>46086</v>
      </c>
      <c r="CO2" s="32">
        <f t="shared" si="0"/>
        <v>46087</v>
      </c>
      <c r="CP2" s="33">
        <f t="shared" si="0"/>
        <v>46088</v>
      </c>
      <c r="CQ2" s="33">
        <f t="shared" ref="CQ2:CW2" si="1">CP2+1</f>
        <v>46089</v>
      </c>
      <c r="CR2" s="32">
        <f t="shared" si="1"/>
        <v>46090</v>
      </c>
      <c r="CS2" s="32">
        <f t="shared" si="1"/>
        <v>46091</v>
      </c>
      <c r="CT2" s="32">
        <f t="shared" si="1"/>
        <v>46092</v>
      </c>
      <c r="CU2" s="32">
        <f t="shared" si="1"/>
        <v>46093</v>
      </c>
      <c r="CV2" s="32">
        <f t="shared" si="1"/>
        <v>46094</v>
      </c>
      <c r="CW2" s="33">
        <f t="shared" si="1"/>
        <v>46095</v>
      </c>
      <c r="CX2" s="33">
        <f>CV2+1</f>
        <v>46095</v>
      </c>
      <c r="CY2" s="32">
        <f t="shared" ref="CY2:DQ2" si="2">CX2+1</f>
        <v>46096</v>
      </c>
      <c r="CZ2" s="32">
        <f t="shared" si="2"/>
        <v>46097</v>
      </c>
      <c r="DA2" s="32">
        <f t="shared" si="2"/>
        <v>46098</v>
      </c>
      <c r="DB2" s="32">
        <f t="shared" si="2"/>
        <v>46099</v>
      </c>
      <c r="DC2" s="32">
        <f t="shared" si="2"/>
        <v>46100</v>
      </c>
      <c r="DD2" s="33">
        <f t="shared" si="2"/>
        <v>46101</v>
      </c>
      <c r="DE2" s="33">
        <f>DC2+1</f>
        <v>46101</v>
      </c>
      <c r="DF2" s="32">
        <f t="shared" si="2"/>
        <v>46102</v>
      </c>
      <c r="DG2" s="32">
        <f t="shared" si="2"/>
        <v>46103</v>
      </c>
      <c r="DH2" s="32">
        <f t="shared" si="2"/>
        <v>46104</v>
      </c>
      <c r="DI2" s="32">
        <f t="shared" si="2"/>
        <v>46105</v>
      </c>
      <c r="DJ2" s="32">
        <f t="shared" si="2"/>
        <v>46106</v>
      </c>
      <c r="DK2" s="33">
        <f t="shared" si="2"/>
        <v>46107</v>
      </c>
      <c r="DL2" s="33">
        <f>DJ2+1</f>
        <v>46107</v>
      </c>
      <c r="DM2" s="32">
        <f t="shared" si="2"/>
        <v>46108</v>
      </c>
      <c r="DN2" s="32">
        <f t="shared" si="2"/>
        <v>46109</v>
      </c>
      <c r="DO2" s="32">
        <f t="shared" si="2"/>
        <v>46110</v>
      </c>
      <c r="DP2" s="32">
        <f t="shared" si="2"/>
        <v>46111</v>
      </c>
      <c r="DQ2" s="32">
        <f t="shared" si="2"/>
        <v>46112</v>
      </c>
      <c r="DR2" s="31" t="s">
        <v>17</v>
      </c>
    </row>
    <row r="3" spans="2:122" ht="30" customHeight="1" thickTop="1" thickBot="1" x14ac:dyDescent="0.25">
      <c r="B3" s="141" t="s">
        <v>23</v>
      </c>
      <c r="C3" s="6" t="s">
        <v>24</v>
      </c>
      <c r="D3" s="6"/>
      <c r="E3" s="230">
        <v>46015</v>
      </c>
      <c r="F3" s="38">
        <v>46029</v>
      </c>
      <c r="G3" s="8">
        <f>F3+2</f>
        <v>46031</v>
      </c>
      <c r="H3" s="8" t="s">
        <v>43</v>
      </c>
      <c r="I3" s="19">
        <f>G3+7</f>
        <v>46038</v>
      </c>
      <c r="J3" s="30">
        <f>I3</f>
        <v>46038</v>
      </c>
      <c r="K3" s="30"/>
      <c r="L3" s="30"/>
      <c r="M3" s="189" t="s">
        <v>191</v>
      </c>
      <c r="N3" s="30"/>
      <c r="O3" s="189" t="s">
        <v>191</v>
      </c>
      <c r="P3" s="30"/>
      <c r="Q3" s="30"/>
      <c r="R3" s="30"/>
      <c r="S3" s="30"/>
      <c r="T3" s="30"/>
      <c r="U3" s="30"/>
      <c r="V3" s="30"/>
      <c r="W3" s="7"/>
      <c r="X3" s="48">
        <v>575</v>
      </c>
      <c r="Y3" s="119">
        <v>55</v>
      </c>
      <c r="Z3" s="17">
        <v>1</v>
      </c>
      <c r="AA3" s="17" t="s">
        <v>25</v>
      </c>
      <c r="AB3" s="17">
        <f>Y3/Capacity!$B$2</f>
        <v>7.8571428571428568</v>
      </c>
      <c r="AC3" s="17">
        <f>Y3/Capacity!$B$3</f>
        <v>6.875</v>
      </c>
      <c r="AD3" s="17"/>
      <c r="AE3" s="251"/>
      <c r="AF3" s="251"/>
      <c r="AG3" s="17"/>
      <c r="AH3" s="17"/>
      <c r="AI3" s="17"/>
      <c r="AJ3" s="17"/>
      <c r="AK3" s="17"/>
      <c r="AL3" s="251"/>
      <c r="AM3" s="251"/>
      <c r="AN3" s="17"/>
      <c r="AO3" s="17"/>
      <c r="AP3" s="17"/>
      <c r="AQ3" s="17"/>
      <c r="AR3" s="17" t="s">
        <v>26</v>
      </c>
      <c r="AS3" s="251"/>
      <c r="AT3" s="251"/>
      <c r="AU3" s="17" t="s">
        <v>26</v>
      </c>
      <c r="AV3" s="17" t="s">
        <v>26</v>
      </c>
      <c r="AW3" s="17" t="s">
        <v>26</v>
      </c>
      <c r="AX3" s="17" t="s">
        <v>26</v>
      </c>
      <c r="AY3" s="17" t="s">
        <v>26</v>
      </c>
      <c r="AZ3" s="251"/>
      <c r="BA3" s="251"/>
      <c r="BB3" s="17" t="s">
        <v>26</v>
      </c>
      <c r="BC3" s="122" t="s">
        <v>27</v>
      </c>
      <c r="BD3" s="17"/>
      <c r="BE3" s="17"/>
      <c r="BF3" s="17"/>
      <c r="BG3" s="251"/>
      <c r="BH3" s="251"/>
      <c r="BI3" s="17"/>
      <c r="BJ3" s="17"/>
      <c r="BK3" s="17"/>
      <c r="BL3" s="17"/>
      <c r="BM3" s="17"/>
      <c r="BN3" s="251"/>
      <c r="BO3" s="251"/>
      <c r="BP3" s="17"/>
      <c r="BQ3" s="17"/>
      <c r="BR3" s="17"/>
      <c r="BS3" s="17"/>
      <c r="BT3" s="17"/>
      <c r="BU3" s="251"/>
      <c r="BV3" s="251"/>
      <c r="BW3" s="17"/>
      <c r="BX3" s="17"/>
      <c r="BY3" s="17"/>
      <c r="BZ3" s="17"/>
      <c r="CA3" s="17"/>
      <c r="CB3" s="251"/>
      <c r="CC3" s="251"/>
      <c r="CD3" s="17"/>
      <c r="CE3" s="17"/>
      <c r="CF3" s="17"/>
      <c r="CG3" s="17"/>
      <c r="CH3" s="17"/>
      <c r="CI3" s="251"/>
      <c r="CJ3" s="251"/>
      <c r="CK3" s="17"/>
      <c r="CL3" s="17"/>
      <c r="CM3" s="17"/>
      <c r="CN3" s="17"/>
      <c r="CO3" s="17"/>
      <c r="CP3" s="251"/>
      <c r="CQ3" s="251"/>
      <c r="CR3" s="17"/>
      <c r="CS3" s="17"/>
      <c r="CT3" s="17"/>
      <c r="CU3" s="17"/>
      <c r="CV3" s="17"/>
      <c r="CW3" s="251"/>
      <c r="CX3" s="251"/>
      <c r="CY3" s="17"/>
      <c r="CZ3" s="17"/>
      <c r="DA3" s="17"/>
      <c r="DB3" s="17"/>
      <c r="DC3" s="17"/>
      <c r="DD3" s="251"/>
      <c r="DE3" s="251"/>
      <c r="DF3" s="17"/>
      <c r="DG3" s="17"/>
      <c r="DH3" s="17"/>
      <c r="DI3" s="17"/>
      <c r="DJ3" s="17"/>
      <c r="DK3" s="251"/>
      <c r="DL3" s="251"/>
      <c r="DM3" s="17"/>
      <c r="DN3" s="17"/>
      <c r="DO3" s="17"/>
      <c r="DP3" s="17"/>
      <c r="DQ3" s="17"/>
      <c r="DR3" s="17">
        <f t="shared" ref="DR3:DR28" si="3">COUNTIF(AD3:DQ3,"X")</f>
        <v>7</v>
      </c>
    </row>
    <row r="4" spans="2:122" ht="30" customHeight="1" thickBot="1" x14ac:dyDescent="0.25">
      <c r="B4" s="141" t="s">
        <v>28</v>
      </c>
      <c r="C4" s="6" t="s">
        <v>24</v>
      </c>
      <c r="D4" s="6"/>
      <c r="E4" s="230">
        <v>46015</v>
      </c>
      <c r="F4" s="38">
        <v>46029</v>
      </c>
      <c r="G4" s="8">
        <f>F4+2</f>
        <v>46031</v>
      </c>
      <c r="H4" s="8" t="s">
        <v>43</v>
      </c>
      <c r="I4" s="19">
        <f>G4+7</f>
        <v>46038</v>
      </c>
      <c r="J4" s="30">
        <f t="shared" ref="J4:J22" si="4">I4</f>
        <v>46038</v>
      </c>
      <c r="K4" s="30"/>
      <c r="L4" s="30"/>
      <c r="M4" s="189" t="s">
        <v>191</v>
      </c>
      <c r="N4" s="30"/>
      <c r="O4" s="189" t="s">
        <v>191</v>
      </c>
      <c r="P4" s="30"/>
      <c r="Q4" s="30"/>
      <c r="R4" s="30"/>
      <c r="S4" s="30"/>
      <c r="T4" s="30"/>
      <c r="U4" s="30"/>
      <c r="V4" s="30"/>
      <c r="W4" s="7"/>
      <c r="X4" s="48"/>
      <c r="Y4" s="119">
        <v>85</v>
      </c>
      <c r="Z4" s="17">
        <v>2</v>
      </c>
      <c r="AA4" s="17" t="s">
        <v>32</v>
      </c>
      <c r="AB4" s="17">
        <f>Y4/Capacity!$B$2</f>
        <v>12.142857142857142</v>
      </c>
      <c r="AC4" s="17">
        <f>Y4/Capacity!$B$3</f>
        <v>10.625</v>
      </c>
      <c r="AD4" s="17"/>
      <c r="AE4" s="251"/>
      <c r="AF4" s="251"/>
      <c r="AG4" s="17"/>
      <c r="AH4" s="17"/>
      <c r="AI4" s="17"/>
      <c r="AJ4" s="17"/>
      <c r="AK4" s="17"/>
      <c r="AL4" s="251"/>
      <c r="AM4" s="251"/>
      <c r="AN4" s="17"/>
      <c r="AO4" s="17"/>
      <c r="AP4" s="17"/>
      <c r="AQ4" s="17"/>
      <c r="AR4" s="17" t="s">
        <v>26</v>
      </c>
      <c r="AS4" s="251"/>
      <c r="AT4" s="251"/>
      <c r="AU4" s="17" t="s">
        <v>26</v>
      </c>
      <c r="AV4" s="17" t="s">
        <v>26</v>
      </c>
      <c r="AW4" s="17" t="s">
        <v>26</v>
      </c>
      <c r="AX4" s="17" t="s">
        <v>26</v>
      </c>
      <c r="AY4" s="17" t="s">
        <v>26</v>
      </c>
      <c r="AZ4" s="251"/>
      <c r="BA4" s="251"/>
      <c r="BB4" s="17" t="s">
        <v>26</v>
      </c>
      <c r="BC4" s="17" t="s">
        <v>26</v>
      </c>
      <c r="BD4" s="17" t="s">
        <v>26</v>
      </c>
      <c r="BE4" s="17" t="s">
        <v>26</v>
      </c>
      <c r="BF4" s="17" t="s">
        <v>26</v>
      </c>
      <c r="BG4" s="251"/>
      <c r="BH4" s="251"/>
      <c r="BI4" s="122" t="s">
        <v>30</v>
      </c>
      <c r="BJ4" s="17"/>
      <c r="BK4" s="17"/>
      <c r="BL4" s="17"/>
      <c r="BM4" s="17"/>
      <c r="BN4" s="251"/>
      <c r="BO4" s="251"/>
      <c r="BP4" s="17"/>
      <c r="BQ4" s="17"/>
      <c r="BR4" s="17"/>
      <c r="BS4" s="17"/>
      <c r="BT4" s="17"/>
      <c r="BU4" s="251"/>
      <c r="BV4" s="251"/>
      <c r="BW4" s="17"/>
      <c r="BX4" s="17"/>
      <c r="BY4" s="17"/>
      <c r="BZ4" s="17"/>
      <c r="CA4" s="17"/>
      <c r="CB4" s="251"/>
      <c r="CC4" s="251"/>
      <c r="CD4" s="17"/>
      <c r="CE4" s="17"/>
      <c r="CF4" s="17"/>
      <c r="CG4" s="17"/>
      <c r="CH4" s="17"/>
      <c r="CI4" s="251"/>
      <c r="CJ4" s="251"/>
      <c r="CK4" s="17"/>
      <c r="CL4" s="17"/>
      <c r="CM4" s="17"/>
      <c r="CN4" s="17"/>
      <c r="CO4" s="17"/>
      <c r="CP4" s="251"/>
      <c r="CQ4" s="251"/>
      <c r="CR4" s="17"/>
      <c r="CS4" s="17"/>
      <c r="CT4" s="17"/>
      <c r="CU4" s="17"/>
      <c r="CV4" s="17"/>
      <c r="CW4" s="251"/>
      <c r="CX4" s="251"/>
      <c r="CY4" s="17"/>
      <c r="CZ4" s="17"/>
      <c r="DA4" s="17"/>
      <c r="DB4" s="17"/>
      <c r="DC4" s="17"/>
      <c r="DD4" s="251"/>
      <c r="DE4" s="251"/>
      <c r="DF4" s="17"/>
      <c r="DG4" s="17"/>
      <c r="DH4" s="17"/>
      <c r="DI4" s="17"/>
      <c r="DJ4" s="17"/>
      <c r="DK4" s="251"/>
      <c r="DL4" s="251"/>
      <c r="DM4" s="17"/>
      <c r="DN4" s="17"/>
      <c r="DO4" s="17"/>
      <c r="DP4" s="17"/>
      <c r="DQ4" s="17"/>
      <c r="DR4" s="17">
        <f t="shared" si="3"/>
        <v>11</v>
      </c>
    </row>
    <row r="5" spans="2:122" ht="30" customHeight="1" thickBot="1" x14ac:dyDescent="0.25">
      <c r="B5" s="141" t="s">
        <v>31</v>
      </c>
      <c r="C5" s="6" t="s">
        <v>24</v>
      </c>
      <c r="D5" s="6"/>
      <c r="E5" s="230">
        <v>46015</v>
      </c>
      <c r="F5" s="38">
        <v>46031</v>
      </c>
      <c r="G5" s="8">
        <f t="shared" ref="G5:G19" si="5">F5+7</f>
        <v>46038</v>
      </c>
      <c r="H5" s="8" t="s">
        <v>43</v>
      </c>
      <c r="I5" s="7">
        <f t="shared" ref="I5:I13" si="6">G5+7</f>
        <v>46045</v>
      </c>
      <c r="J5" s="30">
        <f t="shared" si="4"/>
        <v>46045</v>
      </c>
      <c r="K5" s="30"/>
      <c r="L5" s="30"/>
      <c r="M5" s="189" t="s">
        <v>191</v>
      </c>
      <c r="N5" s="30"/>
      <c r="O5" s="30"/>
      <c r="P5" s="30"/>
      <c r="Q5" s="30"/>
      <c r="R5" s="30"/>
      <c r="S5" s="30"/>
      <c r="T5" s="30"/>
      <c r="U5" s="30"/>
      <c r="V5" s="30"/>
      <c r="W5" s="7"/>
      <c r="X5" s="48"/>
      <c r="Y5" s="119">
        <v>75</v>
      </c>
      <c r="Z5" s="17">
        <v>4</v>
      </c>
      <c r="AA5" s="17" t="s">
        <v>32</v>
      </c>
      <c r="AB5" s="17">
        <f>Y5/Capacity!$B$2</f>
        <v>10.714285714285714</v>
      </c>
      <c r="AC5" s="17">
        <f>Y5/Capacity!$B$3</f>
        <v>9.375</v>
      </c>
      <c r="AD5" s="17"/>
      <c r="AE5" s="251"/>
      <c r="AF5" s="251"/>
      <c r="AG5" s="17"/>
      <c r="AH5" s="17"/>
      <c r="AI5" s="17"/>
      <c r="AJ5" s="17"/>
      <c r="AK5" s="17"/>
      <c r="AL5" s="251"/>
      <c r="AM5" s="251"/>
      <c r="AN5" s="17"/>
      <c r="AO5" s="17"/>
      <c r="AP5" s="17"/>
      <c r="AQ5" s="17"/>
      <c r="AR5" s="17"/>
      <c r="AS5" s="251"/>
      <c r="AT5" s="251"/>
      <c r="AU5" s="17"/>
      <c r="AV5" s="17"/>
      <c r="AW5" s="17"/>
      <c r="AX5" s="17"/>
      <c r="AY5" s="17"/>
      <c r="AZ5" s="251"/>
      <c r="BA5" s="251"/>
      <c r="BB5" s="17"/>
      <c r="BC5" s="17"/>
      <c r="BD5" s="17"/>
      <c r="BE5" s="17"/>
      <c r="BF5" s="17"/>
      <c r="BG5" s="251"/>
      <c r="BH5" s="251"/>
      <c r="BI5" s="17" t="s">
        <v>26</v>
      </c>
      <c r="BJ5" s="17" t="s">
        <v>26</v>
      </c>
      <c r="BK5" s="17" t="s">
        <v>26</v>
      </c>
      <c r="BL5" s="17" t="s">
        <v>26</v>
      </c>
      <c r="BM5" s="17" t="s">
        <v>26</v>
      </c>
      <c r="BN5" s="251"/>
      <c r="BO5" s="251"/>
      <c r="BP5" s="17" t="s">
        <v>26</v>
      </c>
      <c r="BQ5" s="17" t="s">
        <v>26</v>
      </c>
      <c r="BR5" s="17" t="s">
        <v>26</v>
      </c>
      <c r="BS5" s="17" t="s">
        <v>26</v>
      </c>
      <c r="BT5" s="17" t="s">
        <v>26</v>
      </c>
      <c r="BU5" s="251"/>
      <c r="BV5" s="251"/>
      <c r="BW5" s="122" t="s">
        <v>30</v>
      </c>
      <c r="BX5" s="17"/>
      <c r="BY5" s="17"/>
      <c r="BZ5" s="17"/>
      <c r="CA5" s="17"/>
      <c r="CB5" s="251"/>
      <c r="CC5" s="251"/>
      <c r="CD5" s="17"/>
      <c r="CE5" s="17"/>
      <c r="CF5" s="17"/>
      <c r="CG5" s="17"/>
      <c r="CH5" s="17"/>
      <c r="CI5" s="251"/>
      <c r="CJ5" s="251"/>
      <c r="CK5" s="17"/>
      <c r="CL5" s="17"/>
      <c r="CM5" s="17"/>
      <c r="CN5" s="17"/>
      <c r="CO5" s="17"/>
      <c r="CP5" s="251"/>
      <c r="CQ5" s="251"/>
      <c r="CR5" s="17"/>
      <c r="CS5" s="17"/>
      <c r="CT5" s="17"/>
      <c r="CU5" s="17"/>
      <c r="CV5" s="17"/>
      <c r="CW5" s="251"/>
      <c r="CX5" s="251"/>
      <c r="CY5" s="17"/>
      <c r="CZ5" s="17"/>
      <c r="DA5" s="17"/>
      <c r="DB5" s="17"/>
      <c r="DC5" s="17"/>
      <c r="DD5" s="251"/>
      <c r="DE5" s="251"/>
      <c r="DF5" s="17"/>
      <c r="DG5" s="17"/>
      <c r="DH5" s="17"/>
      <c r="DI5" s="17"/>
      <c r="DJ5" s="17"/>
      <c r="DK5" s="251"/>
      <c r="DL5" s="251"/>
      <c r="DM5" s="17"/>
      <c r="DN5" s="17"/>
      <c r="DO5" s="17"/>
      <c r="DP5" s="17"/>
      <c r="DQ5" s="17"/>
      <c r="DR5" s="17">
        <f t="shared" si="3"/>
        <v>10</v>
      </c>
    </row>
    <row r="6" spans="2:122" ht="30" customHeight="1" thickBot="1" x14ac:dyDescent="0.25">
      <c r="B6" s="141" t="s">
        <v>33</v>
      </c>
      <c r="C6" s="6" t="s">
        <v>24</v>
      </c>
      <c r="D6" s="6"/>
      <c r="E6" s="230">
        <v>46015</v>
      </c>
      <c r="F6" s="38">
        <v>46031</v>
      </c>
      <c r="G6" s="8">
        <f t="shared" si="5"/>
        <v>46038</v>
      </c>
      <c r="H6" s="8" t="s">
        <v>43</v>
      </c>
      <c r="I6" s="7">
        <f>G6+5</f>
        <v>46043</v>
      </c>
      <c r="J6" s="30">
        <f t="shared" si="4"/>
        <v>46043</v>
      </c>
      <c r="K6" s="30"/>
      <c r="L6" s="30"/>
      <c r="M6" s="189" t="s">
        <v>191</v>
      </c>
      <c r="N6" s="30"/>
      <c r="O6" s="30"/>
      <c r="P6" s="30"/>
      <c r="Q6" s="30"/>
      <c r="R6" s="30"/>
      <c r="S6" s="30"/>
      <c r="T6" s="30"/>
      <c r="U6" s="30"/>
      <c r="V6" s="30"/>
      <c r="W6" s="7"/>
      <c r="X6" s="48"/>
      <c r="Y6" s="119">
        <v>40</v>
      </c>
      <c r="Z6" s="17">
        <v>3</v>
      </c>
      <c r="AA6" s="17" t="s">
        <v>34</v>
      </c>
      <c r="AB6" s="17">
        <f>Y6/Capacity!$B$2</f>
        <v>5.7142857142857144</v>
      </c>
      <c r="AC6" s="17">
        <f>Y6/Capacity!$B$3</f>
        <v>5</v>
      </c>
      <c r="AD6" s="17"/>
      <c r="AE6" s="251"/>
      <c r="AF6" s="251"/>
      <c r="AG6" s="17"/>
      <c r="AH6" s="17"/>
      <c r="AI6" s="17"/>
      <c r="AJ6" s="17"/>
      <c r="AK6" s="17"/>
      <c r="AL6" s="251"/>
      <c r="AM6" s="251"/>
      <c r="AN6" s="17"/>
      <c r="AO6" s="17"/>
      <c r="AP6" s="17"/>
      <c r="AQ6" s="17"/>
      <c r="AR6" s="17"/>
      <c r="AS6" s="251"/>
      <c r="AT6" s="251"/>
      <c r="AU6" s="17"/>
      <c r="AV6" s="17"/>
      <c r="AW6" s="17" t="s">
        <v>20</v>
      </c>
      <c r="AX6" s="17" t="s">
        <v>20</v>
      </c>
      <c r="AY6" s="17" t="s">
        <v>20</v>
      </c>
      <c r="AZ6" s="251"/>
      <c r="BA6" s="251"/>
      <c r="BB6" s="17" t="s">
        <v>20</v>
      </c>
      <c r="BC6" s="17" t="s">
        <v>26</v>
      </c>
      <c r="BD6" s="17" t="s">
        <v>26</v>
      </c>
      <c r="BE6" s="17" t="s">
        <v>26</v>
      </c>
      <c r="BF6" s="17" t="s">
        <v>26</v>
      </c>
      <c r="BG6" s="251"/>
      <c r="BH6" s="251"/>
      <c r="BI6" s="17" t="s">
        <v>26</v>
      </c>
      <c r="BJ6" s="142" t="s">
        <v>27</v>
      </c>
      <c r="BK6" s="17"/>
      <c r="BL6" s="17"/>
      <c r="BM6" s="17"/>
      <c r="BN6" s="251"/>
      <c r="BO6" s="251"/>
      <c r="BP6" s="17"/>
      <c r="BQ6" s="17"/>
      <c r="BR6" s="17"/>
      <c r="BS6" s="17"/>
      <c r="BT6" s="17"/>
      <c r="BU6" s="251"/>
      <c r="BV6" s="251"/>
      <c r="BW6" s="17"/>
      <c r="BX6" s="17"/>
      <c r="BY6" s="17"/>
      <c r="BZ6" s="17"/>
      <c r="CA6" s="17"/>
      <c r="CB6" s="251"/>
      <c r="CC6" s="251"/>
      <c r="CD6" s="17"/>
      <c r="CE6" s="17"/>
      <c r="CF6" s="17"/>
      <c r="CG6" s="17"/>
      <c r="CH6" s="17"/>
      <c r="CI6" s="251"/>
      <c r="CJ6" s="251"/>
      <c r="CK6" s="17"/>
      <c r="CL6" s="17"/>
      <c r="CM6" s="17"/>
      <c r="CN6" s="17"/>
      <c r="CO6" s="17"/>
      <c r="CP6" s="251"/>
      <c r="CQ6" s="251"/>
      <c r="CR6" s="17"/>
      <c r="CS6" s="17"/>
      <c r="CT6" s="17"/>
      <c r="CU6" s="17"/>
      <c r="CV6" s="17"/>
      <c r="CW6" s="251"/>
      <c r="CX6" s="251"/>
      <c r="CY6" s="17"/>
      <c r="CZ6" s="17"/>
      <c r="DA6" s="17"/>
      <c r="DB6" s="17"/>
      <c r="DC6" s="17"/>
      <c r="DD6" s="251"/>
      <c r="DE6" s="251"/>
      <c r="DF6" s="17"/>
      <c r="DG6" s="17"/>
      <c r="DH6" s="17"/>
      <c r="DI6" s="17"/>
      <c r="DJ6" s="17"/>
      <c r="DK6" s="251"/>
      <c r="DL6" s="251"/>
      <c r="DM6" s="17"/>
      <c r="DN6" s="17"/>
      <c r="DO6" s="17"/>
      <c r="DP6" s="17"/>
      <c r="DQ6" s="17"/>
      <c r="DR6" s="17">
        <f t="shared" si="3"/>
        <v>5</v>
      </c>
    </row>
    <row r="7" spans="2:122" ht="30" customHeight="1" thickBot="1" x14ac:dyDescent="0.25">
      <c r="B7" s="141" t="s">
        <v>35</v>
      </c>
      <c r="C7" s="6" t="s">
        <v>24</v>
      </c>
      <c r="D7" s="6"/>
      <c r="E7" s="230">
        <v>46015</v>
      </c>
      <c r="F7" s="38">
        <v>46031</v>
      </c>
      <c r="G7" s="8">
        <f>F7+14</f>
        <v>46045</v>
      </c>
      <c r="H7" s="8" t="s">
        <v>43</v>
      </c>
      <c r="I7" s="7">
        <f>G7+6</f>
        <v>46051</v>
      </c>
      <c r="J7" s="30">
        <f t="shared" si="4"/>
        <v>46051</v>
      </c>
      <c r="K7" s="30"/>
      <c r="L7" s="30"/>
      <c r="M7" s="189" t="s">
        <v>191</v>
      </c>
      <c r="N7" s="30"/>
      <c r="O7" s="30"/>
      <c r="P7" s="30"/>
      <c r="Q7" s="30"/>
      <c r="R7" s="30"/>
      <c r="S7" s="30"/>
      <c r="T7" s="30"/>
      <c r="U7" s="30"/>
      <c r="V7" s="30"/>
      <c r="W7" s="7"/>
      <c r="X7" s="48"/>
      <c r="Y7" s="119">
        <v>75</v>
      </c>
      <c r="Z7" s="17">
        <v>5</v>
      </c>
      <c r="AA7" s="17" t="s">
        <v>34</v>
      </c>
      <c r="AB7" s="17">
        <f>Y7/Capacity!$B$2</f>
        <v>10.714285714285714</v>
      </c>
      <c r="AC7" s="17">
        <f>Y7/Capacity!$B$3</f>
        <v>9.375</v>
      </c>
      <c r="AD7" s="17"/>
      <c r="AE7" s="251"/>
      <c r="AF7" s="251"/>
      <c r="AG7" s="17"/>
      <c r="AH7" s="17"/>
      <c r="AI7" s="17"/>
      <c r="AJ7" s="17"/>
      <c r="AK7" s="17"/>
      <c r="AL7" s="251"/>
      <c r="AM7" s="251"/>
      <c r="AN7" s="17"/>
      <c r="AO7" s="17"/>
      <c r="AP7" s="17"/>
      <c r="AQ7" s="17"/>
      <c r="AR7" s="17"/>
      <c r="AS7" s="251"/>
      <c r="AT7" s="251"/>
      <c r="AU7" s="17"/>
      <c r="AV7" s="17"/>
      <c r="AW7" s="17"/>
      <c r="AX7" s="17"/>
      <c r="AY7" s="17"/>
      <c r="AZ7" s="251"/>
      <c r="BA7" s="251"/>
      <c r="BB7" s="17"/>
      <c r="BC7" s="17"/>
      <c r="BD7" s="17"/>
      <c r="BE7" s="17" t="s">
        <v>20</v>
      </c>
      <c r="BF7" s="17" t="s">
        <v>20</v>
      </c>
      <c r="BG7" s="251"/>
      <c r="BH7" s="251"/>
      <c r="BI7" s="17" t="s">
        <v>20</v>
      </c>
      <c r="BJ7" s="17" t="s">
        <v>26</v>
      </c>
      <c r="BK7" s="17" t="s">
        <v>26</v>
      </c>
      <c r="BL7" s="17" t="s">
        <v>26</v>
      </c>
      <c r="BM7" s="17" t="s">
        <v>26</v>
      </c>
      <c r="BN7" s="251"/>
      <c r="BO7" s="251"/>
      <c r="BP7" s="17" t="s">
        <v>26</v>
      </c>
      <c r="BQ7" s="17" t="s">
        <v>26</v>
      </c>
      <c r="BR7" s="17" t="s">
        <v>26</v>
      </c>
      <c r="BS7" s="17" t="s">
        <v>26</v>
      </c>
      <c r="BT7" s="17" t="s">
        <v>26</v>
      </c>
      <c r="BU7" s="251"/>
      <c r="BV7" s="251"/>
      <c r="BW7" s="17" t="s">
        <v>26</v>
      </c>
      <c r="BX7" s="17" t="s">
        <v>26</v>
      </c>
      <c r="BY7" s="142" t="s">
        <v>27</v>
      </c>
      <c r="BZ7" s="17"/>
      <c r="CA7" s="17"/>
      <c r="CB7" s="251"/>
      <c r="CC7" s="251"/>
      <c r="CD7" s="17"/>
      <c r="CE7" s="17"/>
      <c r="CF7" s="17"/>
      <c r="CG7" s="17"/>
      <c r="CH7" s="17"/>
      <c r="CI7" s="251"/>
      <c r="CJ7" s="251"/>
      <c r="CK7" s="17"/>
      <c r="CL7" s="17"/>
      <c r="CM7" s="17"/>
      <c r="CN7" s="17"/>
      <c r="CO7" s="17"/>
      <c r="CP7" s="251"/>
      <c r="CQ7" s="251"/>
      <c r="CR7" s="17"/>
      <c r="CS7" s="17"/>
      <c r="CT7" s="17"/>
      <c r="CU7" s="17"/>
      <c r="CV7" s="17"/>
      <c r="CW7" s="251"/>
      <c r="CX7" s="251"/>
      <c r="CY7" s="17"/>
      <c r="CZ7" s="17"/>
      <c r="DA7" s="17"/>
      <c r="DB7" s="17"/>
      <c r="DC7" s="17"/>
      <c r="DD7" s="251"/>
      <c r="DE7" s="251"/>
      <c r="DF7" s="17"/>
      <c r="DG7" s="17"/>
      <c r="DH7" s="17"/>
      <c r="DI7" s="17"/>
      <c r="DJ7" s="17"/>
      <c r="DK7" s="251"/>
      <c r="DL7" s="251"/>
      <c r="DM7" s="17"/>
      <c r="DN7" s="17"/>
      <c r="DO7" s="17"/>
      <c r="DP7" s="17"/>
      <c r="DQ7" s="17"/>
      <c r="DR7" s="17">
        <f t="shared" si="3"/>
        <v>11</v>
      </c>
    </row>
    <row r="8" spans="2:122" ht="30" customHeight="1" thickBot="1" x14ac:dyDescent="0.25">
      <c r="B8" s="141" t="s">
        <v>36</v>
      </c>
      <c r="C8" s="6" t="s">
        <v>24</v>
      </c>
      <c r="D8" s="6"/>
      <c r="E8" s="230">
        <v>46015</v>
      </c>
      <c r="F8" s="38">
        <v>46038</v>
      </c>
      <c r="G8" s="8">
        <f t="shared" si="5"/>
        <v>46045</v>
      </c>
      <c r="H8" s="8" t="s">
        <v>43</v>
      </c>
      <c r="I8" s="7">
        <f t="shared" si="6"/>
        <v>46052</v>
      </c>
      <c r="J8" s="30">
        <f t="shared" si="4"/>
        <v>46052</v>
      </c>
      <c r="K8" s="30"/>
      <c r="L8" s="30"/>
      <c r="M8" s="189" t="s">
        <v>191</v>
      </c>
      <c r="N8" s="30"/>
      <c r="O8" s="30"/>
      <c r="P8" s="30"/>
      <c r="Q8" s="30"/>
      <c r="R8" s="30"/>
      <c r="S8" s="30"/>
      <c r="T8" s="30"/>
      <c r="U8" s="30"/>
      <c r="V8" s="30"/>
      <c r="W8" s="7"/>
      <c r="X8" s="48"/>
      <c r="Y8" s="119">
        <v>85</v>
      </c>
      <c r="Z8" s="17">
        <v>7</v>
      </c>
      <c r="AA8" s="17" t="s">
        <v>34</v>
      </c>
      <c r="AB8" s="17">
        <f>Y8/Capacity!$B$2</f>
        <v>12.142857142857142</v>
      </c>
      <c r="AC8" s="17">
        <f>Y8/Capacity!$B$3</f>
        <v>10.625</v>
      </c>
      <c r="AD8" s="17"/>
      <c r="AE8" s="251"/>
      <c r="AF8" s="251"/>
      <c r="AG8" s="17"/>
      <c r="AH8" s="17"/>
      <c r="AI8" s="17"/>
      <c r="AJ8" s="17"/>
      <c r="AK8" s="17"/>
      <c r="AL8" s="251"/>
      <c r="AM8" s="251"/>
      <c r="AN8" s="17"/>
      <c r="AO8" s="17"/>
      <c r="AP8" s="17"/>
      <c r="AQ8" s="17"/>
      <c r="AR8" s="17"/>
      <c r="AS8" s="251"/>
      <c r="AT8" s="251"/>
      <c r="AU8" s="17"/>
      <c r="AV8" s="17"/>
      <c r="AW8" s="17"/>
      <c r="AX8" s="17"/>
      <c r="AY8" s="17"/>
      <c r="AZ8" s="251"/>
      <c r="BA8" s="251"/>
      <c r="BB8" s="17"/>
      <c r="BC8" s="17"/>
      <c r="BD8" s="17"/>
      <c r="BE8" s="17"/>
      <c r="BF8" s="17"/>
      <c r="BG8" s="251"/>
      <c r="BH8" s="251"/>
      <c r="BI8" s="17"/>
      <c r="BJ8" s="17"/>
      <c r="BK8" s="17"/>
      <c r="BL8" s="17"/>
      <c r="BM8" s="17"/>
      <c r="BN8" s="251"/>
      <c r="BO8" s="251"/>
      <c r="BP8" s="17"/>
      <c r="BQ8" s="17"/>
      <c r="BR8" s="17"/>
      <c r="BS8" s="17"/>
      <c r="BT8" s="17" t="s">
        <v>20</v>
      </c>
      <c r="BU8" s="251"/>
      <c r="BV8" s="251"/>
      <c r="BW8" s="17" t="s">
        <v>20</v>
      </c>
      <c r="BX8" s="17" t="s">
        <v>20</v>
      </c>
      <c r="BY8" s="17" t="s">
        <v>26</v>
      </c>
      <c r="BZ8" s="17" t="s">
        <v>26</v>
      </c>
      <c r="CA8" s="17" t="s">
        <v>26</v>
      </c>
      <c r="CB8" s="251"/>
      <c r="CC8" s="251"/>
      <c r="CD8" s="17" t="s">
        <v>26</v>
      </c>
      <c r="CE8" s="17" t="s">
        <v>26</v>
      </c>
      <c r="CF8" s="17" t="s">
        <v>26</v>
      </c>
      <c r="CG8" s="17" t="s">
        <v>26</v>
      </c>
      <c r="CH8" s="17" t="s">
        <v>26</v>
      </c>
      <c r="CI8" s="251"/>
      <c r="CJ8" s="251"/>
      <c r="CK8" s="17" t="s">
        <v>26</v>
      </c>
      <c r="CL8" s="17" t="s">
        <v>26</v>
      </c>
      <c r="CM8" s="17" t="s">
        <v>26</v>
      </c>
      <c r="CN8" s="17" t="s">
        <v>26</v>
      </c>
      <c r="CO8" s="142" t="s">
        <v>27</v>
      </c>
      <c r="CP8" s="251"/>
      <c r="CQ8" s="251"/>
      <c r="CR8" s="17"/>
      <c r="CS8" s="17"/>
      <c r="CT8" s="17"/>
      <c r="CU8" s="17"/>
      <c r="CV8" s="17"/>
      <c r="CW8" s="251"/>
      <c r="CX8" s="251"/>
      <c r="CY8" s="17"/>
      <c r="CZ8" s="17"/>
      <c r="DA8" s="17"/>
      <c r="DB8" s="17"/>
      <c r="DC8" s="17"/>
      <c r="DD8" s="251"/>
      <c r="DE8" s="251"/>
      <c r="DF8" s="17"/>
      <c r="DG8" s="17"/>
      <c r="DH8" s="17"/>
      <c r="DI8" s="17"/>
      <c r="DJ8" s="17"/>
      <c r="DK8" s="251"/>
      <c r="DL8" s="251"/>
      <c r="DM8" s="17"/>
      <c r="DN8" s="17"/>
      <c r="DO8" s="17"/>
      <c r="DP8" s="17"/>
      <c r="DQ8" s="17"/>
      <c r="DR8" s="17">
        <f t="shared" si="3"/>
        <v>12</v>
      </c>
    </row>
    <row r="9" spans="2:122" ht="30" customHeight="1" thickBot="1" x14ac:dyDescent="0.25">
      <c r="B9" s="141" t="s">
        <v>37</v>
      </c>
      <c r="C9" s="6" t="s">
        <v>24</v>
      </c>
      <c r="D9" s="6"/>
      <c r="E9" s="230">
        <v>46015</v>
      </c>
      <c r="F9" s="38">
        <v>46038</v>
      </c>
      <c r="G9" s="8">
        <f t="shared" si="5"/>
        <v>46045</v>
      </c>
      <c r="H9" s="8" t="s">
        <v>43</v>
      </c>
      <c r="I9" s="7">
        <f t="shared" si="6"/>
        <v>46052</v>
      </c>
      <c r="J9" s="30">
        <f t="shared" si="4"/>
        <v>46052</v>
      </c>
      <c r="K9" s="30"/>
      <c r="L9" s="30"/>
      <c r="M9" s="189" t="s">
        <v>191</v>
      </c>
      <c r="N9" s="30"/>
      <c r="O9" s="30"/>
      <c r="P9" s="30"/>
      <c r="Q9" s="30"/>
      <c r="R9" s="30"/>
      <c r="S9" s="30"/>
      <c r="T9" s="30"/>
      <c r="U9" s="30"/>
      <c r="V9" s="30"/>
      <c r="W9" s="7"/>
      <c r="X9" s="48"/>
      <c r="Y9" s="129">
        <v>40</v>
      </c>
      <c r="Z9" s="17">
        <v>6</v>
      </c>
      <c r="AA9" s="17" t="s">
        <v>32</v>
      </c>
      <c r="AB9" s="17">
        <f>Y9/Capacity!$B$2</f>
        <v>5.7142857142857144</v>
      </c>
      <c r="AC9" s="17">
        <f>Y9/Capacity!$B$3</f>
        <v>5</v>
      </c>
      <c r="AD9" s="17"/>
      <c r="AE9" s="251"/>
      <c r="AF9" s="251"/>
      <c r="AG9" s="17"/>
      <c r="AH9" s="17"/>
      <c r="AI9" s="17"/>
      <c r="AJ9" s="17"/>
      <c r="AK9" s="17"/>
      <c r="AL9" s="251"/>
      <c r="AM9" s="251"/>
      <c r="AN9" s="17"/>
      <c r="AO9" s="17"/>
      <c r="AP9" s="17"/>
      <c r="AQ9" s="17"/>
      <c r="AR9" s="17"/>
      <c r="AS9" s="251"/>
      <c r="AT9" s="251"/>
      <c r="AU9" s="17"/>
      <c r="AV9" s="17"/>
      <c r="AW9" s="17"/>
      <c r="AX9" s="17"/>
      <c r="AY9" s="17"/>
      <c r="AZ9" s="251"/>
      <c r="BA9" s="251"/>
      <c r="BB9" s="17"/>
      <c r="BC9" s="17"/>
      <c r="BD9" s="17"/>
      <c r="BE9" s="17"/>
      <c r="BF9" s="17"/>
      <c r="BG9" s="251"/>
      <c r="BH9" s="251"/>
      <c r="BI9" s="17"/>
      <c r="BJ9" s="17"/>
      <c r="BK9" s="17"/>
      <c r="BL9" s="17"/>
      <c r="BM9" s="17"/>
      <c r="BN9" s="251"/>
      <c r="BO9" s="251"/>
      <c r="BP9" s="17"/>
      <c r="BQ9" s="17"/>
      <c r="BR9" s="17"/>
      <c r="BS9" s="17"/>
      <c r="BT9" s="17" t="s">
        <v>20</v>
      </c>
      <c r="BU9" s="251"/>
      <c r="BV9" s="251"/>
      <c r="BW9" s="17" t="s">
        <v>26</v>
      </c>
      <c r="BX9" s="17" t="s">
        <v>26</v>
      </c>
      <c r="BY9" s="17" t="s">
        <v>26</v>
      </c>
      <c r="BZ9" s="17" t="s">
        <v>26</v>
      </c>
      <c r="CA9" s="17" t="s">
        <v>26</v>
      </c>
      <c r="CB9" s="251"/>
      <c r="CC9" s="251"/>
      <c r="CD9" s="17" t="s">
        <v>26</v>
      </c>
      <c r="CE9" s="17" t="s">
        <v>26</v>
      </c>
      <c r="CF9" s="17" t="s">
        <v>26</v>
      </c>
      <c r="CG9" s="17" t="s">
        <v>26</v>
      </c>
      <c r="CH9" s="17" t="s">
        <v>26</v>
      </c>
      <c r="CI9" s="251"/>
      <c r="CJ9" s="251"/>
      <c r="CK9" s="122" t="s">
        <v>27</v>
      </c>
      <c r="CL9" s="17"/>
      <c r="CM9" s="17"/>
      <c r="CN9" s="17"/>
      <c r="CO9" s="17"/>
      <c r="CP9" s="251"/>
      <c r="CQ9" s="251"/>
      <c r="CR9" s="17"/>
      <c r="CS9" s="17"/>
      <c r="CT9" s="17"/>
      <c r="CU9" s="17"/>
      <c r="CV9" s="17"/>
      <c r="CW9" s="251"/>
      <c r="CX9" s="251"/>
      <c r="CY9" s="17"/>
      <c r="CZ9" s="17"/>
      <c r="DA9" s="17"/>
      <c r="DB9" s="17"/>
      <c r="DC9" s="17"/>
      <c r="DD9" s="251"/>
      <c r="DE9" s="251"/>
      <c r="DF9" s="17"/>
      <c r="DG9" s="17"/>
      <c r="DH9" s="17"/>
      <c r="DI9" s="17"/>
      <c r="DJ9" s="17"/>
      <c r="DK9" s="251"/>
      <c r="DL9" s="251"/>
      <c r="DM9" s="17"/>
      <c r="DN9" s="17"/>
      <c r="DO9" s="17"/>
      <c r="DP9" s="17"/>
      <c r="DQ9" s="17"/>
      <c r="DR9" s="17">
        <f t="shared" si="3"/>
        <v>10</v>
      </c>
    </row>
    <row r="10" spans="2:122" ht="30" customHeight="1" thickBot="1" x14ac:dyDescent="0.25">
      <c r="B10" s="141" t="s">
        <v>38</v>
      </c>
      <c r="C10" s="6" t="s">
        <v>63</v>
      </c>
      <c r="D10" s="6"/>
      <c r="E10" s="7">
        <v>46038</v>
      </c>
      <c r="F10" s="38">
        <f>E10+7</f>
        <v>46045</v>
      </c>
      <c r="G10" s="8">
        <f t="shared" si="5"/>
        <v>46052</v>
      </c>
      <c r="H10" s="8" t="s">
        <v>43</v>
      </c>
      <c r="I10" s="7">
        <f t="shared" si="6"/>
        <v>46059</v>
      </c>
      <c r="J10" s="30">
        <f t="shared" si="4"/>
        <v>46059</v>
      </c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7"/>
      <c r="X10" s="48"/>
      <c r="Y10" s="129">
        <v>40</v>
      </c>
      <c r="Z10" s="17"/>
      <c r="AA10" s="17" t="s">
        <v>41</v>
      </c>
      <c r="AB10" s="17">
        <f>Y10/Capacity!$B$2</f>
        <v>5.7142857142857144</v>
      </c>
      <c r="AC10" s="17">
        <f>Y10/Capacity!$B$3</f>
        <v>5</v>
      </c>
      <c r="AD10" s="17"/>
      <c r="AE10" s="251"/>
      <c r="AF10" s="251"/>
      <c r="AG10" s="17"/>
      <c r="AH10" s="17"/>
      <c r="AI10" s="17"/>
      <c r="AJ10" s="17"/>
      <c r="AK10" s="17"/>
      <c r="AL10" s="251"/>
      <c r="AM10" s="251"/>
      <c r="AN10" s="17"/>
      <c r="AO10" s="17"/>
      <c r="AP10" s="17"/>
      <c r="AQ10" s="17"/>
      <c r="AR10" s="17"/>
      <c r="AS10" s="251"/>
      <c r="AT10" s="251"/>
      <c r="AU10" s="17"/>
      <c r="AV10" s="17"/>
      <c r="AW10" s="17"/>
      <c r="AX10" s="17"/>
      <c r="AY10" s="17"/>
      <c r="AZ10" s="251"/>
      <c r="BA10" s="251"/>
      <c r="BB10" s="17"/>
      <c r="BC10" s="17"/>
      <c r="BD10" s="17"/>
      <c r="BE10" s="17"/>
      <c r="BF10" s="17"/>
      <c r="BG10" s="251"/>
      <c r="BH10" s="251"/>
      <c r="BI10" s="17"/>
      <c r="BJ10" s="17"/>
      <c r="BK10" s="17"/>
      <c r="BL10" s="17"/>
      <c r="BM10" s="17"/>
      <c r="BN10" s="251"/>
      <c r="BO10" s="251"/>
      <c r="BP10" s="17"/>
      <c r="BQ10" s="17"/>
      <c r="BR10" s="17"/>
      <c r="BS10" s="17" t="s">
        <v>26</v>
      </c>
      <c r="BT10" s="17" t="s">
        <v>26</v>
      </c>
      <c r="BU10" s="251"/>
      <c r="BV10" s="251"/>
      <c r="BW10" s="17" t="s">
        <v>26</v>
      </c>
      <c r="BX10" s="17" t="s">
        <v>26</v>
      </c>
      <c r="BY10" s="17" t="s">
        <v>26</v>
      </c>
      <c r="BZ10" s="122" t="s">
        <v>27</v>
      </c>
      <c r="CA10" s="17"/>
      <c r="CB10" s="251"/>
      <c r="CC10" s="251"/>
      <c r="CD10" s="17"/>
      <c r="CE10" s="17"/>
      <c r="CF10" s="17"/>
      <c r="CG10" s="17"/>
      <c r="CH10" s="17"/>
      <c r="CI10" s="251"/>
      <c r="CJ10" s="251"/>
      <c r="CK10" s="17"/>
      <c r="CL10" s="17"/>
      <c r="CM10" s="17"/>
      <c r="CN10" s="17"/>
      <c r="CO10" s="17"/>
      <c r="CP10" s="251"/>
      <c r="CQ10" s="251"/>
      <c r="CR10" s="17"/>
      <c r="CS10" s="17"/>
      <c r="CT10" s="17"/>
      <c r="CU10" s="17"/>
      <c r="CV10" s="17"/>
      <c r="CW10" s="251"/>
      <c r="CX10" s="251"/>
      <c r="CY10" s="17"/>
      <c r="CZ10" s="17"/>
      <c r="DA10" s="17"/>
      <c r="DB10" s="17"/>
      <c r="DC10" s="17"/>
      <c r="DD10" s="251"/>
      <c r="DE10" s="251"/>
      <c r="DF10" s="17"/>
      <c r="DG10" s="17"/>
      <c r="DH10" s="17"/>
      <c r="DI10" s="17"/>
      <c r="DJ10" s="17"/>
      <c r="DK10" s="251"/>
      <c r="DL10" s="251"/>
      <c r="DM10" s="17"/>
      <c r="DN10" s="17"/>
      <c r="DO10" s="17"/>
      <c r="DP10" s="17"/>
      <c r="DQ10" s="17"/>
      <c r="DR10" s="17">
        <f t="shared" si="3"/>
        <v>5</v>
      </c>
    </row>
    <row r="11" spans="2:122" ht="30" customHeight="1" thickBot="1" x14ac:dyDescent="0.25">
      <c r="B11" s="143" t="s">
        <v>42</v>
      </c>
      <c r="C11" s="6" t="s">
        <v>24</v>
      </c>
      <c r="D11" s="6"/>
      <c r="E11" s="145">
        <v>46031</v>
      </c>
      <c r="F11" s="19">
        <v>46037</v>
      </c>
      <c r="G11" s="8">
        <f>F11+7</f>
        <v>46044</v>
      </c>
      <c r="H11" s="8" t="s">
        <v>43</v>
      </c>
      <c r="I11" s="7">
        <f>G11+7</f>
        <v>46051</v>
      </c>
      <c r="J11" s="30">
        <f>I11</f>
        <v>46051</v>
      </c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7" t="s">
        <v>44</v>
      </c>
      <c r="X11" s="48">
        <v>177</v>
      </c>
      <c r="Y11" s="48">
        <v>200</v>
      </c>
      <c r="Z11" s="17">
        <v>1</v>
      </c>
      <c r="AA11" s="17" t="s">
        <v>32</v>
      </c>
      <c r="AB11" s="17">
        <f>Y11/Capacity!$B$2</f>
        <v>28.571428571428573</v>
      </c>
      <c r="AC11" s="17">
        <f>Y11/Capacity!$B$3</f>
        <v>25</v>
      </c>
      <c r="AD11" s="17"/>
      <c r="AE11" s="251"/>
      <c r="AF11" s="251"/>
      <c r="AG11" s="17" t="s">
        <v>26</v>
      </c>
      <c r="AH11" s="17" t="s">
        <v>26</v>
      </c>
      <c r="AI11" s="17" t="s">
        <v>26</v>
      </c>
      <c r="AJ11" s="17" t="s">
        <v>26</v>
      </c>
      <c r="AK11" s="17" t="s">
        <v>26</v>
      </c>
      <c r="AL11" s="251"/>
      <c r="AM11" s="251"/>
      <c r="AN11" s="17" t="s">
        <v>26</v>
      </c>
      <c r="AO11" s="17" t="s">
        <v>26</v>
      </c>
      <c r="AP11" s="17" t="s">
        <v>26</v>
      </c>
      <c r="AQ11" s="17" t="s">
        <v>26</v>
      </c>
      <c r="AR11" s="17" t="s">
        <v>20</v>
      </c>
      <c r="AS11" s="251"/>
      <c r="AT11" s="251"/>
      <c r="AU11" s="17" t="s">
        <v>20</v>
      </c>
      <c r="AV11" s="17"/>
      <c r="AW11" s="17"/>
      <c r="AX11" s="17"/>
      <c r="AY11" s="17"/>
      <c r="AZ11" s="251"/>
      <c r="BA11" s="251"/>
      <c r="BB11" s="17"/>
      <c r="BC11" s="17"/>
      <c r="BD11" s="17" t="s">
        <v>20</v>
      </c>
      <c r="BE11" s="17" t="s">
        <v>20</v>
      </c>
      <c r="BF11" s="17" t="s">
        <v>20</v>
      </c>
      <c r="BG11" s="251"/>
      <c r="BH11" s="251"/>
      <c r="BI11" s="17" t="s">
        <v>20</v>
      </c>
      <c r="BJ11" s="17" t="s">
        <v>20</v>
      </c>
      <c r="BK11" s="17" t="s">
        <v>20</v>
      </c>
      <c r="BL11" s="17"/>
      <c r="BM11" s="17"/>
      <c r="BN11" s="251"/>
      <c r="BO11" s="251"/>
      <c r="BP11" s="17" t="s">
        <v>20</v>
      </c>
      <c r="BQ11" s="17" t="s">
        <v>20</v>
      </c>
      <c r="BR11" s="17" t="s">
        <v>20</v>
      </c>
      <c r="BS11" s="17" t="s">
        <v>20</v>
      </c>
      <c r="BT11" s="17"/>
      <c r="BU11" s="251"/>
      <c r="BV11" s="251"/>
      <c r="BW11" s="17"/>
      <c r="BX11" s="17"/>
      <c r="BY11" s="17"/>
      <c r="BZ11" s="17"/>
      <c r="CA11" s="17"/>
      <c r="CB11" s="251"/>
      <c r="CC11" s="251"/>
      <c r="CD11" s="17" t="s">
        <v>20</v>
      </c>
      <c r="CE11" s="17"/>
      <c r="CF11" s="17"/>
      <c r="CG11" s="17"/>
      <c r="CH11" s="17"/>
      <c r="CI11" s="251"/>
      <c r="CJ11" s="251"/>
      <c r="CK11" s="17" t="s">
        <v>26</v>
      </c>
      <c r="CL11" s="17" t="s">
        <v>26</v>
      </c>
      <c r="CM11" s="17" t="s">
        <v>26</v>
      </c>
      <c r="CN11" s="17" t="s">
        <v>26</v>
      </c>
      <c r="CO11" s="17" t="s">
        <v>26</v>
      </c>
      <c r="CP11" s="251"/>
      <c r="CQ11" s="251"/>
      <c r="CR11" s="17" t="s">
        <v>26</v>
      </c>
      <c r="CS11" s="17" t="s">
        <v>26</v>
      </c>
      <c r="CT11" s="17" t="s">
        <v>26</v>
      </c>
      <c r="CU11" s="17" t="s">
        <v>26</v>
      </c>
      <c r="CV11" s="17" t="s">
        <v>26</v>
      </c>
      <c r="CW11" s="251"/>
      <c r="CX11" s="251"/>
      <c r="CY11" s="17" t="s">
        <v>26</v>
      </c>
      <c r="CZ11" s="17" t="s">
        <v>26</v>
      </c>
      <c r="DA11" s="17" t="s">
        <v>26</v>
      </c>
      <c r="DB11" s="17" t="s">
        <v>26</v>
      </c>
      <c r="DC11" s="17" t="s">
        <v>26</v>
      </c>
      <c r="DD11" s="251"/>
      <c r="DE11" s="251"/>
      <c r="DF11" s="17" t="s">
        <v>26</v>
      </c>
      <c r="DG11" s="17" t="s">
        <v>26</v>
      </c>
      <c r="DH11" s="142" t="s">
        <v>27</v>
      </c>
      <c r="DI11" s="17"/>
      <c r="DJ11" s="17"/>
      <c r="DK11" s="251"/>
      <c r="DL11" s="251"/>
      <c r="DM11" s="17"/>
      <c r="DN11" s="17"/>
      <c r="DO11" s="17"/>
      <c r="DP11" s="17"/>
      <c r="DQ11" s="17"/>
      <c r="DR11" s="17">
        <f>COUNTIF(AD11:DQ11,"X")</f>
        <v>26</v>
      </c>
    </row>
    <row r="12" spans="2:122" ht="30" customHeight="1" thickBot="1" x14ac:dyDescent="0.25">
      <c r="B12" s="143" t="s">
        <v>45</v>
      </c>
      <c r="C12" s="6" t="s">
        <v>63</v>
      </c>
      <c r="D12" s="6"/>
      <c r="E12" s="231" t="s">
        <v>192</v>
      </c>
      <c r="F12" s="19">
        <v>46045</v>
      </c>
      <c r="G12" s="8">
        <f t="shared" si="5"/>
        <v>46052</v>
      </c>
      <c r="H12" s="8" t="s">
        <v>43</v>
      </c>
      <c r="I12" s="7">
        <f t="shared" si="6"/>
        <v>46059</v>
      </c>
      <c r="J12" s="30">
        <f t="shared" si="4"/>
        <v>46059</v>
      </c>
      <c r="K12" s="30"/>
      <c r="L12" s="30"/>
      <c r="M12" s="189" t="s">
        <v>191</v>
      </c>
      <c r="N12" s="30"/>
      <c r="O12" s="30"/>
      <c r="P12" s="30"/>
      <c r="Q12" s="30"/>
      <c r="R12" s="30"/>
      <c r="S12" s="30"/>
      <c r="T12" s="30"/>
      <c r="U12" s="30"/>
      <c r="V12" s="30"/>
      <c r="W12" s="7" t="s">
        <v>292</v>
      </c>
      <c r="X12" s="48">
        <v>260</v>
      </c>
      <c r="Y12" s="48">
        <v>180</v>
      </c>
      <c r="Z12" s="17">
        <v>4</v>
      </c>
      <c r="AA12" s="17" t="s">
        <v>49</v>
      </c>
      <c r="AB12" s="17">
        <f>Y12/Capacity!$B$2</f>
        <v>25.714285714285715</v>
      </c>
      <c r="AC12" s="17">
        <f>Y12/Capacity!$B$3</f>
        <v>22.5</v>
      </c>
      <c r="AD12" s="17"/>
      <c r="AE12" s="251"/>
      <c r="AF12" s="251"/>
      <c r="AG12" s="17"/>
      <c r="AH12" s="17"/>
      <c r="AI12" s="17"/>
      <c r="AJ12" s="17"/>
      <c r="AK12" s="17"/>
      <c r="AL12" s="251"/>
      <c r="AM12" s="251"/>
      <c r="AN12" s="17"/>
      <c r="AO12" s="17"/>
      <c r="AP12" s="17"/>
      <c r="AQ12" s="17"/>
      <c r="AR12" s="17"/>
      <c r="AS12" s="251"/>
      <c r="AT12" s="251"/>
      <c r="AU12" s="17"/>
      <c r="AV12" s="17"/>
      <c r="AW12" s="17"/>
      <c r="AX12" s="17"/>
      <c r="AY12" s="17"/>
      <c r="AZ12" s="251"/>
      <c r="BA12" s="251"/>
      <c r="BB12" s="17"/>
      <c r="BC12" s="17"/>
      <c r="BD12" s="17"/>
      <c r="BE12" s="17" t="s">
        <v>26</v>
      </c>
      <c r="BF12" s="17" t="s">
        <v>26</v>
      </c>
      <c r="BG12" s="251"/>
      <c r="BH12" s="251"/>
      <c r="BI12" s="17" t="s">
        <v>26</v>
      </c>
      <c r="BJ12" s="17" t="s">
        <v>26</v>
      </c>
      <c r="BK12" s="17" t="s">
        <v>26</v>
      </c>
      <c r="BL12" s="17" t="s">
        <v>26</v>
      </c>
      <c r="BM12" s="17" t="s">
        <v>26</v>
      </c>
      <c r="BN12" s="251"/>
      <c r="BO12" s="251"/>
      <c r="BP12" s="17" t="s">
        <v>26</v>
      </c>
      <c r="BQ12" s="17" t="s">
        <v>26</v>
      </c>
      <c r="BR12" s="17" t="s">
        <v>26</v>
      </c>
      <c r="BS12" s="17" t="s">
        <v>26</v>
      </c>
      <c r="BT12" s="17" t="s">
        <v>26</v>
      </c>
      <c r="BU12" s="251"/>
      <c r="BV12" s="251"/>
      <c r="BW12" s="17" t="s">
        <v>26</v>
      </c>
      <c r="BX12" s="17" t="s">
        <v>26</v>
      </c>
      <c r="BY12" s="17" t="s">
        <v>26</v>
      </c>
      <c r="BZ12" s="17" t="s">
        <v>26</v>
      </c>
      <c r="CA12" s="17" t="s">
        <v>26</v>
      </c>
      <c r="CB12" s="251"/>
      <c r="CC12" s="251"/>
      <c r="CD12" s="17" t="s">
        <v>26</v>
      </c>
      <c r="CE12" s="17" t="s">
        <v>26</v>
      </c>
      <c r="CF12" s="17" t="s">
        <v>26</v>
      </c>
      <c r="CG12" s="17" t="s">
        <v>26</v>
      </c>
      <c r="CH12" s="17" t="s">
        <v>26</v>
      </c>
      <c r="CI12" s="251"/>
      <c r="CJ12" s="251"/>
      <c r="CK12" s="17" t="s">
        <v>26</v>
      </c>
      <c r="CL12" s="17" t="s">
        <v>26</v>
      </c>
      <c r="CM12" s="17" t="s">
        <v>26</v>
      </c>
      <c r="CN12" s="17" t="s">
        <v>26</v>
      </c>
      <c r="CO12" s="142" t="s">
        <v>27</v>
      </c>
      <c r="CP12" s="251"/>
      <c r="CQ12" s="251"/>
      <c r="CR12" s="17"/>
      <c r="CS12" s="17"/>
      <c r="CT12" s="17"/>
      <c r="CU12" s="17"/>
      <c r="CV12" s="17"/>
      <c r="CW12" s="251"/>
      <c r="CX12" s="251"/>
      <c r="CY12" s="17"/>
      <c r="CZ12" s="17"/>
      <c r="DA12" s="17"/>
      <c r="DB12" s="17"/>
      <c r="DC12" s="17"/>
      <c r="DD12" s="251"/>
      <c r="DE12" s="251"/>
      <c r="DF12" s="17"/>
      <c r="DG12" s="17"/>
      <c r="DH12" s="17"/>
      <c r="DI12" s="17"/>
      <c r="DJ12" s="17"/>
      <c r="DK12" s="251"/>
      <c r="DL12" s="251"/>
      <c r="DM12" s="17"/>
      <c r="DN12" s="17"/>
      <c r="DO12" s="17"/>
      <c r="DP12" s="17"/>
      <c r="DQ12" s="17"/>
      <c r="DR12" s="17">
        <f t="shared" si="3"/>
        <v>26</v>
      </c>
    </row>
    <row r="13" spans="2:122" ht="30" customHeight="1" thickBot="1" x14ac:dyDescent="0.25">
      <c r="B13" s="143" t="s">
        <v>50</v>
      </c>
      <c r="C13" s="6" t="s">
        <v>63</v>
      </c>
      <c r="D13" s="6" t="s">
        <v>51</v>
      </c>
      <c r="E13" s="232" t="s">
        <v>192</v>
      </c>
      <c r="F13" s="19">
        <v>46041</v>
      </c>
      <c r="G13" s="8">
        <f t="shared" si="5"/>
        <v>46048</v>
      </c>
      <c r="H13" s="8" t="s">
        <v>43</v>
      </c>
      <c r="I13" s="7">
        <f t="shared" si="6"/>
        <v>46055</v>
      </c>
      <c r="J13" s="30">
        <f t="shared" si="4"/>
        <v>46055</v>
      </c>
      <c r="K13" s="30"/>
      <c r="L13" s="30"/>
      <c r="M13" s="189" t="s">
        <v>191</v>
      </c>
      <c r="N13" s="30"/>
      <c r="O13" s="30"/>
      <c r="P13" s="30"/>
      <c r="Q13" s="30"/>
      <c r="R13" s="30"/>
      <c r="S13" s="30"/>
      <c r="T13" s="30"/>
      <c r="U13" s="30"/>
      <c r="V13" s="30"/>
      <c r="W13" s="7" t="s">
        <v>53</v>
      </c>
      <c r="X13" s="48">
        <v>120</v>
      </c>
      <c r="Y13" s="48">
        <v>120</v>
      </c>
      <c r="Z13" s="17">
        <v>4</v>
      </c>
      <c r="AA13" s="17" t="s">
        <v>54</v>
      </c>
      <c r="AB13" s="17">
        <f>Y13/Capacity!$B$2</f>
        <v>17.142857142857142</v>
      </c>
      <c r="AC13" s="17">
        <f>Y13/Capacity!$B$3</f>
        <v>15</v>
      </c>
      <c r="AD13" s="17"/>
      <c r="AE13" s="251"/>
      <c r="AF13" s="251"/>
      <c r="AG13" s="17"/>
      <c r="AH13" s="17"/>
      <c r="AI13" s="17"/>
      <c r="AJ13" s="17"/>
      <c r="AK13" s="17"/>
      <c r="AL13" s="251"/>
      <c r="AM13" s="251"/>
      <c r="AN13" s="17"/>
      <c r="AO13" s="17"/>
      <c r="AP13" s="17"/>
      <c r="AQ13" s="17"/>
      <c r="AR13" s="17"/>
      <c r="AS13" s="251"/>
      <c r="AT13" s="251"/>
      <c r="AU13" s="17"/>
      <c r="AV13" s="17"/>
      <c r="AW13" s="17"/>
      <c r="AX13" s="17"/>
      <c r="AY13" s="17"/>
      <c r="AZ13" s="251"/>
      <c r="BA13" s="251"/>
      <c r="BB13" s="17"/>
      <c r="BC13" s="17"/>
      <c r="BD13" s="17"/>
      <c r="BE13" s="17"/>
      <c r="BF13" s="17"/>
      <c r="BG13" s="251"/>
      <c r="BH13" s="251"/>
      <c r="BI13" s="17" t="s">
        <v>26</v>
      </c>
      <c r="BJ13" s="17" t="s">
        <v>26</v>
      </c>
      <c r="BK13" s="17" t="s">
        <v>26</v>
      </c>
      <c r="BL13" s="17" t="s">
        <v>26</v>
      </c>
      <c r="BM13" s="17" t="s">
        <v>26</v>
      </c>
      <c r="BN13" s="251"/>
      <c r="BO13" s="251"/>
      <c r="BP13" s="17" t="s">
        <v>26</v>
      </c>
      <c r="BQ13" s="17" t="s">
        <v>26</v>
      </c>
      <c r="BR13" s="17" t="s">
        <v>26</v>
      </c>
      <c r="BS13" s="17" t="s">
        <v>26</v>
      </c>
      <c r="BT13" s="17" t="s">
        <v>26</v>
      </c>
      <c r="BU13" s="251"/>
      <c r="BV13" s="251"/>
      <c r="BW13" s="17" t="s">
        <v>26</v>
      </c>
      <c r="BX13" s="17" t="s">
        <v>26</v>
      </c>
      <c r="BY13" s="17" t="s">
        <v>26</v>
      </c>
      <c r="BZ13" s="17" t="s">
        <v>26</v>
      </c>
      <c r="CA13" s="17" t="s">
        <v>26</v>
      </c>
      <c r="CB13" s="251"/>
      <c r="CC13" s="251"/>
      <c r="CD13" s="142" t="s">
        <v>27</v>
      </c>
      <c r="CE13" s="17"/>
      <c r="CF13" s="17"/>
      <c r="CG13" s="17"/>
      <c r="CH13" s="17"/>
      <c r="CI13" s="251"/>
      <c r="CJ13" s="251"/>
      <c r="CK13" s="17"/>
      <c r="CL13" s="17"/>
      <c r="CM13" s="17"/>
      <c r="CN13" s="17"/>
      <c r="CO13" s="17"/>
      <c r="CP13" s="251"/>
      <c r="CQ13" s="251"/>
      <c r="CR13" s="17"/>
      <c r="CS13" s="17"/>
      <c r="CT13" s="17"/>
      <c r="CU13" s="17"/>
      <c r="CV13" s="17"/>
      <c r="CW13" s="251"/>
      <c r="CX13" s="251"/>
      <c r="CY13" s="17"/>
      <c r="CZ13" s="17"/>
      <c r="DA13" s="17"/>
      <c r="DB13" s="17"/>
      <c r="DC13" s="17"/>
      <c r="DD13" s="251"/>
      <c r="DE13" s="251"/>
      <c r="DF13" s="17"/>
      <c r="DG13" s="17"/>
      <c r="DH13" s="17"/>
      <c r="DI13" s="17"/>
      <c r="DJ13" s="17"/>
      <c r="DK13" s="251"/>
      <c r="DL13" s="251"/>
      <c r="DM13" s="17"/>
      <c r="DN13" s="17"/>
      <c r="DO13" s="17"/>
      <c r="DP13" s="17"/>
      <c r="DQ13" s="17"/>
      <c r="DR13" s="17">
        <f t="shared" si="3"/>
        <v>15</v>
      </c>
    </row>
    <row r="14" spans="2:122" ht="30" customHeight="1" thickBot="1" x14ac:dyDescent="0.25">
      <c r="B14" s="247" t="s">
        <v>55</v>
      </c>
      <c r="C14" s="6" t="s">
        <v>63</v>
      </c>
      <c r="D14" s="150" t="s">
        <v>51</v>
      </c>
      <c r="E14" s="232" t="s">
        <v>193</v>
      </c>
      <c r="F14" s="233">
        <v>46031</v>
      </c>
      <c r="G14" s="152" t="s">
        <v>43</v>
      </c>
      <c r="H14" s="151">
        <v>46038</v>
      </c>
      <c r="I14" s="151">
        <f>H14+7</f>
        <v>46045</v>
      </c>
      <c r="J14" s="153">
        <f t="shared" si="4"/>
        <v>46045</v>
      </c>
      <c r="K14" s="153"/>
      <c r="L14" s="153"/>
      <c r="M14" s="189" t="s">
        <v>191</v>
      </c>
      <c r="N14" s="153"/>
      <c r="O14" s="153"/>
      <c r="P14" s="153"/>
      <c r="Q14" s="153"/>
      <c r="R14" s="153"/>
      <c r="S14" s="153"/>
      <c r="T14" s="153"/>
      <c r="U14" s="153"/>
      <c r="V14" s="153"/>
      <c r="W14" s="7" t="s">
        <v>57</v>
      </c>
      <c r="X14" s="48">
        <v>35</v>
      </c>
      <c r="Y14" s="48">
        <v>35</v>
      </c>
      <c r="Z14" s="17">
        <v>5</v>
      </c>
      <c r="AA14" s="17" t="s">
        <v>41</v>
      </c>
      <c r="AB14" s="17">
        <f>Y14/Capacity!$B$2</f>
        <v>5</v>
      </c>
      <c r="AC14" s="17">
        <f>Y14/Capacity!$B$3</f>
        <v>4.375</v>
      </c>
      <c r="AD14" s="17" t="s">
        <v>20</v>
      </c>
      <c r="AE14" s="251"/>
      <c r="AF14" s="251"/>
      <c r="AG14" s="17"/>
      <c r="AH14" s="17"/>
      <c r="AI14" s="17"/>
      <c r="AJ14" s="17"/>
      <c r="AK14" s="17"/>
      <c r="AL14" s="251"/>
      <c r="AM14" s="251"/>
      <c r="AN14" s="17"/>
      <c r="AO14" s="17"/>
      <c r="AP14" s="17"/>
      <c r="AQ14" s="17"/>
      <c r="AR14" s="17"/>
      <c r="AS14" s="251"/>
      <c r="AT14" s="251"/>
      <c r="AU14" s="17"/>
      <c r="AV14" s="17" t="s">
        <v>26</v>
      </c>
      <c r="AW14" s="17" t="s">
        <v>26</v>
      </c>
      <c r="AX14" s="17" t="s">
        <v>26</v>
      </c>
      <c r="AY14" s="17" t="s">
        <v>26</v>
      </c>
      <c r="AZ14" s="251"/>
      <c r="BA14" s="251"/>
      <c r="BB14" s="17" t="s">
        <v>26</v>
      </c>
      <c r="BC14" s="122" t="s">
        <v>27</v>
      </c>
      <c r="BD14" s="17"/>
      <c r="BE14" s="17"/>
      <c r="BF14" s="17"/>
      <c r="BG14" s="251"/>
      <c r="BH14" s="251"/>
      <c r="BI14" s="17"/>
      <c r="BJ14" s="17"/>
      <c r="BK14" s="17"/>
      <c r="BL14" s="17"/>
      <c r="BM14" s="17"/>
      <c r="BN14" s="251"/>
      <c r="BO14" s="251"/>
      <c r="BP14" s="17"/>
      <c r="BQ14" s="17"/>
      <c r="BR14" s="17"/>
      <c r="BS14" s="17"/>
      <c r="BT14" s="17"/>
      <c r="BU14" s="251"/>
      <c r="BV14" s="251"/>
      <c r="BW14" s="17"/>
      <c r="BX14" s="17"/>
      <c r="BY14" s="17"/>
      <c r="BZ14" s="17"/>
      <c r="CA14" s="17"/>
      <c r="CB14" s="251"/>
      <c r="CC14" s="251"/>
      <c r="CD14" s="17"/>
      <c r="CE14" s="17"/>
      <c r="CF14" s="17"/>
      <c r="CG14" s="17"/>
      <c r="CH14" s="17"/>
      <c r="CI14" s="251"/>
      <c r="CJ14" s="251"/>
      <c r="CK14" s="17"/>
      <c r="CL14" s="17"/>
      <c r="CM14" s="17"/>
      <c r="CN14" s="17"/>
      <c r="CO14" s="17"/>
      <c r="CP14" s="251"/>
      <c r="CQ14" s="251"/>
      <c r="CR14" s="17"/>
      <c r="CS14" s="17"/>
      <c r="CT14" s="17"/>
      <c r="CU14" s="17"/>
      <c r="CV14" s="17"/>
      <c r="CW14" s="251"/>
      <c r="CX14" s="251"/>
      <c r="CY14" s="17"/>
      <c r="CZ14" s="17"/>
      <c r="DA14" s="17"/>
      <c r="DB14" s="17"/>
      <c r="DC14" s="17"/>
      <c r="DD14" s="251"/>
      <c r="DE14" s="251"/>
      <c r="DF14" s="17"/>
      <c r="DG14" s="17"/>
      <c r="DH14" s="17"/>
      <c r="DI14" s="17"/>
      <c r="DJ14" s="17"/>
      <c r="DK14" s="251"/>
      <c r="DL14" s="251"/>
      <c r="DM14" s="17"/>
      <c r="DN14" s="17"/>
      <c r="DO14" s="17"/>
      <c r="DP14" s="17"/>
      <c r="DQ14" s="17"/>
      <c r="DR14" s="17">
        <f t="shared" si="3"/>
        <v>5</v>
      </c>
    </row>
    <row r="15" spans="2:122" ht="30" customHeight="1" thickBot="1" x14ac:dyDescent="0.25">
      <c r="B15" s="143" t="s">
        <v>60</v>
      </c>
      <c r="C15" s="6" t="s">
        <v>63</v>
      </c>
      <c r="D15" s="9"/>
      <c r="E15" s="232" t="s">
        <v>194</v>
      </c>
      <c r="F15" s="234">
        <v>46041</v>
      </c>
      <c r="G15" s="8">
        <f t="shared" si="5"/>
        <v>46048</v>
      </c>
      <c r="H15" s="8" t="s">
        <v>43</v>
      </c>
      <c r="I15" s="7">
        <f t="shared" ref="I15" si="7">G15+7</f>
        <v>46055</v>
      </c>
      <c r="J15" s="30">
        <f t="shared" si="4"/>
        <v>46055</v>
      </c>
      <c r="K15" s="30"/>
      <c r="L15" s="30"/>
      <c r="M15" s="189" t="s">
        <v>191</v>
      </c>
      <c r="N15" s="30"/>
      <c r="O15" s="30"/>
      <c r="P15" s="30"/>
      <c r="Q15" s="30"/>
      <c r="R15" s="30"/>
      <c r="S15" s="30"/>
      <c r="T15" s="30"/>
      <c r="U15" s="30"/>
      <c r="V15" s="30"/>
      <c r="W15" s="7" t="s">
        <v>61</v>
      </c>
      <c r="X15" s="48">
        <v>80</v>
      </c>
      <c r="Y15" s="48">
        <v>60</v>
      </c>
      <c r="Z15" s="17">
        <v>5</v>
      </c>
      <c r="AA15" s="17" t="s">
        <v>41</v>
      </c>
      <c r="AB15" s="17">
        <f>Y15/Capacity!$B$2</f>
        <v>8.5714285714285712</v>
      </c>
      <c r="AC15" s="17">
        <f>Y15/Capacity!$B$3</f>
        <v>7.5</v>
      </c>
      <c r="AD15" s="17"/>
      <c r="AE15" s="251"/>
      <c r="AF15" s="251"/>
      <c r="AG15" s="17"/>
      <c r="AH15" s="17"/>
      <c r="AI15" s="17"/>
      <c r="AJ15" s="17"/>
      <c r="AK15" s="17"/>
      <c r="AL15" s="251"/>
      <c r="AM15" s="251"/>
      <c r="AN15" s="17"/>
      <c r="AO15" s="17"/>
      <c r="AP15" s="17"/>
      <c r="AQ15" s="17"/>
      <c r="AR15" s="17"/>
      <c r="AS15" s="251"/>
      <c r="AT15" s="251"/>
      <c r="AU15" s="17"/>
      <c r="AV15" s="17"/>
      <c r="AW15" s="17"/>
      <c r="AX15" s="17" t="s">
        <v>20</v>
      </c>
      <c r="AY15" s="17" t="s">
        <v>20</v>
      </c>
      <c r="AZ15" s="251"/>
      <c r="BA15" s="251"/>
      <c r="BB15" s="17"/>
      <c r="BC15" s="17"/>
      <c r="BD15" s="17"/>
      <c r="BE15" s="17"/>
      <c r="BF15" s="17"/>
      <c r="BG15" s="251"/>
      <c r="BH15" s="251"/>
      <c r="BI15" s="17" t="s">
        <v>26</v>
      </c>
      <c r="BJ15" s="17" t="s">
        <v>26</v>
      </c>
      <c r="BK15" s="17" t="s">
        <v>26</v>
      </c>
      <c r="BL15" s="17" t="s">
        <v>26</v>
      </c>
      <c r="BM15" s="17" t="s">
        <v>26</v>
      </c>
      <c r="BN15" s="251"/>
      <c r="BO15" s="251"/>
      <c r="BP15" s="17" t="s">
        <v>26</v>
      </c>
      <c r="BQ15" s="17" t="s">
        <v>26</v>
      </c>
      <c r="BR15" s="17" t="s">
        <v>26</v>
      </c>
      <c r="BS15" s="122" t="s">
        <v>27</v>
      </c>
      <c r="BT15" s="17"/>
      <c r="BU15" s="251"/>
      <c r="BV15" s="251"/>
      <c r="BW15" s="17"/>
      <c r="BX15" s="17"/>
      <c r="BY15" s="17"/>
      <c r="BZ15" s="17"/>
      <c r="CA15" s="17"/>
      <c r="CB15" s="251"/>
      <c r="CC15" s="251"/>
      <c r="CD15" s="17"/>
      <c r="CE15" s="17"/>
      <c r="CF15" s="17"/>
      <c r="CG15" s="17"/>
      <c r="CH15" s="17"/>
      <c r="CI15" s="251"/>
      <c r="CJ15" s="251"/>
      <c r="CK15" s="17"/>
      <c r="CL15" s="17"/>
      <c r="CM15" s="17"/>
      <c r="CN15" s="17"/>
      <c r="CO15" s="17"/>
      <c r="CP15" s="251"/>
      <c r="CQ15" s="251"/>
      <c r="CR15" s="17"/>
      <c r="CS15" s="17"/>
      <c r="CT15" s="17"/>
      <c r="CU15" s="17"/>
      <c r="CV15" s="17"/>
      <c r="CW15" s="251"/>
      <c r="CX15" s="251"/>
      <c r="CY15" s="17"/>
      <c r="CZ15" s="17"/>
      <c r="DA15" s="17"/>
      <c r="DB15" s="17"/>
      <c r="DC15" s="17"/>
      <c r="DD15" s="251"/>
      <c r="DE15" s="251"/>
      <c r="DF15" s="17"/>
      <c r="DG15" s="17"/>
      <c r="DH15" s="17"/>
      <c r="DI15" s="17"/>
      <c r="DJ15" s="17"/>
      <c r="DK15" s="251"/>
      <c r="DL15" s="251"/>
      <c r="DM15" s="17"/>
      <c r="DN15" s="17"/>
      <c r="DO15" s="17"/>
      <c r="DP15" s="17"/>
      <c r="DQ15" s="17"/>
      <c r="DR15" s="17">
        <f t="shared" si="3"/>
        <v>8</v>
      </c>
    </row>
    <row r="16" spans="2:122" ht="30" customHeight="1" thickBot="1" x14ac:dyDescent="0.25">
      <c r="B16" s="247" t="s">
        <v>62</v>
      </c>
      <c r="C16" s="150" t="s">
        <v>63</v>
      </c>
      <c r="D16" s="150"/>
      <c r="E16" s="232" t="s">
        <v>195</v>
      </c>
      <c r="F16" s="233">
        <v>46031</v>
      </c>
      <c r="G16" s="152" t="s">
        <v>43</v>
      </c>
      <c r="H16" s="151">
        <v>46038</v>
      </c>
      <c r="I16" s="151">
        <f>H16+7</f>
        <v>46045</v>
      </c>
      <c r="J16" s="153">
        <f t="shared" si="4"/>
        <v>46045</v>
      </c>
      <c r="K16" s="153"/>
      <c r="L16" s="153"/>
      <c r="M16" s="189" t="s">
        <v>191</v>
      </c>
      <c r="N16" s="153"/>
      <c r="O16" s="153"/>
      <c r="P16" s="153"/>
      <c r="Q16" s="153"/>
      <c r="R16" s="153"/>
      <c r="S16" s="153"/>
      <c r="T16" s="153"/>
      <c r="U16" s="153"/>
      <c r="V16" s="153"/>
      <c r="W16" s="7" t="s">
        <v>65</v>
      </c>
      <c r="X16" s="48">
        <v>20</v>
      </c>
      <c r="Y16" s="48">
        <v>20</v>
      </c>
      <c r="Z16" s="17">
        <v>6</v>
      </c>
      <c r="AA16" s="17" t="s">
        <v>54</v>
      </c>
      <c r="AB16" s="17">
        <f>Y16/Capacity!$B$2</f>
        <v>2.8571428571428572</v>
      </c>
      <c r="AC16" s="17">
        <f>Y16/Capacity!$B$3</f>
        <v>2.5</v>
      </c>
      <c r="AD16" s="17"/>
      <c r="AE16" s="251"/>
      <c r="AF16" s="251"/>
      <c r="AG16" s="17"/>
      <c r="AH16" s="17"/>
      <c r="AI16" s="17"/>
      <c r="AJ16" s="17"/>
      <c r="AK16" s="17"/>
      <c r="AL16" s="251"/>
      <c r="AM16" s="251"/>
      <c r="AN16" s="17"/>
      <c r="AO16" s="17"/>
      <c r="AP16" s="17"/>
      <c r="AQ16" s="17"/>
      <c r="AR16" s="17"/>
      <c r="AS16" s="251"/>
      <c r="AT16" s="251"/>
      <c r="AU16" s="17"/>
      <c r="AV16" s="17"/>
      <c r="AW16" s="17"/>
      <c r="AX16" s="17"/>
      <c r="AY16" s="17"/>
      <c r="AZ16" s="251"/>
      <c r="BA16" s="251"/>
      <c r="BB16" s="17" t="s">
        <v>26</v>
      </c>
      <c r="BC16" s="17" t="s">
        <v>26</v>
      </c>
      <c r="BD16" s="17" t="s">
        <v>26</v>
      </c>
      <c r="BE16" s="142" t="s">
        <v>27</v>
      </c>
      <c r="BF16" s="17"/>
      <c r="BG16" s="251"/>
      <c r="BH16" s="251"/>
      <c r="BI16" s="17"/>
      <c r="BJ16" s="17"/>
      <c r="BK16" s="17"/>
      <c r="BL16" s="17"/>
      <c r="BM16" s="17"/>
      <c r="BN16" s="251"/>
      <c r="BO16" s="251"/>
      <c r="BP16" s="17"/>
      <c r="BQ16" s="17"/>
      <c r="BR16" s="17"/>
      <c r="BS16" s="17"/>
      <c r="BT16" s="17"/>
      <c r="BU16" s="251"/>
      <c r="BV16" s="251"/>
      <c r="BW16" s="17"/>
      <c r="BX16" s="17"/>
      <c r="BY16" s="17"/>
      <c r="BZ16" s="17"/>
      <c r="CA16" s="17"/>
      <c r="CB16" s="251"/>
      <c r="CC16" s="251"/>
      <c r="CD16" s="17"/>
      <c r="CE16" s="17"/>
      <c r="CF16" s="17"/>
      <c r="CG16" s="17"/>
      <c r="CH16" s="17"/>
      <c r="CI16" s="251"/>
      <c r="CJ16" s="251"/>
      <c r="CK16" s="17"/>
      <c r="CL16" s="17"/>
      <c r="CM16" s="17"/>
      <c r="CN16" s="17"/>
      <c r="CO16" s="17"/>
      <c r="CP16" s="251"/>
      <c r="CQ16" s="251"/>
      <c r="CR16" s="17"/>
      <c r="CS16" s="17"/>
      <c r="CT16" s="17"/>
      <c r="CU16" s="17"/>
      <c r="CV16" s="17"/>
      <c r="CW16" s="251"/>
      <c r="CX16" s="251"/>
      <c r="CY16" s="17"/>
      <c r="CZ16" s="17"/>
      <c r="DA16" s="17"/>
      <c r="DB16" s="17"/>
      <c r="DC16" s="17"/>
      <c r="DD16" s="251"/>
      <c r="DE16" s="251"/>
      <c r="DF16" s="17"/>
      <c r="DG16" s="17"/>
      <c r="DH16" s="17"/>
      <c r="DI16" s="17"/>
      <c r="DJ16" s="17"/>
      <c r="DK16" s="251"/>
      <c r="DL16" s="251"/>
      <c r="DM16" s="17"/>
      <c r="DN16" s="17"/>
      <c r="DO16" s="17"/>
      <c r="DP16" s="17"/>
      <c r="DQ16" s="17"/>
      <c r="DR16" s="17">
        <f t="shared" si="3"/>
        <v>3</v>
      </c>
    </row>
    <row r="17" spans="2:122" ht="30" customHeight="1" thickBot="1" x14ac:dyDescent="0.25">
      <c r="B17" s="143" t="s">
        <v>66</v>
      </c>
      <c r="C17" s="6" t="s">
        <v>72</v>
      </c>
      <c r="D17" s="6"/>
      <c r="E17" s="7">
        <v>46045</v>
      </c>
      <c r="F17" s="19">
        <f>E17+7</f>
        <v>46052</v>
      </c>
      <c r="G17" s="8">
        <f t="shared" si="5"/>
        <v>46059</v>
      </c>
      <c r="H17" s="8" t="s">
        <v>43</v>
      </c>
      <c r="I17" s="7">
        <f t="shared" ref="I17" si="8">G17+7</f>
        <v>46066</v>
      </c>
      <c r="J17" s="30">
        <f t="shared" si="4"/>
        <v>46066</v>
      </c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7" t="s">
        <v>70</v>
      </c>
      <c r="X17" s="48">
        <v>140</v>
      </c>
      <c r="Y17" s="48">
        <v>100</v>
      </c>
      <c r="Z17" s="17">
        <v>5</v>
      </c>
      <c r="AA17" s="48" t="s">
        <v>41</v>
      </c>
      <c r="AB17" s="17">
        <f>Y17/Capacity!$B$2</f>
        <v>14.285714285714286</v>
      </c>
      <c r="AC17" s="17">
        <f>Y17/Capacity!$B$3</f>
        <v>12.5</v>
      </c>
      <c r="AD17" s="17"/>
      <c r="AE17" s="251"/>
      <c r="AF17" s="251"/>
      <c r="AG17" s="17"/>
      <c r="AH17" s="17"/>
      <c r="AI17" s="17"/>
      <c r="AJ17" s="17"/>
      <c r="AK17" s="17"/>
      <c r="AL17" s="251"/>
      <c r="AM17" s="251"/>
      <c r="AN17" s="17"/>
      <c r="AO17" s="17"/>
      <c r="AP17" s="17"/>
      <c r="AQ17" s="17"/>
      <c r="AR17" s="17"/>
      <c r="AS17" s="251"/>
      <c r="AT17" s="251"/>
      <c r="AU17" s="17"/>
      <c r="AV17" s="17"/>
      <c r="AW17" s="17"/>
      <c r="AX17" s="17"/>
      <c r="AY17" s="17"/>
      <c r="AZ17" s="251"/>
      <c r="BA17" s="251"/>
      <c r="BB17" s="17"/>
      <c r="BC17" s="17"/>
      <c r="BD17" s="17"/>
      <c r="BE17" s="17"/>
      <c r="BF17" s="17"/>
      <c r="BG17" s="251"/>
      <c r="BH17" s="251"/>
      <c r="BI17" s="17"/>
      <c r="BJ17" s="17"/>
      <c r="BK17" s="17"/>
      <c r="BL17" s="17"/>
      <c r="BM17" s="17"/>
      <c r="BN17" s="251"/>
      <c r="BO17" s="251"/>
      <c r="BP17" s="17"/>
      <c r="BQ17" s="17"/>
      <c r="BR17" s="17"/>
      <c r="BS17" s="17"/>
      <c r="BT17" s="17"/>
      <c r="BU17" s="251"/>
      <c r="BV17" s="251"/>
      <c r="BW17" s="17"/>
      <c r="BX17" s="17"/>
      <c r="BY17" s="17"/>
      <c r="BZ17" s="17"/>
      <c r="CA17" s="17"/>
      <c r="CB17" s="251"/>
      <c r="CC17" s="251"/>
      <c r="CD17" s="17" t="s">
        <v>26</v>
      </c>
      <c r="CE17" s="17" t="s">
        <v>26</v>
      </c>
      <c r="CF17" s="17" t="s">
        <v>26</v>
      </c>
      <c r="CG17" s="17" t="s">
        <v>26</v>
      </c>
      <c r="CH17" s="17" t="s">
        <v>26</v>
      </c>
      <c r="CI17" s="251"/>
      <c r="CJ17" s="251"/>
      <c r="CK17" s="17" t="s">
        <v>26</v>
      </c>
      <c r="CL17" s="17" t="s">
        <v>26</v>
      </c>
      <c r="CM17" s="17" t="s">
        <v>26</v>
      </c>
      <c r="CN17" s="17" t="s">
        <v>26</v>
      </c>
      <c r="CO17" s="17" t="s">
        <v>26</v>
      </c>
      <c r="CP17" s="251"/>
      <c r="CQ17" s="251"/>
      <c r="CR17" s="17"/>
      <c r="CS17" s="17" t="s">
        <v>26</v>
      </c>
      <c r="CT17" s="17" t="s">
        <v>26</v>
      </c>
      <c r="CU17" s="17" t="s">
        <v>26</v>
      </c>
      <c r="CV17" s="142" t="s">
        <v>27</v>
      </c>
      <c r="CW17" s="251"/>
      <c r="CX17" s="251"/>
      <c r="CY17" s="17"/>
      <c r="CZ17" s="17"/>
      <c r="DA17" s="17"/>
      <c r="DB17" s="17"/>
      <c r="DC17" s="17"/>
      <c r="DD17" s="251"/>
      <c r="DE17" s="251"/>
      <c r="DF17" s="17"/>
      <c r="DG17" s="17"/>
      <c r="DH17" s="17"/>
      <c r="DI17" s="17"/>
      <c r="DJ17" s="17"/>
      <c r="DK17" s="251"/>
      <c r="DL17" s="251"/>
      <c r="DM17" s="17"/>
      <c r="DN17" s="17"/>
      <c r="DO17" s="17"/>
      <c r="DP17" s="17"/>
      <c r="DQ17" s="17"/>
      <c r="DR17" s="17">
        <f t="shared" si="3"/>
        <v>13</v>
      </c>
    </row>
    <row r="18" spans="2:122" ht="30" customHeight="1" thickBot="1" x14ac:dyDescent="0.25">
      <c r="B18" s="247" t="s">
        <v>71</v>
      </c>
      <c r="C18" s="150" t="s">
        <v>72</v>
      </c>
      <c r="D18" s="150"/>
      <c r="E18" s="151">
        <v>46059</v>
      </c>
      <c r="F18" s="151">
        <v>46064</v>
      </c>
      <c r="G18" s="152" t="s">
        <v>43</v>
      </c>
      <c r="H18" s="151">
        <v>46066</v>
      </c>
      <c r="I18" s="151">
        <f>H18+7</f>
        <v>46073</v>
      </c>
      <c r="J18" s="153">
        <f t="shared" si="4"/>
        <v>46073</v>
      </c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7" t="s">
        <v>65</v>
      </c>
      <c r="X18" s="48">
        <v>90</v>
      </c>
      <c r="Y18" s="48">
        <v>60</v>
      </c>
      <c r="Z18" s="17" t="s">
        <v>20</v>
      </c>
      <c r="AA18" s="130" t="s">
        <v>49</v>
      </c>
      <c r="AB18" s="17">
        <f>Y18/Capacity!$B$2</f>
        <v>8.5714285714285712</v>
      </c>
      <c r="AC18" s="17">
        <f>Y18/Capacity!$B$3</f>
        <v>7.5</v>
      </c>
      <c r="AD18" s="17"/>
      <c r="AE18" s="251"/>
      <c r="AF18" s="251"/>
      <c r="AG18" s="17" t="s">
        <v>20</v>
      </c>
      <c r="AH18" s="17" t="s">
        <v>20</v>
      </c>
      <c r="AI18" s="17"/>
      <c r="AJ18" s="17"/>
      <c r="AK18" s="17"/>
      <c r="AL18" s="251"/>
      <c r="AM18" s="251"/>
      <c r="AN18" s="17"/>
      <c r="AO18" s="17"/>
      <c r="AP18" s="17"/>
      <c r="AQ18" s="17"/>
      <c r="AR18" s="17"/>
      <c r="AS18" s="251"/>
      <c r="AT18" s="251"/>
      <c r="AU18" s="17" t="s">
        <v>26</v>
      </c>
      <c r="AV18" s="17" t="s">
        <v>26</v>
      </c>
      <c r="AW18" s="17" t="s">
        <v>26</v>
      </c>
      <c r="AX18" s="17" t="s">
        <v>26</v>
      </c>
      <c r="AY18" s="17" t="s">
        <v>26</v>
      </c>
      <c r="AZ18" s="251"/>
      <c r="BA18" s="251"/>
      <c r="BB18" s="17" t="s">
        <v>26</v>
      </c>
      <c r="BC18" s="17" t="s">
        <v>26</v>
      </c>
      <c r="BD18" s="17" t="s">
        <v>26</v>
      </c>
      <c r="BE18" s="122" t="s">
        <v>27</v>
      </c>
      <c r="BF18" s="17"/>
      <c r="BG18" s="251"/>
      <c r="BH18" s="251"/>
      <c r="BI18" s="17"/>
      <c r="BJ18" s="17"/>
      <c r="BK18" s="17"/>
      <c r="BL18" s="17"/>
      <c r="BM18" s="17"/>
      <c r="BN18" s="251"/>
      <c r="BO18" s="251"/>
      <c r="BP18" s="17"/>
      <c r="BQ18" s="17"/>
      <c r="BR18" s="17"/>
      <c r="BS18" s="17"/>
      <c r="BT18" s="17" t="s">
        <v>20</v>
      </c>
      <c r="BU18" s="251"/>
      <c r="BV18" s="251"/>
      <c r="BW18" s="17"/>
      <c r="BX18" s="17"/>
      <c r="BY18" s="17"/>
      <c r="BZ18" s="17"/>
      <c r="CA18" s="17"/>
      <c r="CB18" s="251"/>
      <c r="CC18" s="251"/>
      <c r="CD18" s="17"/>
      <c r="CE18" s="17"/>
      <c r="CF18" s="17"/>
      <c r="CG18" s="17"/>
      <c r="CH18" s="17"/>
      <c r="CI18" s="251"/>
      <c r="CJ18" s="251"/>
      <c r="CK18" s="17"/>
      <c r="CL18" s="17"/>
      <c r="CM18" s="17"/>
      <c r="CN18" s="17"/>
      <c r="CO18" s="17"/>
      <c r="CP18" s="251"/>
      <c r="CQ18" s="251"/>
      <c r="CR18" s="17"/>
      <c r="CS18" s="17"/>
      <c r="CT18" s="17"/>
      <c r="CU18" s="17"/>
      <c r="CV18" s="17"/>
      <c r="CW18" s="251"/>
      <c r="CX18" s="251"/>
      <c r="CY18" s="17"/>
      <c r="CZ18" s="17"/>
      <c r="DA18" s="17"/>
      <c r="DB18" s="17"/>
      <c r="DC18" s="17"/>
      <c r="DD18" s="251"/>
      <c r="DE18" s="251"/>
      <c r="DF18" s="17"/>
      <c r="DG18" s="17"/>
      <c r="DH18" s="17"/>
      <c r="DI18" s="17"/>
      <c r="DJ18" s="17"/>
      <c r="DK18" s="251"/>
      <c r="DL18" s="251"/>
      <c r="DM18" s="17"/>
      <c r="DN18" s="17"/>
      <c r="DO18" s="17"/>
      <c r="DP18" s="17"/>
      <c r="DQ18" s="17"/>
      <c r="DR18" s="17">
        <f t="shared" si="3"/>
        <v>8</v>
      </c>
    </row>
    <row r="19" spans="2:122" ht="30" customHeight="1" thickBot="1" x14ac:dyDescent="0.25">
      <c r="B19" s="143" t="s">
        <v>73</v>
      </c>
      <c r="C19" s="6" t="s">
        <v>24</v>
      </c>
      <c r="D19" s="6"/>
      <c r="E19" s="7">
        <v>46052</v>
      </c>
      <c r="F19" s="19">
        <f>E19+7</f>
        <v>46059</v>
      </c>
      <c r="G19" s="8">
        <f t="shared" si="5"/>
        <v>46066</v>
      </c>
      <c r="H19" s="8" t="s">
        <v>43</v>
      </c>
      <c r="I19" s="7">
        <f t="shared" ref="I19" si="9">G19+7</f>
        <v>46073</v>
      </c>
      <c r="J19" s="30">
        <f t="shared" si="4"/>
        <v>46073</v>
      </c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19" t="s">
        <v>74</v>
      </c>
      <c r="X19" s="57">
        <v>350</v>
      </c>
      <c r="Y19" s="119">
        <v>215</v>
      </c>
      <c r="Z19" s="20">
        <v>4</v>
      </c>
      <c r="AA19" s="155" t="s">
        <v>54</v>
      </c>
      <c r="AB19" s="17">
        <f>Y19/Capacity!$B$2</f>
        <v>30.714285714285715</v>
      </c>
      <c r="AC19" s="17">
        <f>Y19/Capacity!$B$3</f>
        <v>26.875</v>
      </c>
      <c r="AD19" s="17"/>
      <c r="AE19" s="251"/>
      <c r="AF19" s="251"/>
      <c r="AG19" s="17"/>
      <c r="AH19" s="17"/>
      <c r="AI19" s="17"/>
      <c r="AJ19" s="17"/>
      <c r="AK19" s="17"/>
      <c r="AL19" s="251"/>
      <c r="AM19" s="251"/>
      <c r="AN19" s="17"/>
      <c r="AO19" s="17"/>
      <c r="AP19" s="17"/>
      <c r="AQ19" s="17"/>
      <c r="AR19" s="17"/>
      <c r="AS19" s="251"/>
      <c r="AT19" s="251"/>
      <c r="AU19" s="17"/>
      <c r="AV19" s="17"/>
      <c r="AW19" s="17"/>
      <c r="AX19" s="17"/>
      <c r="AY19" s="17"/>
      <c r="AZ19" s="251"/>
      <c r="BA19" s="251"/>
      <c r="BB19" s="17"/>
      <c r="BC19" s="17"/>
      <c r="BD19" s="17"/>
      <c r="BE19" s="17"/>
      <c r="BF19" s="17"/>
      <c r="BG19" s="251"/>
      <c r="BH19" s="251"/>
      <c r="BI19" s="17"/>
      <c r="BJ19" s="17"/>
      <c r="BK19" s="17"/>
      <c r="BL19" s="17"/>
      <c r="BM19" s="17"/>
      <c r="BN19" s="251"/>
      <c r="BO19" s="251"/>
      <c r="BP19" s="17" t="s">
        <v>20</v>
      </c>
      <c r="BQ19" s="17" t="s">
        <v>20</v>
      </c>
      <c r="BR19" s="17" t="s">
        <v>20</v>
      </c>
      <c r="BS19" s="17"/>
      <c r="BT19" s="17"/>
      <c r="BU19" s="251"/>
      <c r="BV19" s="251"/>
      <c r="BW19" s="17"/>
      <c r="BX19" s="17"/>
      <c r="BY19" s="17"/>
      <c r="BZ19" s="17"/>
      <c r="CA19" s="17"/>
      <c r="CB19" s="251"/>
      <c r="CC19" s="251"/>
      <c r="CD19" s="17" t="s">
        <v>26</v>
      </c>
      <c r="CE19" s="17" t="s">
        <v>26</v>
      </c>
      <c r="CF19" s="17" t="s">
        <v>26</v>
      </c>
      <c r="CG19" s="17" t="s">
        <v>26</v>
      </c>
      <c r="CH19" s="17" t="s">
        <v>26</v>
      </c>
      <c r="CI19" s="251"/>
      <c r="CJ19" s="251"/>
      <c r="CK19" s="17" t="s">
        <v>26</v>
      </c>
      <c r="CL19" s="17" t="s">
        <v>26</v>
      </c>
      <c r="CM19" s="17" t="s">
        <v>26</v>
      </c>
      <c r="CN19" s="17" t="s">
        <v>26</v>
      </c>
      <c r="CO19" s="17" t="s">
        <v>26</v>
      </c>
      <c r="CP19" s="251"/>
      <c r="CQ19" s="251"/>
      <c r="CR19" s="17" t="s">
        <v>26</v>
      </c>
      <c r="CS19" s="17" t="s">
        <v>26</v>
      </c>
      <c r="CT19" s="17" t="s">
        <v>26</v>
      </c>
      <c r="CU19" s="17" t="s">
        <v>26</v>
      </c>
      <c r="CV19" s="17" t="s">
        <v>26</v>
      </c>
      <c r="CW19" s="251"/>
      <c r="CX19" s="251"/>
      <c r="CY19" s="17" t="s">
        <v>26</v>
      </c>
      <c r="CZ19" s="17" t="s">
        <v>26</v>
      </c>
      <c r="DA19" s="17" t="s">
        <v>26</v>
      </c>
      <c r="DB19" s="17" t="s">
        <v>26</v>
      </c>
      <c r="DC19" s="17" t="s">
        <v>26</v>
      </c>
      <c r="DD19" s="251"/>
      <c r="DE19" s="251"/>
      <c r="DF19" s="17" t="s">
        <v>26</v>
      </c>
      <c r="DG19" s="142" t="s">
        <v>27</v>
      </c>
      <c r="DH19" s="17"/>
      <c r="DI19" s="17"/>
      <c r="DJ19" s="17"/>
      <c r="DK19" s="251"/>
      <c r="DL19" s="251"/>
      <c r="DM19" s="17"/>
      <c r="DN19" s="17"/>
      <c r="DO19" s="17"/>
      <c r="DP19" s="17" t="s">
        <v>20</v>
      </c>
      <c r="DQ19" s="17" t="s">
        <v>20</v>
      </c>
      <c r="DR19" s="17">
        <f t="shared" si="3"/>
        <v>21</v>
      </c>
    </row>
    <row r="20" spans="2:122" ht="30" customHeight="1" thickBot="1" x14ac:dyDescent="0.25">
      <c r="B20" s="143" t="s">
        <v>75</v>
      </c>
      <c r="C20" s="6" t="s">
        <v>63</v>
      </c>
      <c r="D20" s="6"/>
      <c r="E20" s="235">
        <v>46031</v>
      </c>
      <c r="F20" s="19">
        <f>E20+7</f>
        <v>46038</v>
      </c>
      <c r="G20" s="8" t="s">
        <v>43</v>
      </c>
      <c r="H20" s="8" t="s">
        <v>43</v>
      </c>
      <c r="I20" s="8" t="s">
        <v>43</v>
      </c>
      <c r="J20" s="8" t="s">
        <v>43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7" t="s">
        <v>65</v>
      </c>
      <c r="X20" s="48">
        <v>40</v>
      </c>
      <c r="Y20" s="48">
        <v>40</v>
      </c>
      <c r="Z20" s="17">
        <v>2</v>
      </c>
      <c r="AA20" s="130" t="s">
        <v>78</v>
      </c>
      <c r="AB20" s="17">
        <f>Y20/Capacity!$B$2</f>
        <v>5.7142857142857144</v>
      </c>
      <c r="AC20" s="17">
        <f>Y20/Capacity!$B$3</f>
        <v>5</v>
      </c>
      <c r="AD20" s="17"/>
      <c r="AE20" s="251"/>
      <c r="AF20" s="251"/>
      <c r="AG20" s="17"/>
      <c r="AH20" s="17"/>
      <c r="AI20" s="17"/>
      <c r="AJ20" s="17"/>
      <c r="AK20" s="17"/>
      <c r="AL20" s="251"/>
      <c r="AM20" s="251"/>
      <c r="AN20" s="17"/>
      <c r="AO20" s="17"/>
      <c r="AP20" s="17"/>
      <c r="AQ20" s="17"/>
      <c r="AR20" s="17"/>
      <c r="AS20" s="251"/>
      <c r="AT20" s="251"/>
      <c r="AU20" s="17" t="s">
        <v>26</v>
      </c>
      <c r="AV20" s="17" t="s">
        <v>26</v>
      </c>
      <c r="AW20" s="17" t="s">
        <v>26</v>
      </c>
      <c r="AX20" s="17" t="s">
        <v>26</v>
      </c>
      <c r="AY20" s="17" t="s">
        <v>26</v>
      </c>
      <c r="AZ20" s="251"/>
      <c r="BA20" s="251"/>
      <c r="BB20" s="122" t="s">
        <v>27</v>
      </c>
      <c r="BC20" s="17"/>
      <c r="BD20" s="17"/>
      <c r="BE20" s="17"/>
      <c r="BF20" s="17"/>
      <c r="BG20" s="251"/>
      <c r="BH20" s="251"/>
      <c r="BI20" s="17"/>
      <c r="BJ20" s="17"/>
      <c r="BK20" s="17"/>
      <c r="BL20" s="17"/>
      <c r="BM20" s="17"/>
      <c r="BN20" s="251"/>
      <c r="BO20" s="251"/>
      <c r="BP20" s="17"/>
      <c r="BQ20" s="17"/>
      <c r="BR20" s="17"/>
      <c r="BS20" s="17"/>
      <c r="BT20" s="17"/>
      <c r="BU20" s="251"/>
      <c r="BV20" s="251"/>
      <c r="BW20" s="17"/>
      <c r="BX20" s="17"/>
      <c r="BY20" s="17"/>
      <c r="BZ20" s="17"/>
      <c r="CA20" s="17"/>
      <c r="CB20" s="251"/>
      <c r="CC20" s="251"/>
      <c r="CD20" s="17"/>
      <c r="CE20" s="17"/>
      <c r="CF20" s="17"/>
      <c r="CG20" s="17"/>
      <c r="CH20" s="17"/>
      <c r="CI20" s="251"/>
      <c r="CJ20" s="251"/>
      <c r="CK20" s="17"/>
      <c r="CL20" s="17"/>
      <c r="CM20" s="17"/>
      <c r="CN20" s="17"/>
      <c r="CO20" s="17"/>
      <c r="CP20" s="251"/>
      <c r="CQ20" s="251"/>
      <c r="CR20" s="17"/>
      <c r="CS20" s="17"/>
      <c r="CT20" s="17"/>
      <c r="CU20" s="17"/>
      <c r="CV20" s="17"/>
      <c r="CW20" s="251"/>
      <c r="CX20" s="251"/>
      <c r="CY20" s="17"/>
      <c r="CZ20" s="17"/>
      <c r="DA20" s="17"/>
      <c r="DB20" s="17"/>
      <c r="DC20" s="17"/>
      <c r="DD20" s="251"/>
      <c r="DE20" s="251"/>
      <c r="DF20" s="17"/>
      <c r="DG20" s="17"/>
      <c r="DH20" s="17"/>
      <c r="DI20" s="17"/>
      <c r="DJ20" s="17"/>
      <c r="DK20" s="251"/>
      <c r="DL20" s="251"/>
      <c r="DM20" s="17"/>
      <c r="DN20" s="17"/>
      <c r="DO20" s="17"/>
      <c r="DP20" s="17"/>
      <c r="DQ20" s="17"/>
      <c r="DR20" s="17">
        <f t="shared" si="3"/>
        <v>5</v>
      </c>
    </row>
    <row r="21" spans="2:122" ht="30" customHeight="1" thickBot="1" x14ac:dyDescent="0.25">
      <c r="B21" s="143" t="s">
        <v>79</v>
      </c>
      <c r="C21" s="6" t="s">
        <v>63</v>
      </c>
      <c r="D21" s="6"/>
      <c r="E21" s="56">
        <v>46052</v>
      </c>
      <c r="F21" s="7">
        <v>46057</v>
      </c>
      <c r="G21" s="8" t="s">
        <v>43</v>
      </c>
      <c r="H21" s="7">
        <f>F21+7</f>
        <v>46064</v>
      </c>
      <c r="I21" s="7">
        <f>H21+7</f>
        <v>46071</v>
      </c>
      <c r="J21" s="30">
        <f t="shared" si="4"/>
        <v>46071</v>
      </c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195" t="s">
        <v>80</v>
      </c>
      <c r="X21" s="48">
        <v>90</v>
      </c>
      <c r="Y21" s="48">
        <v>80</v>
      </c>
      <c r="Z21" s="17">
        <v>3</v>
      </c>
      <c r="AA21" s="130" t="s">
        <v>49</v>
      </c>
      <c r="AB21" s="17">
        <f>Y21/Capacity!$B$2</f>
        <v>11.428571428571429</v>
      </c>
      <c r="AC21" s="17">
        <f>Y21/Capacity!$B$3</f>
        <v>10</v>
      </c>
      <c r="AD21" s="17"/>
      <c r="AE21" s="251"/>
      <c r="AF21" s="251"/>
      <c r="AG21" s="17" t="s">
        <v>20</v>
      </c>
      <c r="AH21" s="17" t="s">
        <v>20</v>
      </c>
      <c r="AI21" s="17"/>
      <c r="AJ21" s="17"/>
      <c r="AK21" s="17"/>
      <c r="AL21" s="251"/>
      <c r="AM21" s="251"/>
      <c r="AN21" s="17"/>
      <c r="AO21" s="17"/>
      <c r="AP21" s="17"/>
      <c r="AQ21" s="17"/>
      <c r="AR21" s="17"/>
      <c r="AS21" s="251"/>
      <c r="AT21" s="251"/>
      <c r="AU21" s="17"/>
      <c r="AV21" s="17"/>
      <c r="AW21" s="17"/>
      <c r="AX21" s="17"/>
      <c r="AY21" s="17"/>
      <c r="AZ21" s="251"/>
      <c r="BA21" s="251"/>
      <c r="BB21" s="17"/>
      <c r="BC21" s="17"/>
      <c r="BD21" s="17"/>
      <c r="BE21" s="17"/>
      <c r="BF21" s="17"/>
      <c r="BG21" s="251"/>
      <c r="BH21" s="251"/>
      <c r="BI21" s="17"/>
      <c r="BJ21" s="17"/>
      <c r="BK21" s="17"/>
      <c r="BL21" s="17"/>
      <c r="BM21" s="17"/>
      <c r="BN21" s="251"/>
      <c r="BO21" s="251"/>
      <c r="BP21" s="17"/>
      <c r="BQ21" s="17"/>
      <c r="BR21" s="17"/>
      <c r="BS21" s="17"/>
      <c r="BT21" s="17"/>
      <c r="BU21" s="251"/>
      <c r="BV21" s="251"/>
      <c r="BW21" s="17"/>
      <c r="BX21" s="17"/>
      <c r="BY21" s="17"/>
      <c r="BZ21" s="17"/>
      <c r="CA21" s="17"/>
      <c r="CB21" s="251"/>
      <c r="CC21" s="251"/>
      <c r="CD21" s="17"/>
      <c r="CE21" s="17"/>
      <c r="CF21" s="17"/>
      <c r="CG21" s="17"/>
      <c r="CH21" s="17"/>
      <c r="CI21" s="251"/>
      <c r="CJ21" s="251"/>
      <c r="CK21" s="17"/>
      <c r="CL21" s="17"/>
      <c r="CM21" s="17"/>
      <c r="CN21" s="17"/>
      <c r="CO21" s="17" t="s">
        <v>26</v>
      </c>
      <c r="CP21" s="251"/>
      <c r="CQ21" s="251"/>
      <c r="CR21" s="17" t="s">
        <v>26</v>
      </c>
      <c r="CS21" s="17" t="s">
        <v>26</v>
      </c>
      <c r="CT21" s="17" t="s">
        <v>26</v>
      </c>
      <c r="CU21" s="17" t="s">
        <v>26</v>
      </c>
      <c r="CV21" s="17" t="s">
        <v>26</v>
      </c>
      <c r="CW21" s="251"/>
      <c r="CX21" s="251"/>
      <c r="CY21" s="17" t="s">
        <v>26</v>
      </c>
      <c r="CZ21" s="17" t="s">
        <v>26</v>
      </c>
      <c r="DA21" s="17" t="s">
        <v>26</v>
      </c>
      <c r="DB21" s="17" t="s">
        <v>26</v>
      </c>
      <c r="DC21" s="122" t="s">
        <v>27</v>
      </c>
      <c r="DD21" s="251"/>
      <c r="DE21" s="251"/>
      <c r="DF21" s="17"/>
      <c r="DG21" s="17"/>
      <c r="DH21" s="17"/>
      <c r="DI21" s="17"/>
      <c r="DJ21" s="17"/>
      <c r="DK21" s="251"/>
      <c r="DL21" s="251"/>
      <c r="DM21" s="17"/>
      <c r="DN21" s="17"/>
      <c r="DO21" s="17"/>
      <c r="DP21" s="17"/>
      <c r="DQ21" s="17"/>
      <c r="DR21" s="17">
        <f t="shared" si="3"/>
        <v>10</v>
      </c>
    </row>
    <row r="22" spans="2:122" ht="30" customHeight="1" thickBot="1" x14ac:dyDescent="0.25">
      <c r="B22" s="143" t="s">
        <v>81</v>
      </c>
      <c r="C22" s="6" t="s">
        <v>63</v>
      </c>
      <c r="D22" s="6"/>
      <c r="E22" s="56">
        <v>46059</v>
      </c>
      <c r="F22" s="8" t="s">
        <v>43</v>
      </c>
      <c r="G22" s="8" t="s">
        <v>43</v>
      </c>
      <c r="H22" s="7">
        <f>E22+7</f>
        <v>46066</v>
      </c>
      <c r="I22" s="7">
        <f>H22+7</f>
        <v>46073</v>
      </c>
      <c r="J22" s="252">
        <f t="shared" si="4"/>
        <v>46073</v>
      </c>
      <c r="K22" s="252"/>
      <c r="L22" s="252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7" t="s">
        <v>293</v>
      </c>
      <c r="X22" s="48">
        <v>40</v>
      </c>
      <c r="Y22" s="48">
        <v>40</v>
      </c>
      <c r="Z22" s="17">
        <v>3</v>
      </c>
      <c r="AA22" s="17" t="s">
        <v>54</v>
      </c>
      <c r="AB22" s="17">
        <f>Y22/Capacity!$B$2</f>
        <v>5.7142857142857144</v>
      </c>
      <c r="AC22" s="17">
        <f>Y22/Capacity!$B$3</f>
        <v>5</v>
      </c>
      <c r="AD22" s="17"/>
      <c r="AE22" s="251"/>
      <c r="AF22" s="251"/>
      <c r="AG22" s="17" t="s">
        <v>26</v>
      </c>
      <c r="AH22" s="17" t="s">
        <v>26</v>
      </c>
      <c r="AI22" s="17" t="s">
        <v>26</v>
      </c>
      <c r="AJ22" s="17" t="s">
        <v>26</v>
      </c>
      <c r="AK22" s="17" t="s">
        <v>26</v>
      </c>
      <c r="AL22" s="251"/>
      <c r="AM22" s="251"/>
      <c r="AN22" s="17" t="s">
        <v>26</v>
      </c>
      <c r="AO22" s="17" t="s">
        <v>26</v>
      </c>
      <c r="AP22" s="17" t="s">
        <v>26</v>
      </c>
      <c r="AQ22" s="17" t="s">
        <v>26</v>
      </c>
      <c r="AR22" s="17" t="s">
        <v>26</v>
      </c>
      <c r="AS22" s="251"/>
      <c r="AT22" s="251"/>
      <c r="AU22" s="142" t="s">
        <v>27</v>
      </c>
      <c r="AV22" s="17"/>
      <c r="AW22" s="17"/>
      <c r="AX22" s="17"/>
      <c r="AY22" s="17"/>
      <c r="AZ22" s="251"/>
      <c r="BA22" s="251"/>
      <c r="BB22" s="17"/>
      <c r="BC22" s="17"/>
      <c r="BD22" s="17"/>
      <c r="BE22" s="17"/>
      <c r="BF22" s="17"/>
      <c r="BG22" s="251"/>
      <c r="BH22" s="251"/>
      <c r="BI22" s="17"/>
      <c r="BJ22" s="17"/>
      <c r="BK22" s="17"/>
      <c r="BL22" s="17"/>
      <c r="BM22" s="17"/>
      <c r="BN22" s="251"/>
      <c r="BO22" s="251"/>
      <c r="BP22" s="17"/>
      <c r="BQ22" s="17"/>
      <c r="BR22" s="17"/>
      <c r="BS22" s="17"/>
      <c r="BT22" s="17"/>
      <c r="BU22" s="251"/>
      <c r="BV22" s="251"/>
      <c r="BW22" s="17"/>
      <c r="BX22" s="17"/>
      <c r="BY22" s="17"/>
      <c r="BZ22" s="17"/>
      <c r="CA22" s="17"/>
      <c r="CB22" s="251"/>
      <c r="CC22" s="251"/>
      <c r="CD22" s="17"/>
      <c r="CE22" s="17"/>
      <c r="CF22" s="17"/>
      <c r="CG22" s="17"/>
      <c r="CH22" s="17"/>
      <c r="CI22" s="251"/>
      <c r="CJ22" s="251"/>
      <c r="CK22" s="17" t="s">
        <v>20</v>
      </c>
      <c r="CL22" s="17" t="s">
        <v>20</v>
      </c>
      <c r="CM22" s="17" t="s">
        <v>20</v>
      </c>
      <c r="CN22" s="17" t="s">
        <v>20</v>
      </c>
      <c r="CO22" s="17" t="s">
        <v>20</v>
      </c>
      <c r="CP22" s="251"/>
      <c r="CQ22" s="251"/>
      <c r="CR22" s="17" t="s">
        <v>20</v>
      </c>
      <c r="CS22" s="17" t="s">
        <v>20</v>
      </c>
      <c r="CT22" s="17" t="s">
        <v>20</v>
      </c>
      <c r="CU22" s="17" t="s">
        <v>20</v>
      </c>
      <c r="CV22" s="17" t="s">
        <v>20</v>
      </c>
      <c r="CW22" s="251"/>
      <c r="CX22" s="251"/>
      <c r="CY22" s="17"/>
      <c r="CZ22" s="17"/>
      <c r="DA22" s="17"/>
      <c r="DB22" s="17"/>
      <c r="DC22" s="17"/>
      <c r="DD22" s="251"/>
      <c r="DE22" s="251"/>
      <c r="DF22" s="17"/>
      <c r="DG22" s="17"/>
      <c r="DH22" s="17"/>
      <c r="DI22" s="17"/>
      <c r="DJ22" s="17"/>
      <c r="DK22" s="251"/>
      <c r="DL22" s="251"/>
      <c r="DM22" s="17"/>
      <c r="DN22" s="17"/>
      <c r="DO22" s="17"/>
      <c r="DP22" s="17"/>
      <c r="DQ22" s="17"/>
      <c r="DR22" s="17">
        <f t="shared" si="3"/>
        <v>10</v>
      </c>
    </row>
    <row r="23" spans="2:122" ht="30" customHeight="1" thickBot="1" x14ac:dyDescent="0.25">
      <c r="B23" s="143" t="s">
        <v>82</v>
      </c>
      <c r="C23" s="6" t="s">
        <v>63</v>
      </c>
      <c r="D23" s="6"/>
      <c r="E23" s="235">
        <v>46031</v>
      </c>
      <c r="F23" s="7">
        <f>E23+7</f>
        <v>46038</v>
      </c>
      <c r="G23" s="8" t="s">
        <v>43</v>
      </c>
      <c r="H23" s="7">
        <f>F23+7</f>
        <v>46045</v>
      </c>
      <c r="I23" s="56">
        <v>46045</v>
      </c>
      <c r="J23" s="30">
        <f>I23</f>
        <v>46045</v>
      </c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7" t="s">
        <v>294</v>
      </c>
      <c r="X23" s="48">
        <v>10</v>
      </c>
      <c r="Y23" s="48">
        <v>11</v>
      </c>
      <c r="Z23" s="17" t="s">
        <v>20</v>
      </c>
      <c r="AA23" s="17" t="s">
        <v>54</v>
      </c>
      <c r="AB23" s="17">
        <f>Y23/Capacity!$B$2</f>
        <v>1.5714285714285714</v>
      </c>
      <c r="AC23" s="17">
        <f>Y23/Capacity!$B$3</f>
        <v>1.375</v>
      </c>
      <c r="AD23" s="17"/>
      <c r="AE23" s="251"/>
      <c r="AF23" s="251"/>
      <c r="AG23" s="17"/>
      <c r="AH23" s="17"/>
      <c r="AI23" s="17"/>
      <c r="AJ23" s="17"/>
      <c r="AK23" s="17"/>
      <c r="AL23" s="251"/>
      <c r="AM23" s="251"/>
      <c r="AN23" s="17"/>
      <c r="AO23" s="17"/>
      <c r="AP23" s="17"/>
      <c r="AQ23" s="17"/>
      <c r="AR23" s="17"/>
      <c r="AS23" s="251"/>
      <c r="AT23" s="251"/>
      <c r="AU23" s="17"/>
      <c r="AV23" s="17"/>
      <c r="AW23" s="17"/>
      <c r="AX23" s="17" t="s">
        <v>26</v>
      </c>
      <c r="AY23" s="142" t="s">
        <v>27</v>
      </c>
      <c r="AZ23" s="251"/>
      <c r="BA23" s="251"/>
      <c r="BB23" s="17"/>
      <c r="BC23" s="17"/>
      <c r="BD23" s="17"/>
      <c r="BE23" s="17"/>
      <c r="BF23" s="17"/>
      <c r="BG23" s="251"/>
      <c r="BH23" s="251"/>
      <c r="BI23" s="17"/>
      <c r="BJ23" s="17"/>
      <c r="BK23" s="17"/>
      <c r="BL23" s="17"/>
      <c r="BM23" s="17"/>
      <c r="BN23" s="251"/>
      <c r="BO23" s="251"/>
      <c r="BP23" s="17"/>
      <c r="BQ23" s="17"/>
      <c r="BR23" s="17"/>
      <c r="BS23" s="17"/>
      <c r="BT23" s="17"/>
      <c r="BU23" s="251"/>
      <c r="BV23" s="251"/>
      <c r="BW23" s="17"/>
      <c r="BX23" s="17"/>
      <c r="BY23" s="17"/>
      <c r="BZ23" s="17"/>
      <c r="CA23" s="17"/>
      <c r="CB23" s="251"/>
      <c r="CC23" s="251"/>
      <c r="CD23" s="17" t="s">
        <v>20</v>
      </c>
      <c r="CE23" s="17"/>
      <c r="CF23" s="17"/>
      <c r="CG23" s="17"/>
      <c r="CH23" s="17"/>
      <c r="CI23" s="251"/>
      <c r="CJ23" s="251"/>
      <c r="CK23" s="17"/>
      <c r="CL23" s="17"/>
      <c r="CM23" s="17"/>
      <c r="CN23" s="17"/>
      <c r="CO23" s="17"/>
      <c r="CP23" s="251"/>
      <c r="CQ23" s="251"/>
      <c r="CR23" s="17"/>
      <c r="CS23" s="17"/>
      <c r="CT23" s="17"/>
      <c r="CU23" s="17"/>
      <c r="CV23" s="17"/>
      <c r="CW23" s="251"/>
      <c r="CX23" s="251"/>
      <c r="CY23" s="17"/>
      <c r="CZ23" s="17"/>
      <c r="DA23" s="17"/>
      <c r="DB23" s="17"/>
      <c r="DC23" s="17"/>
      <c r="DD23" s="251"/>
      <c r="DE23" s="251"/>
      <c r="DF23" s="17"/>
      <c r="DG23" s="17"/>
      <c r="DH23" s="17"/>
      <c r="DI23" s="17"/>
      <c r="DJ23" s="17"/>
      <c r="DK23" s="251"/>
      <c r="DL23" s="251"/>
      <c r="DM23" s="17"/>
      <c r="DN23" s="17"/>
      <c r="DO23" s="17"/>
      <c r="DP23" s="17"/>
      <c r="DQ23" s="17"/>
      <c r="DR23" s="17">
        <f t="shared" si="3"/>
        <v>1</v>
      </c>
    </row>
    <row r="24" spans="2:122" ht="30" customHeight="1" thickBot="1" x14ac:dyDescent="0.25">
      <c r="B24" s="5" t="s">
        <v>84</v>
      </c>
      <c r="C24" s="6" t="s">
        <v>63</v>
      </c>
      <c r="D24" s="6"/>
      <c r="E24" s="232" t="s">
        <v>85</v>
      </c>
      <c r="F24" s="232" t="s">
        <v>85</v>
      </c>
      <c r="G24" s="244" t="s">
        <v>85</v>
      </c>
      <c r="H24" s="244" t="s">
        <v>85</v>
      </c>
      <c r="I24" s="244" t="s">
        <v>85</v>
      </c>
      <c r="J24" s="244" t="s">
        <v>85</v>
      </c>
      <c r="K24" s="244"/>
      <c r="L24" s="244"/>
      <c r="M24" s="189" t="s">
        <v>191</v>
      </c>
      <c r="N24" s="189" t="s">
        <v>191</v>
      </c>
      <c r="O24" s="189" t="s">
        <v>191</v>
      </c>
      <c r="P24" s="189" t="s">
        <v>191</v>
      </c>
      <c r="Q24" s="189" t="s">
        <v>191</v>
      </c>
      <c r="R24" s="189" t="s">
        <v>191</v>
      </c>
      <c r="S24" s="15"/>
      <c r="T24" s="15"/>
      <c r="U24" s="15"/>
      <c r="V24" s="15"/>
      <c r="W24" t="s">
        <v>86</v>
      </c>
      <c r="X24" s="119">
        <v>10</v>
      </c>
      <c r="Y24" s="119">
        <v>10</v>
      </c>
      <c r="Z24" s="17" t="s">
        <v>20</v>
      </c>
      <c r="AA24" s="253" t="s">
        <v>49</v>
      </c>
      <c r="AB24" s="17">
        <f>Y24/Capacity!$B$2</f>
        <v>1.4285714285714286</v>
      </c>
      <c r="AC24" s="17">
        <f>Y24/Capacity!$B$3</f>
        <v>1.25</v>
      </c>
      <c r="AD24" s="17"/>
      <c r="AE24" s="251"/>
      <c r="AF24" s="251"/>
      <c r="AG24" s="17"/>
      <c r="AH24" s="17"/>
      <c r="AI24" s="17"/>
      <c r="AJ24" s="17" t="s">
        <v>26</v>
      </c>
      <c r="AK24" s="122" t="s">
        <v>27</v>
      </c>
      <c r="AL24" s="251"/>
      <c r="AM24" s="251"/>
      <c r="AN24" s="17"/>
      <c r="AO24" s="17"/>
      <c r="AP24" s="17"/>
      <c r="AQ24" s="17"/>
      <c r="AR24" s="17"/>
      <c r="AS24" s="251"/>
      <c r="AT24" s="251"/>
      <c r="AU24" s="17"/>
      <c r="AV24" s="17"/>
      <c r="AW24" s="17"/>
      <c r="AX24" s="17"/>
      <c r="AY24" s="17"/>
      <c r="AZ24" s="251"/>
      <c r="BA24" s="251"/>
      <c r="BB24" s="17"/>
      <c r="BC24" s="17"/>
      <c r="BD24" s="17"/>
      <c r="BE24" s="17"/>
      <c r="BF24" s="17"/>
      <c r="BG24" s="251"/>
      <c r="BH24" s="251"/>
      <c r="BI24" s="17"/>
      <c r="BJ24" s="17"/>
      <c r="BK24" s="17"/>
      <c r="BL24" s="17"/>
      <c r="BM24" s="17"/>
      <c r="BN24" s="251"/>
      <c r="BO24" s="251"/>
      <c r="BP24" s="17"/>
      <c r="BQ24" s="17"/>
      <c r="BR24" s="17"/>
      <c r="BS24" s="17"/>
      <c r="BT24" s="17"/>
      <c r="BU24" s="251"/>
      <c r="BV24" s="251"/>
      <c r="BW24" s="17"/>
      <c r="BX24" s="17"/>
      <c r="BY24" s="17"/>
      <c r="BZ24" s="17"/>
      <c r="CA24" s="17"/>
      <c r="CB24" s="251"/>
      <c r="CC24" s="251"/>
      <c r="CD24" s="17"/>
      <c r="CE24" s="17" t="s">
        <v>20</v>
      </c>
      <c r="CF24" s="17"/>
      <c r="CG24" s="17"/>
      <c r="CH24" s="17"/>
      <c r="CI24" s="251"/>
      <c r="CJ24" s="251"/>
      <c r="CK24" s="17"/>
      <c r="CL24" s="17"/>
      <c r="CM24" s="17"/>
      <c r="CN24" s="17"/>
      <c r="CO24" s="17"/>
      <c r="CP24" s="251"/>
      <c r="CQ24" s="251"/>
      <c r="CR24" s="17"/>
      <c r="CS24" s="17"/>
      <c r="CT24" s="17"/>
      <c r="CU24" s="17"/>
      <c r="CV24" s="17"/>
      <c r="CW24" s="251"/>
      <c r="CX24" s="251"/>
      <c r="CY24" s="17"/>
      <c r="CZ24" s="17"/>
      <c r="DA24" s="17"/>
      <c r="DB24" s="17"/>
      <c r="DC24" s="17"/>
      <c r="DD24" s="251"/>
      <c r="DE24" s="251"/>
      <c r="DF24" s="17"/>
      <c r="DG24" s="17"/>
      <c r="DH24" s="17"/>
      <c r="DI24" s="17"/>
      <c r="DJ24" s="17"/>
      <c r="DK24" s="251"/>
      <c r="DL24" s="251"/>
      <c r="DM24" s="17"/>
      <c r="DN24" s="17"/>
      <c r="DO24" s="17"/>
      <c r="DP24" s="17"/>
      <c r="DQ24" s="17"/>
      <c r="DR24" s="17">
        <f t="shared" si="3"/>
        <v>1</v>
      </c>
    </row>
    <row r="25" spans="2:122" ht="30" customHeight="1" thickBot="1" x14ac:dyDescent="0.25">
      <c r="B25" s="5" t="s">
        <v>88</v>
      </c>
      <c r="C25" s="6" t="s">
        <v>63</v>
      </c>
      <c r="D25" s="6"/>
      <c r="E25" s="232" t="s">
        <v>85</v>
      </c>
      <c r="F25" s="232" t="s">
        <v>85</v>
      </c>
      <c r="G25" s="244" t="s">
        <v>85</v>
      </c>
      <c r="H25" s="244" t="s">
        <v>85</v>
      </c>
      <c r="I25" s="244" t="s">
        <v>85</v>
      </c>
      <c r="J25" s="244" t="s">
        <v>85</v>
      </c>
      <c r="K25" s="244"/>
      <c r="L25" s="244"/>
      <c r="M25" s="189" t="s">
        <v>191</v>
      </c>
      <c r="N25" s="189" t="s">
        <v>191</v>
      </c>
      <c r="O25" s="189" t="s">
        <v>191</v>
      </c>
      <c r="P25" s="189" t="s">
        <v>191</v>
      </c>
      <c r="Q25" s="189" t="s">
        <v>191</v>
      </c>
      <c r="R25" s="189" t="s">
        <v>191</v>
      </c>
      <c r="S25" s="15"/>
      <c r="T25" s="15"/>
      <c r="U25" s="15"/>
      <c r="V25" s="15"/>
      <c r="W25" s="7" t="s">
        <v>89</v>
      </c>
      <c r="X25" s="48">
        <v>19</v>
      </c>
      <c r="Y25" s="48">
        <v>19</v>
      </c>
      <c r="Z25" s="17" t="s">
        <v>20</v>
      </c>
      <c r="AA25" s="17" t="s">
        <v>41</v>
      </c>
      <c r="AB25" s="17">
        <f>Y25/Capacity!$B$2</f>
        <v>2.7142857142857144</v>
      </c>
      <c r="AC25" s="17">
        <f>Y25/Capacity!$B$3</f>
        <v>2.375</v>
      </c>
      <c r="AD25" s="17"/>
      <c r="AE25" s="251"/>
      <c r="AF25" s="251"/>
      <c r="AG25" s="17"/>
      <c r="AH25" s="17" t="s">
        <v>26</v>
      </c>
      <c r="AI25" s="17" t="s">
        <v>26</v>
      </c>
      <c r="AJ25" s="17" t="s">
        <v>26</v>
      </c>
      <c r="AK25" s="122" t="s">
        <v>27</v>
      </c>
      <c r="AL25" s="251"/>
      <c r="AM25" s="251"/>
      <c r="AN25" s="17"/>
      <c r="AO25" s="17"/>
      <c r="AP25" s="17"/>
      <c r="AQ25" s="17"/>
      <c r="AR25" s="17"/>
      <c r="AS25" s="251"/>
      <c r="AT25" s="251"/>
      <c r="AU25" s="17"/>
      <c r="AV25" s="17"/>
      <c r="AW25" s="17"/>
      <c r="AX25" s="17"/>
      <c r="AY25" s="17"/>
      <c r="AZ25" s="251"/>
      <c r="BA25" s="251"/>
      <c r="BB25" s="17"/>
      <c r="BC25" s="17"/>
      <c r="BD25" s="17"/>
      <c r="BE25" s="17"/>
      <c r="BF25" s="17"/>
      <c r="BG25" s="251"/>
      <c r="BH25" s="251"/>
      <c r="BI25" s="17"/>
      <c r="BJ25" s="17"/>
      <c r="BK25" s="17"/>
      <c r="BL25" s="17"/>
      <c r="BM25" s="17"/>
      <c r="BN25" s="251"/>
      <c r="BO25" s="251"/>
      <c r="BP25" s="17"/>
      <c r="BQ25" s="17"/>
      <c r="BR25" s="17"/>
      <c r="BS25" s="17"/>
      <c r="BT25" s="17"/>
      <c r="BU25" s="251"/>
      <c r="BV25" s="251"/>
      <c r="BW25" s="17"/>
      <c r="BX25" s="17"/>
      <c r="BY25" s="17"/>
      <c r="BZ25" s="17"/>
      <c r="CA25" s="17"/>
      <c r="CB25" s="251"/>
      <c r="CC25" s="251"/>
      <c r="CD25" s="17" t="s">
        <v>20</v>
      </c>
      <c r="CE25" s="17"/>
      <c r="CF25" s="17" t="s">
        <v>20</v>
      </c>
      <c r="CG25" s="17" t="s">
        <v>20</v>
      </c>
      <c r="CH25" s="17"/>
      <c r="CI25" s="251"/>
      <c r="CJ25" s="251"/>
      <c r="CK25" s="17"/>
      <c r="CL25" s="17"/>
      <c r="CM25" s="17"/>
      <c r="CN25" s="17"/>
      <c r="CO25" s="17"/>
      <c r="CP25" s="251"/>
      <c r="CQ25" s="251"/>
      <c r="CR25" s="17"/>
      <c r="CS25" s="17"/>
      <c r="CT25" s="17"/>
      <c r="CU25" s="17"/>
      <c r="CV25" s="17"/>
      <c r="CW25" s="251"/>
      <c r="CX25" s="251"/>
      <c r="CY25" s="17"/>
      <c r="CZ25" s="17"/>
      <c r="DA25" s="17"/>
      <c r="DB25" s="17"/>
      <c r="DC25" s="17"/>
      <c r="DD25" s="251"/>
      <c r="DE25" s="251"/>
      <c r="DF25" s="17"/>
      <c r="DG25" s="17"/>
      <c r="DH25" s="17"/>
      <c r="DI25" s="17"/>
      <c r="DJ25" s="17"/>
      <c r="DK25" s="251"/>
      <c r="DL25" s="251"/>
      <c r="DM25" s="17"/>
      <c r="DN25" s="17"/>
      <c r="DO25" s="17"/>
      <c r="DP25" s="17"/>
      <c r="DQ25" s="17"/>
      <c r="DR25" s="17">
        <f t="shared" si="3"/>
        <v>3</v>
      </c>
    </row>
    <row r="26" spans="2:122" ht="30" customHeight="1" thickBot="1" x14ac:dyDescent="0.25">
      <c r="B26" s="5" t="s">
        <v>90</v>
      </c>
      <c r="C26" s="6" t="s">
        <v>63</v>
      </c>
      <c r="D26" s="6"/>
      <c r="E26" s="232" t="s">
        <v>85</v>
      </c>
      <c r="F26" s="232" t="s">
        <v>85</v>
      </c>
      <c r="G26" s="244" t="s">
        <v>85</v>
      </c>
      <c r="H26" s="244" t="s">
        <v>85</v>
      </c>
      <c r="I26" s="244" t="s">
        <v>85</v>
      </c>
      <c r="J26" s="244" t="s">
        <v>85</v>
      </c>
      <c r="K26" s="244"/>
      <c r="L26" s="244"/>
      <c r="M26" s="189" t="s">
        <v>191</v>
      </c>
      <c r="N26" s="189" t="s">
        <v>191</v>
      </c>
      <c r="O26" s="189" t="s">
        <v>191</v>
      </c>
      <c r="P26" s="189" t="s">
        <v>191</v>
      </c>
      <c r="Q26" s="189" t="s">
        <v>191</v>
      </c>
      <c r="R26" s="189" t="s">
        <v>191</v>
      </c>
      <c r="S26" s="15"/>
      <c r="T26" s="15"/>
      <c r="U26" s="15"/>
      <c r="V26" s="15"/>
      <c r="W26" s="7" t="s">
        <v>91</v>
      </c>
      <c r="X26" s="48">
        <v>41</v>
      </c>
      <c r="Y26" s="48">
        <v>41</v>
      </c>
      <c r="Z26" s="17" t="s">
        <v>20</v>
      </c>
      <c r="AA26" s="17" t="s">
        <v>49</v>
      </c>
      <c r="AB26" s="17">
        <f>Y26/Capacity!$B$2</f>
        <v>5.8571428571428568</v>
      </c>
      <c r="AC26" s="17">
        <f>Y26/Capacity!$B$3</f>
        <v>5.125</v>
      </c>
      <c r="AD26" s="17"/>
      <c r="AE26" s="251"/>
      <c r="AF26" s="251"/>
      <c r="AG26" s="17"/>
      <c r="AH26" s="17"/>
      <c r="AI26" s="17"/>
      <c r="AJ26" s="17"/>
      <c r="AK26" s="17"/>
      <c r="AL26" s="251"/>
      <c r="AM26" s="251"/>
      <c r="AN26" s="17" t="s">
        <v>26</v>
      </c>
      <c r="AO26" s="17" t="s">
        <v>26</v>
      </c>
      <c r="AP26" s="17" t="s">
        <v>26</v>
      </c>
      <c r="AQ26" s="17" t="s">
        <v>26</v>
      </c>
      <c r="AR26" s="17" t="s">
        <v>26</v>
      </c>
      <c r="AS26" s="251"/>
      <c r="AT26" s="251"/>
      <c r="AU26" s="122" t="s">
        <v>27</v>
      </c>
      <c r="AV26" s="17"/>
      <c r="AW26" s="17"/>
      <c r="AX26" s="17"/>
      <c r="AY26" s="17"/>
      <c r="AZ26" s="251"/>
      <c r="BA26" s="251"/>
      <c r="BB26" s="17"/>
      <c r="BC26" s="17"/>
      <c r="BD26" s="17"/>
      <c r="BE26" s="17"/>
      <c r="BF26" s="17"/>
      <c r="BG26" s="251"/>
      <c r="BH26" s="251"/>
      <c r="BI26" s="17"/>
      <c r="BJ26" s="17"/>
      <c r="BK26" s="17"/>
      <c r="BL26" s="17"/>
      <c r="BM26" s="17"/>
      <c r="BN26" s="251"/>
      <c r="BO26" s="251"/>
      <c r="BP26" s="17"/>
      <c r="BQ26" s="17"/>
      <c r="BR26" s="17"/>
      <c r="BS26" s="17"/>
      <c r="BT26" s="17" t="s">
        <v>20</v>
      </c>
      <c r="BU26" s="251"/>
      <c r="BV26" s="251"/>
      <c r="BW26" s="17"/>
      <c r="BX26" s="17"/>
      <c r="BY26" s="17"/>
      <c r="BZ26" s="17"/>
      <c r="CA26" s="17"/>
      <c r="CB26" s="251"/>
      <c r="CC26" s="251"/>
      <c r="CD26" s="17"/>
      <c r="CE26" s="17" t="s">
        <v>20</v>
      </c>
      <c r="CF26" s="17" t="s">
        <v>20</v>
      </c>
      <c r="CG26" s="17"/>
      <c r="CH26" s="17" t="s">
        <v>20</v>
      </c>
      <c r="CI26" s="251"/>
      <c r="CJ26" s="251"/>
      <c r="CK26" s="17"/>
      <c r="CL26" s="17"/>
      <c r="CM26" s="17"/>
      <c r="CN26" s="17"/>
      <c r="CO26" s="17"/>
      <c r="CP26" s="251"/>
      <c r="CQ26" s="251"/>
      <c r="CR26" s="17"/>
      <c r="CS26" s="17"/>
      <c r="CT26" s="17"/>
      <c r="CU26" s="17"/>
      <c r="CV26" s="17"/>
      <c r="CW26" s="251"/>
      <c r="CX26" s="251"/>
      <c r="CY26" s="17"/>
      <c r="CZ26" s="17"/>
      <c r="DA26" s="17"/>
      <c r="DB26" s="17"/>
      <c r="DC26" s="17"/>
      <c r="DD26" s="251"/>
      <c r="DE26" s="251"/>
      <c r="DF26" s="17"/>
      <c r="DG26" s="17"/>
      <c r="DH26" s="17"/>
      <c r="DI26" s="17"/>
      <c r="DJ26" s="17"/>
      <c r="DK26" s="251"/>
      <c r="DL26" s="251"/>
      <c r="DM26" s="17"/>
      <c r="DN26" s="17"/>
      <c r="DO26" s="17"/>
      <c r="DP26" s="17"/>
      <c r="DQ26" s="17"/>
      <c r="DR26" s="17">
        <f t="shared" si="3"/>
        <v>5</v>
      </c>
    </row>
    <row r="27" spans="2:122" ht="30" customHeight="1" thickBot="1" x14ac:dyDescent="0.25">
      <c r="B27" s="5" t="s">
        <v>92</v>
      </c>
      <c r="C27" s="6" t="s">
        <v>63</v>
      </c>
      <c r="D27" s="13"/>
      <c r="E27" s="232" t="s">
        <v>85</v>
      </c>
      <c r="F27" s="232" t="s">
        <v>85</v>
      </c>
      <c r="G27" s="244" t="s">
        <v>85</v>
      </c>
      <c r="H27" s="244" t="s">
        <v>85</v>
      </c>
      <c r="I27" s="232" t="s">
        <v>85</v>
      </c>
      <c r="J27" s="232" t="s">
        <v>85</v>
      </c>
      <c r="K27" s="254"/>
      <c r="L27" s="254"/>
      <c r="M27" s="189" t="s">
        <v>191</v>
      </c>
      <c r="N27" s="189" t="s">
        <v>191</v>
      </c>
      <c r="O27" s="189" t="s">
        <v>191</v>
      </c>
      <c r="P27" s="189" t="s">
        <v>191</v>
      </c>
      <c r="Q27" s="189" t="s">
        <v>191</v>
      </c>
      <c r="R27" s="189" t="s">
        <v>191</v>
      </c>
      <c r="S27" s="187"/>
      <c r="T27" s="187"/>
      <c r="U27" s="187"/>
      <c r="V27" s="187"/>
      <c r="W27" s="17" t="s">
        <v>93</v>
      </c>
      <c r="X27" s="48">
        <v>47</v>
      </c>
      <c r="Y27" s="48">
        <v>47</v>
      </c>
      <c r="Z27" s="17" t="s">
        <v>20</v>
      </c>
      <c r="AA27" s="17" t="s">
        <v>41</v>
      </c>
      <c r="AB27" s="17">
        <f>Y27/Capacity!$B$2</f>
        <v>6.7142857142857144</v>
      </c>
      <c r="AC27" s="17">
        <f>Y27/Capacity!$B$3</f>
        <v>5.875</v>
      </c>
      <c r="AD27" s="17"/>
      <c r="AE27" s="251"/>
      <c r="AF27" s="251"/>
      <c r="AG27" s="17"/>
      <c r="AH27" s="17"/>
      <c r="AI27" s="17"/>
      <c r="AJ27" s="17"/>
      <c r="AK27" s="17" t="s">
        <v>26</v>
      </c>
      <c r="AL27" s="251"/>
      <c r="AM27" s="251"/>
      <c r="AN27" s="17" t="s">
        <v>26</v>
      </c>
      <c r="AO27" s="17" t="s">
        <v>26</v>
      </c>
      <c r="AP27" s="17" t="s">
        <v>26</v>
      </c>
      <c r="AQ27" s="17" t="s">
        <v>26</v>
      </c>
      <c r="AR27" s="17" t="s">
        <v>26</v>
      </c>
      <c r="AS27" s="251"/>
      <c r="AT27" s="251"/>
      <c r="AU27" s="122" t="s">
        <v>27</v>
      </c>
      <c r="AV27" s="17"/>
      <c r="AW27" s="17"/>
      <c r="AX27" s="17"/>
      <c r="AY27" s="17"/>
      <c r="AZ27" s="251"/>
      <c r="BA27" s="251"/>
      <c r="BB27" s="17"/>
      <c r="BC27" s="17"/>
      <c r="BD27" s="17"/>
      <c r="BE27" s="17"/>
      <c r="BF27" s="17"/>
      <c r="BG27" s="251"/>
      <c r="BH27" s="251"/>
      <c r="BI27" s="17"/>
      <c r="BJ27" s="17"/>
      <c r="BK27" s="17"/>
      <c r="BL27" s="17"/>
      <c r="BM27" s="17"/>
      <c r="BN27" s="251"/>
      <c r="BO27" s="251"/>
      <c r="BP27" s="17"/>
      <c r="BQ27" s="17"/>
      <c r="BR27" s="17"/>
      <c r="BS27" s="17"/>
      <c r="BT27" s="17"/>
      <c r="BU27" s="251"/>
      <c r="BV27" s="251"/>
      <c r="BW27" s="17"/>
      <c r="BX27" s="17"/>
      <c r="BY27" s="17"/>
      <c r="BZ27" s="17"/>
      <c r="CA27" s="17"/>
      <c r="CB27" s="251"/>
      <c r="CC27" s="251"/>
      <c r="CD27" s="17"/>
      <c r="CE27" s="17"/>
      <c r="CF27" s="17"/>
      <c r="CG27" s="17"/>
      <c r="CH27" s="17"/>
      <c r="CI27" s="251"/>
      <c r="CJ27" s="251"/>
      <c r="CK27" s="17"/>
      <c r="CL27" s="17"/>
      <c r="CM27" s="17"/>
      <c r="CN27" s="17"/>
      <c r="CO27" s="17"/>
      <c r="CP27" s="251"/>
      <c r="CQ27" s="251"/>
      <c r="CR27" s="17"/>
      <c r="CS27" s="17"/>
      <c r="CT27" s="17"/>
      <c r="CU27" s="17"/>
      <c r="CV27" s="17"/>
      <c r="CW27" s="251"/>
      <c r="CX27" s="251"/>
      <c r="CY27" s="17"/>
      <c r="CZ27" s="17"/>
      <c r="DA27" s="17"/>
      <c r="DB27" s="17"/>
      <c r="DC27" s="17"/>
      <c r="DD27" s="251"/>
      <c r="DE27" s="251"/>
      <c r="DF27" s="17"/>
      <c r="DG27" s="17"/>
      <c r="DH27" s="17"/>
      <c r="DI27" s="17"/>
      <c r="DJ27" s="17"/>
      <c r="DK27" s="251"/>
      <c r="DL27" s="251"/>
      <c r="DM27" s="17"/>
      <c r="DN27" s="17"/>
      <c r="DO27" s="17"/>
      <c r="DP27" s="17"/>
      <c r="DQ27" s="17"/>
      <c r="DR27" s="17">
        <f t="shared" si="3"/>
        <v>6</v>
      </c>
    </row>
    <row r="28" spans="2:122" ht="30" customHeight="1" thickBot="1" x14ac:dyDescent="0.25">
      <c r="B28" s="21" t="s">
        <v>94</v>
      </c>
      <c r="C28" s="6" t="s">
        <v>63</v>
      </c>
      <c r="D28" s="22"/>
      <c r="E28" s="245" t="s">
        <v>85</v>
      </c>
      <c r="F28" s="245" t="s">
        <v>85</v>
      </c>
      <c r="G28" s="246" t="s">
        <v>85</v>
      </c>
      <c r="H28" s="246" t="s">
        <v>85</v>
      </c>
      <c r="I28" s="245" t="s">
        <v>85</v>
      </c>
      <c r="J28" s="245" t="s">
        <v>85</v>
      </c>
      <c r="K28" s="255"/>
      <c r="L28" s="255"/>
      <c r="M28" s="189" t="s">
        <v>191</v>
      </c>
      <c r="N28" s="189" t="s">
        <v>191</v>
      </c>
      <c r="O28" s="189" t="s">
        <v>191</v>
      </c>
      <c r="P28" s="189" t="s">
        <v>191</v>
      </c>
      <c r="Q28" s="188"/>
      <c r="R28" s="188"/>
      <c r="S28" s="188"/>
      <c r="T28" s="188"/>
      <c r="U28" s="188"/>
      <c r="V28" s="188"/>
      <c r="W28" s="25" t="s">
        <v>95</v>
      </c>
      <c r="X28" s="64">
        <v>5</v>
      </c>
      <c r="Y28" s="64">
        <v>5</v>
      </c>
      <c r="Z28" s="25" t="s">
        <v>20</v>
      </c>
      <c r="AA28" s="25" t="s">
        <v>41</v>
      </c>
      <c r="AB28" s="17">
        <f>Y28/Capacity!$B$2</f>
        <v>0.7142857142857143</v>
      </c>
      <c r="AC28" s="17">
        <f>Y28/Capacity!$B$3</f>
        <v>0.625</v>
      </c>
      <c r="AD28" s="17"/>
      <c r="AE28" s="251"/>
      <c r="AF28" s="251"/>
      <c r="AG28" s="17"/>
      <c r="AH28" s="17"/>
      <c r="AI28" s="17"/>
      <c r="AJ28" s="17"/>
      <c r="AK28" s="17"/>
      <c r="AL28" s="251"/>
      <c r="AM28" s="251"/>
      <c r="AN28" s="17"/>
      <c r="AO28" s="17"/>
      <c r="AP28" s="17"/>
      <c r="AQ28" s="17"/>
      <c r="AR28" s="17"/>
      <c r="AS28" s="251"/>
      <c r="AT28" s="251"/>
      <c r="AU28" s="17"/>
      <c r="AV28" s="17"/>
      <c r="AW28" s="17"/>
      <c r="AX28" s="17"/>
      <c r="AY28" s="17"/>
      <c r="AZ28" s="251"/>
      <c r="BA28" s="251"/>
      <c r="BB28" s="17"/>
      <c r="BC28" s="17"/>
      <c r="BD28" s="17"/>
      <c r="BE28" s="17"/>
      <c r="BF28" s="17"/>
      <c r="BG28" s="251"/>
      <c r="BH28" s="251"/>
      <c r="BI28" s="17"/>
      <c r="BJ28" s="17"/>
      <c r="BK28" s="17"/>
      <c r="BL28" s="17"/>
      <c r="BM28" s="17"/>
      <c r="BN28" s="251"/>
      <c r="BO28" s="251"/>
      <c r="BP28" s="17"/>
      <c r="BQ28" s="17"/>
      <c r="BR28" s="17"/>
      <c r="BS28" s="17"/>
      <c r="BT28" s="17"/>
      <c r="BU28" s="251"/>
      <c r="BV28" s="251"/>
      <c r="BW28" s="17"/>
      <c r="BX28" s="17"/>
      <c r="BY28" s="17"/>
      <c r="BZ28" s="17" t="s">
        <v>26</v>
      </c>
      <c r="CA28" s="122" t="s">
        <v>27</v>
      </c>
      <c r="CB28" s="251"/>
      <c r="CC28" s="251"/>
      <c r="CD28" s="17"/>
      <c r="CE28" s="17"/>
      <c r="CF28" s="17"/>
      <c r="CG28" s="17"/>
      <c r="CH28" s="17"/>
      <c r="CI28" s="251"/>
      <c r="CJ28" s="251"/>
      <c r="CK28" s="17"/>
      <c r="CL28" s="17"/>
      <c r="CM28" s="17"/>
      <c r="CN28" s="17"/>
      <c r="CO28" s="17"/>
      <c r="CP28" s="251"/>
      <c r="CQ28" s="251"/>
      <c r="CR28" s="17"/>
      <c r="CS28" s="17"/>
      <c r="CT28" s="17"/>
      <c r="CU28" s="17"/>
      <c r="CV28" s="17"/>
      <c r="CW28" s="251"/>
      <c r="CX28" s="251"/>
      <c r="CY28" s="17"/>
      <c r="CZ28" s="17"/>
      <c r="DA28" s="17"/>
      <c r="DB28" s="17"/>
      <c r="DC28" s="17"/>
      <c r="DD28" s="251"/>
      <c r="DE28" s="251"/>
      <c r="DF28" s="17"/>
      <c r="DG28" s="17"/>
      <c r="DH28" s="17"/>
      <c r="DI28" s="17"/>
      <c r="DJ28" s="17"/>
      <c r="DK28" s="251"/>
      <c r="DL28" s="251"/>
      <c r="DM28" s="17"/>
      <c r="DN28" s="17"/>
      <c r="DO28" s="17"/>
      <c r="DP28" s="17"/>
      <c r="DQ28" s="17"/>
      <c r="DR28" s="17">
        <f t="shared" si="3"/>
        <v>1</v>
      </c>
    </row>
    <row r="29" spans="2:122" ht="15.75" customHeight="1" thickBot="1" x14ac:dyDescent="0.25">
      <c r="B29" s="26"/>
      <c r="C29" s="27"/>
      <c r="D29" s="27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66">
        <f>SUM(X3:X28)</f>
        <v>2149</v>
      </c>
      <c r="Y29" s="66">
        <f>SUM(Y3:Y28)</f>
        <v>1778</v>
      </c>
      <c r="Z29" s="29">
        <f>SUM(Y3:Z28)</f>
        <v>1848</v>
      </c>
      <c r="AA29" s="29"/>
      <c r="AB29" s="29">
        <f>SUM(AB3:AB28)</f>
        <v>254.00000000000006</v>
      </c>
      <c r="AC29" s="29">
        <f>SUM(AC3:AC28)</f>
        <v>222.25</v>
      </c>
      <c r="AD29" s="29">
        <f t="shared" ref="AD29:BI29" si="10">COUNTIF(AD3:AD28, "X")</f>
        <v>0</v>
      </c>
      <c r="AE29" s="29">
        <f t="shared" si="10"/>
        <v>0</v>
      </c>
      <c r="AF29" s="29">
        <f t="shared" si="10"/>
        <v>0</v>
      </c>
      <c r="AG29" s="29">
        <f t="shared" si="10"/>
        <v>2</v>
      </c>
      <c r="AH29" s="29">
        <f t="shared" si="10"/>
        <v>3</v>
      </c>
      <c r="AI29" s="29">
        <f t="shared" si="10"/>
        <v>3</v>
      </c>
      <c r="AJ29" s="29">
        <f t="shared" si="10"/>
        <v>4</v>
      </c>
      <c r="AK29" s="29">
        <f t="shared" si="10"/>
        <v>3</v>
      </c>
      <c r="AL29" s="29">
        <f t="shared" si="10"/>
        <v>0</v>
      </c>
      <c r="AM29" s="29">
        <f t="shared" si="10"/>
        <v>0</v>
      </c>
      <c r="AN29" s="29">
        <f t="shared" si="10"/>
        <v>4</v>
      </c>
      <c r="AO29" s="29">
        <f t="shared" si="10"/>
        <v>4</v>
      </c>
      <c r="AP29" s="29">
        <f t="shared" si="10"/>
        <v>4</v>
      </c>
      <c r="AQ29" s="29">
        <f t="shared" si="10"/>
        <v>4</v>
      </c>
      <c r="AR29" s="29">
        <f t="shared" si="10"/>
        <v>5</v>
      </c>
      <c r="AS29" s="29">
        <f t="shared" si="10"/>
        <v>0</v>
      </c>
      <c r="AT29" s="29">
        <f t="shared" si="10"/>
        <v>0</v>
      </c>
      <c r="AU29" s="29">
        <f t="shared" si="10"/>
        <v>4</v>
      </c>
      <c r="AV29" s="29">
        <f t="shared" si="10"/>
        <v>5</v>
      </c>
      <c r="AW29" s="29">
        <f t="shared" si="10"/>
        <v>5</v>
      </c>
      <c r="AX29" s="29">
        <f t="shared" si="10"/>
        <v>6</v>
      </c>
      <c r="AY29" s="29">
        <f t="shared" si="10"/>
        <v>5</v>
      </c>
      <c r="AZ29" s="29">
        <f t="shared" si="10"/>
        <v>0</v>
      </c>
      <c r="BA29" s="29">
        <f t="shared" si="10"/>
        <v>0</v>
      </c>
      <c r="BB29" s="29">
        <f t="shared" si="10"/>
        <v>5</v>
      </c>
      <c r="BC29" s="29">
        <f t="shared" si="10"/>
        <v>4</v>
      </c>
      <c r="BD29" s="29">
        <f t="shared" si="10"/>
        <v>4</v>
      </c>
      <c r="BE29" s="29">
        <f t="shared" si="10"/>
        <v>3</v>
      </c>
      <c r="BF29" s="29">
        <f t="shared" si="10"/>
        <v>3</v>
      </c>
      <c r="BG29" s="29">
        <f t="shared" si="10"/>
        <v>0</v>
      </c>
      <c r="BH29" s="29">
        <f t="shared" si="10"/>
        <v>0</v>
      </c>
      <c r="BI29" s="29">
        <f t="shared" si="10"/>
        <v>5</v>
      </c>
      <c r="BJ29" s="29">
        <f t="shared" ref="BJ29:CO29" si="11">COUNTIF(BJ3:BJ28, "X")</f>
        <v>5</v>
      </c>
      <c r="BK29" s="29">
        <f t="shared" si="11"/>
        <v>5</v>
      </c>
      <c r="BL29" s="29">
        <f t="shared" si="11"/>
        <v>5</v>
      </c>
      <c r="BM29" s="29">
        <f t="shared" si="11"/>
        <v>5</v>
      </c>
      <c r="BN29" s="29">
        <f t="shared" si="11"/>
        <v>0</v>
      </c>
      <c r="BO29" s="29">
        <f t="shared" si="11"/>
        <v>0</v>
      </c>
      <c r="BP29" s="29">
        <f t="shared" si="11"/>
        <v>5</v>
      </c>
      <c r="BQ29" s="29">
        <f t="shared" si="11"/>
        <v>5</v>
      </c>
      <c r="BR29" s="29">
        <f t="shared" si="11"/>
        <v>5</v>
      </c>
      <c r="BS29" s="29">
        <f t="shared" si="11"/>
        <v>5</v>
      </c>
      <c r="BT29" s="29">
        <f t="shared" si="11"/>
        <v>5</v>
      </c>
      <c r="BU29" s="29">
        <f t="shared" si="11"/>
        <v>0</v>
      </c>
      <c r="BV29" s="29">
        <f t="shared" si="11"/>
        <v>0</v>
      </c>
      <c r="BW29" s="29">
        <f t="shared" si="11"/>
        <v>5</v>
      </c>
      <c r="BX29" s="29">
        <f t="shared" si="11"/>
        <v>5</v>
      </c>
      <c r="BY29" s="29">
        <f t="shared" si="11"/>
        <v>5</v>
      </c>
      <c r="BZ29" s="29">
        <f t="shared" si="11"/>
        <v>5</v>
      </c>
      <c r="CA29" s="29">
        <f t="shared" si="11"/>
        <v>4</v>
      </c>
      <c r="CB29" s="29">
        <f t="shared" si="11"/>
        <v>0</v>
      </c>
      <c r="CC29" s="29">
        <f t="shared" si="11"/>
        <v>0</v>
      </c>
      <c r="CD29" s="29">
        <f t="shared" si="11"/>
        <v>5</v>
      </c>
      <c r="CE29" s="29">
        <f t="shared" si="11"/>
        <v>5</v>
      </c>
      <c r="CF29" s="29">
        <f t="shared" si="11"/>
        <v>5</v>
      </c>
      <c r="CG29" s="29">
        <f t="shared" si="11"/>
        <v>5</v>
      </c>
      <c r="CH29" s="29">
        <f t="shared" si="11"/>
        <v>5</v>
      </c>
      <c r="CI29" s="29">
        <f t="shared" si="11"/>
        <v>0</v>
      </c>
      <c r="CJ29" s="29">
        <f t="shared" si="11"/>
        <v>0</v>
      </c>
      <c r="CK29" s="29">
        <f t="shared" si="11"/>
        <v>5</v>
      </c>
      <c r="CL29" s="29">
        <f t="shared" si="11"/>
        <v>5</v>
      </c>
      <c r="CM29" s="29">
        <f t="shared" si="11"/>
        <v>5</v>
      </c>
      <c r="CN29" s="29">
        <f t="shared" si="11"/>
        <v>5</v>
      </c>
      <c r="CO29" s="29">
        <f t="shared" si="11"/>
        <v>4</v>
      </c>
      <c r="CP29" s="29">
        <f t="shared" ref="CP29:DQ29" si="12">COUNTIF(CP3:CP28, "X")</f>
        <v>0</v>
      </c>
      <c r="CQ29" s="29">
        <f t="shared" si="12"/>
        <v>0</v>
      </c>
      <c r="CR29" s="29">
        <f t="shared" si="12"/>
        <v>3</v>
      </c>
      <c r="CS29" s="29">
        <f t="shared" si="12"/>
        <v>4</v>
      </c>
      <c r="CT29" s="29">
        <f t="shared" si="12"/>
        <v>4</v>
      </c>
      <c r="CU29" s="29">
        <f t="shared" si="12"/>
        <v>4</v>
      </c>
      <c r="CV29" s="29">
        <f t="shared" si="12"/>
        <v>3</v>
      </c>
      <c r="CW29" s="29">
        <f t="shared" si="12"/>
        <v>0</v>
      </c>
      <c r="CX29" s="29">
        <f t="shared" si="12"/>
        <v>0</v>
      </c>
      <c r="CY29" s="29">
        <f t="shared" si="12"/>
        <v>3</v>
      </c>
      <c r="CZ29" s="29">
        <f t="shared" si="12"/>
        <v>3</v>
      </c>
      <c r="DA29" s="29">
        <f t="shared" si="12"/>
        <v>3</v>
      </c>
      <c r="DB29" s="29">
        <f t="shared" si="12"/>
        <v>3</v>
      </c>
      <c r="DC29" s="29">
        <f t="shared" si="12"/>
        <v>2</v>
      </c>
      <c r="DD29" s="29">
        <f t="shared" si="12"/>
        <v>0</v>
      </c>
      <c r="DE29" s="29">
        <f t="shared" si="12"/>
        <v>0</v>
      </c>
      <c r="DF29" s="29">
        <f t="shared" si="12"/>
        <v>2</v>
      </c>
      <c r="DG29" s="29">
        <f t="shared" si="12"/>
        <v>1</v>
      </c>
      <c r="DH29" s="29">
        <f t="shared" si="12"/>
        <v>0</v>
      </c>
      <c r="DI29" s="29">
        <f t="shared" si="12"/>
        <v>0</v>
      </c>
      <c r="DJ29" s="29">
        <f t="shared" si="12"/>
        <v>0</v>
      </c>
      <c r="DK29" s="29">
        <f t="shared" si="12"/>
        <v>0</v>
      </c>
      <c r="DL29" s="29">
        <f t="shared" si="12"/>
        <v>0</v>
      </c>
      <c r="DM29" s="29">
        <f t="shared" si="12"/>
        <v>0</v>
      </c>
      <c r="DN29" s="29">
        <f t="shared" si="12"/>
        <v>0</v>
      </c>
      <c r="DO29" s="29">
        <f t="shared" si="12"/>
        <v>0</v>
      </c>
      <c r="DP29" s="29">
        <f t="shared" si="12"/>
        <v>0</v>
      </c>
      <c r="DQ29" s="29">
        <f t="shared" si="12"/>
        <v>0</v>
      </c>
      <c r="DR29" s="29">
        <f>SUM(DR3:DR28)</f>
        <v>238</v>
      </c>
    </row>
    <row r="30" spans="2:122" ht="15.75" customHeight="1" x14ac:dyDescent="0.2">
      <c r="C30" s="1"/>
      <c r="D30" s="1"/>
    </row>
    <row r="31" spans="2:122" ht="15.75" customHeight="1" x14ac:dyDescent="0.2">
      <c r="B31" s="238" t="s">
        <v>329</v>
      </c>
      <c r="C31" s="239" t="s">
        <v>333</v>
      </c>
      <c r="D31" s="1"/>
      <c r="AA31" s="76" t="s">
        <v>34</v>
      </c>
      <c r="AD31">
        <f t="shared" ref="AD31:AM35" si="13">COUNTIFS($AA$3:$AA$28, $AA31, AD$3:AD$28,"X")</f>
        <v>0</v>
      </c>
      <c r="AE31">
        <f t="shared" si="13"/>
        <v>0</v>
      </c>
      <c r="AF31">
        <f t="shared" si="13"/>
        <v>0</v>
      </c>
      <c r="AG31">
        <f t="shared" si="13"/>
        <v>0</v>
      </c>
      <c r="AH31">
        <f t="shared" si="13"/>
        <v>0</v>
      </c>
      <c r="AI31">
        <f t="shared" si="13"/>
        <v>0</v>
      </c>
      <c r="AJ31">
        <f t="shared" si="13"/>
        <v>0</v>
      </c>
      <c r="AK31">
        <f t="shared" si="13"/>
        <v>0</v>
      </c>
      <c r="AL31">
        <f t="shared" si="13"/>
        <v>0</v>
      </c>
      <c r="AM31">
        <f t="shared" si="13"/>
        <v>0</v>
      </c>
      <c r="AN31">
        <f t="shared" ref="AN31:AW35" si="14">COUNTIFS($AA$3:$AA$28, $AA31, AN$3:AN$28,"X")</f>
        <v>0</v>
      </c>
      <c r="AO31">
        <f t="shared" si="14"/>
        <v>0</v>
      </c>
      <c r="AP31">
        <f t="shared" si="14"/>
        <v>0</v>
      </c>
      <c r="AQ31">
        <f t="shared" si="14"/>
        <v>0</v>
      </c>
      <c r="AR31">
        <f t="shared" si="14"/>
        <v>0</v>
      </c>
      <c r="AS31">
        <f t="shared" si="14"/>
        <v>0</v>
      </c>
      <c r="AT31">
        <f t="shared" si="14"/>
        <v>0</v>
      </c>
      <c r="AU31">
        <f t="shared" si="14"/>
        <v>0</v>
      </c>
      <c r="AV31">
        <f t="shared" si="14"/>
        <v>0</v>
      </c>
      <c r="AW31">
        <f t="shared" si="14"/>
        <v>0</v>
      </c>
      <c r="AX31">
        <f t="shared" ref="AX31:BG35" si="15">COUNTIFS($AA$3:$AA$28, $AA31, AX$3:AX$28,"X")</f>
        <v>0</v>
      </c>
      <c r="AY31">
        <f t="shared" si="15"/>
        <v>0</v>
      </c>
      <c r="AZ31">
        <f t="shared" si="15"/>
        <v>0</v>
      </c>
      <c r="BA31">
        <f t="shared" si="15"/>
        <v>0</v>
      </c>
      <c r="BB31">
        <f t="shared" si="15"/>
        <v>0</v>
      </c>
      <c r="BC31">
        <f t="shared" si="15"/>
        <v>1</v>
      </c>
      <c r="BD31">
        <f t="shared" si="15"/>
        <v>1</v>
      </c>
      <c r="BE31">
        <f t="shared" si="15"/>
        <v>1</v>
      </c>
      <c r="BF31">
        <f t="shared" si="15"/>
        <v>1</v>
      </c>
      <c r="BG31">
        <f t="shared" si="15"/>
        <v>0</v>
      </c>
      <c r="BH31">
        <f t="shared" ref="BH31:BQ35" si="16">COUNTIFS($AA$3:$AA$28, $AA31, BH$3:BH$28,"X")</f>
        <v>0</v>
      </c>
      <c r="BI31">
        <f t="shared" si="16"/>
        <v>1</v>
      </c>
      <c r="BJ31">
        <f t="shared" si="16"/>
        <v>1</v>
      </c>
      <c r="BK31">
        <f t="shared" si="16"/>
        <v>1</v>
      </c>
      <c r="BL31">
        <f t="shared" si="16"/>
        <v>1</v>
      </c>
      <c r="BM31">
        <f t="shared" si="16"/>
        <v>1</v>
      </c>
      <c r="BN31">
        <f t="shared" si="16"/>
        <v>0</v>
      </c>
      <c r="BO31">
        <f t="shared" si="16"/>
        <v>0</v>
      </c>
      <c r="BP31">
        <f t="shared" si="16"/>
        <v>1</v>
      </c>
      <c r="BQ31">
        <f t="shared" si="16"/>
        <v>1</v>
      </c>
      <c r="BR31">
        <f t="shared" ref="BR31:CA35" si="17">COUNTIFS($AA$3:$AA$28, $AA31, BR$3:BR$28,"X")</f>
        <v>1</v>
      </c>
      <c r="BS31">
        <f t="shared" si="17"/>
        <v>1</v>
      </c>
      <c r="BT31">
        <f t="shared" si="17"/>
        <v>1</v>
      </c>
      <c r="BU31">
        <f t="shared" si="17"/>
        <v>0</v>
      </c>
      <c r="BV31">
        <f t="shared" si="17"/>
        <v>0</v>
      </c>
      <c r="BW31">
        <f t="shared" si="17"/>
        <v>1</v>
      </c>
      <c r="BX31">
        <f t="shared" si="17"/>
        <v>1</v>
      </c>
      <c r="BY31">
        <f t="shared" si="17"/>
        <v>1</v>
      </c>
      <c r="BZ31">
        <f t="shared" si="17"/>
        <v>1</v>
      </c>
      <c r="CA31">
        <f t="shared" si="17"/>
        <v>1</v>
      </c>
      <c r="CB31">
        <f t="shared" ref="CB31:CK35" si="18">COUNTIFS($AA$3:$AA$28, $AA31, CB$3:CB$28,"X")</f>
        <v>0</v>
      </c>
      <c r="CC31">
        <f t="shared" si="18"/>
        <v>0</v>
      </c>
      <c r="CD31">
        <f t="shared" si="18"/>
        <v>1</v>
      </c>
      <c r="CE31">
        <f t="shared" si="18"/>
        <v>1</v>
      </c>
      <c r="CF31">
        <f t="shared" si="18"/>
        <v>1</v>
      </c>
      <c r="CG31">
        <f t="shared" si="18"/>
        <v>1</v>
      </c>
      <c r="CH31">
        <f t="shared" si="18"/>
        <v>1</v>
      </c>
      <c r="CI31">
        <f t="shared" si="18"/>
        <v>0</v>
      </c>
      <c r="CJ31">
        <f t="shared" si="18"/>
        <v>0</v>
      </c>
      <c r="CK31">
        <f t="shared" si="18"/>
        <v>1</v>
      </c>
      <c r="CL31">
        <f t="shared" ref="CL31:CU35" si="19">COUNTIFS($AA$3:$AA$28, $AA31, CL$3:CL$28,"X")</f>
        <v>1</v>
      </c>
      <c r="CM31">
        <f t="shared" si="19"/>
        <v>1</v>
      </c>
      <c r="CN31">
        <f t="shared" si="19"/>
        <v>1</v>
      </c>
      <c r="CO31">
        <f t="shared" si="19"/>
        <v>0</v>
      </c>
      <c r="CP31">
        <f t="shared" si="19"/>
        <v>0</v>
      </c>
      <c r="CQ31">
        <f t="shared" si="19"/>
        <v>0</v>
      </c>
      <c r="CR31">
        <f t="shared" si="19"/>
        <v>0</v>
      </c>
      <c r="CS31">
        <f t="shared" si="19"/>
        <v>0</v>
      </c>
      <c r="CT31">
        <f t="shared" si="19"/>
        <v>0</v>
      </c>
      <c r="CU31">
        <f t="shared" si="19"/>
        <v>0</v>
      </c>
      <c r="CV31">
        <f t="shared" ref="CV31:DE35" si="20">COUNTIFS($AA$3:$AA$28, $AA31, CV$3:CV$28,"X")</f>
        <v>0</v>
      </c>
      <c r="CW31">
        <f t="shared" si="20"/>
        <v>0</v>
      </c>
      <c r="CX31">
        <f t="shared" si="20"/>
        <v>0</v>
      </c>
      <c r="CY31">
        <f t="shared" si="20"/>
        <v>0</v>
      </c>
      <c r="CZ31">
        <f t="shared" si="20"/>
        <v>0</v>
      </c>
      <c r="DA31">
        <f t="shared" si="20"/>
        <v>0</v>
      </c>
      <c r="DB31">
        <f t="shared" si="20"/>
        <v>0</v>
      </c>
      <c r="DC31">
        <f t="shared" si="20"/>
        <v>0</v>
      </c>
      <c r="DD31">
        <f t="shared" si="20"/>
        <v>0</v>
      </c>
      <c r="DE31">
        <f t="shared" si="20"/>
        <v>0</v>
      </c>
      <c r="DF31">
        <f t="shared" ref="DF31:DQ35" si="21">COUNTIFS($AA$3:$AA$28, $AA31, DF$3:DF$28,"X")</f>
        <v>0</v>
      </c>
      <c r="DG31">
        <f t="shared" si="21"/>
        <v>0</v>
      </c>
      <c r="DH31">
        <f t="shared" si="21"/>
        <v>0</v>
      </c>
      <c r="DI31">
        <f t="shared" si="21"/>
        <v>0</v>
      </c>
      <c r="DJ31">
        <f t="shared" si="21"/>
        <v>0</v>
      </c>
      <c r="DK31">
        <f t="shared" si="21"/>
        <v>0</v>
      </c>
      <c r="DL31">
        <f t="shared" si="21"/>
        <v>0</v>
      </c>
      <c r="DM31">
        <f t="shared" si="21"/>
        <v>0</v>
      </c>
      <c r="DN31">
        <f t="shared" si="21"/>
        <v>0</v>
      </c>
      <c r="DO31">
        <f t="shared" si="21"/>
        <v>0</v>
      </c>
      <c r="DP31">
        <f t="shared" si="21"/>
        <v>0</v>
      </c>
      <c r="DQ31">
        <f t="shared" si="21"/>
        <v>0</v>
      </c>
      <c r="DR31">
        <f>SUMIFS($DR$3:$DR$28, $AA$3:$AA$28, AA31)</f>
        <v>28</v>
      </c>
    </row>
    <row r="32" spans="2:122" ht="15.75" customHeight="1" x14ac:dyDescent="0.2">
      <c r="B32" s="240"/>
      <c r="C32" s="241" t="s">
        <v>330</v>
      </c>
      <c r="D32" s="1"/>
      <c r="AA32" s="76" t="s">
        <v>49</v>
      </c>
      <c r="AD32">
        <f t="shared" si="13"/>
        <v>0</v>
      </c>
      <c r="AE32">
        <f t="shared" si="13"/>
        <v>0</v>
      </c>
      <c r="AF32">
        <f t="shared" si="13"/>
        <v>0</v>
      </c>
      <c r="AG32">
        <f t="shared" si="13"/>
        <v>0</v>
      </c>
      <c r="AH32">
        <f t="shared" si="13"/>
        <v>0</v>
      </c>
      <c r="AI32">
        <f t="shared" si="13"/>
        <v>0</v>
      </c>
      <c r="AJ32">
        <f t="shared" si="13"/>
        <v>1</v>
      </c>
      <c r="AK32">
        <f t="shared" si="13"/>
        <v>0</v>
      </c>
      <c r="AL32">
        <f t="shared" si="13"/>
        <v>0</v>
      </c>
      <c r="AM32">
        <f t="shared" si="13"/>
        <v>0</v>
      </c>
      <c r="AN32">
        <f t="shared" si="14"/>
        <v>1</v>
      </c>
      <c r="AO32">
        <f t="shared" si="14"/>
        <v>1</v>
      </c>
      <c r="AP32">
        <f t="shared" si="14"/>
        <v>1</v>
      </c>
      <c r="AQ32">
        <f t="shared" si="14"/>
        <v>1</v>
      </c>
      <c r="AR32">
        <f t="shared" si="14"/>
        <v>1</v>
      </c>
      <c r="AS32">
        <f t="shared" si="14"/>
        <v>0</v>
      </c>
      <c r="AT32">
        <f t="shared" si="14"/>
        <v>0</v>
      </c>
      <c r="AU32">
        <f t="shared" si="14"/>
        <v>1</v>
      </c>
      <c r="AV32">
        <f t="shared" si="14"/>
        <v>1</v>
      </c>
      <c r="AW32">
        <f t="shared" si="14"/>
        <v>1</v>
      </c>
      <c r="AX32">
        <f t="shared" si="15"/>
        <v>1</v>
      </c>
      <c r="AY32">
        <f t="shared" si="15"/>
        <v>1</v>
      </c>
      <c r="AZ32">
        <f t="shared" si="15"/>
        <v>0</v>
      </c>
      <c r="BA32">
        <f t="shared" si="15"/>
        <v>0</v>
      </c>
      <c r="BB32">
        <f t="shared" si="15"/>
        <v>1</v>
      </c>
      <c r="BC32">
        <f t="shared" si="15"/>
        <v>1</v>
      </c>
      <c r="BD32">
        <f t="shared" si="15"/>
        <v>1</v>
      </c>
      <c r="BE32">
        <f t="shared" si="15"/>
        <v>1</v>
      </c>
      <c r="BF32">
        <f t="shared" si="15"/>
        <v>1</v>
      </c>
      <c r="BG32">
        <f t="shared" si="15"/>
        <v>0</v>
      </c>
      <c r="BH32">
        <f t="shared" si="16"/>
        <v>0</v>
      </c>
      <c r="BI32">
        <f t="shared" si="16"/>
        <v>1</v>
      </c>
      <c r="BJ32">
        <f t="shared" si="16"/>
        <v>1</v>
      </c>
      <c r="BK32">
        <f t="shared" si="16"/>
        <v>1</v>
      </c>
      <c r="BL32">
        <f t="shared" si="16"/>
        <v>1</v>
      </c>
      <c r="BM32">
        <f t="shared" si="16"/>
        <v>1</v>
      </c>
      <c r="BN32">
        <f t="shared" si="16"/>
        <v>0</v>
      </c>
      <c r="BO32">
        <f t="shared" si="16"/>
        <v>0</v>
      </c>
      <c r="BP32">
        <f t="shared" si="16"/>
        <v>1</v>
      </c>
      <c r="BQ32">
        <f t="shared" si="16"/>
        <v>1</v>
      </c>
      <c r="BR32">
        <f t="shared" si="17"/>
        <v>1</v>
      </c>
      <c r="BS32">
        <f t="shared" si="17"/>
        <v>1</v>
      </c>
      <c r="BT32">
        <f t="shared" si="17"/>
        <v>1</v>
      </c>
      <c r="BU32">
        <f t="shared" si="17"/>
        <v>0</v>
      </c>
      <c r="BV32">
        <f t="shared" si="17"/>
        <v>0</v>
      </c>
      <c r="BW32">
        <f t="shared" si="17"/>
        <v>1</v>
      </c>
      <c r="BX32">
        <f t="shared" si="17"/>
        <v>1</v>
      </c>
      <c r="BY32">
        <f t="shared" si="17"/>
        <v>1</v>
      </c>
      <c r="BZ32">
        <f t="shared" si="17"/>
        <v>1</v>
      </c>
      <c r="CA32">
        <f t="shared" si="17"/>
        <v>1</v>
      </c>
      <c r="CB32">
        <f t="shared" si="18"/>
        <v>0</v>
      </c>
      <c r="CC32">
        <f t="shared" si="18"/>
        <v>0</v>
      </c>
      <c r="CD32">
        <f t="shared" si="18"/>
        <v>1</v>
      </c>
      <c r="CE32">
        <f t="shared" si="18"/>
        <v>1</v>
      </c>
      <c r="CF32">
        <f t="shared" si="18"/>
        <v>1</v>
      </c>
      <c r="CG32">
        <f t="shared" si="18"/>
        <v>1</v>
      </c>
      <c r="CH32">
        <f t="shared" si="18"/>
        <v>1</v>
      </c>
      <c r="CI32">
        <f t="shared" si="18"/>
        <v>0</v>
      </c>
      <c r="CJ32">
        <f t="shared" si="18"/>
        <v>0</v>
      </c>
      <c r="CK32">
        <f t="shared" si="18"/>
        <v>1</v>
      </c>
      <c r="CL32">
        <f t="shared" si="19"/>
        <v>1</v>
      </c>
      <c r="CM32">
        <f t="shared" si="19"/>
        <v>1</v>
      </c>
      <c r="CN32">
        <f t="shared" si="19"/>
        <v>1</v>
      </c>
      <c r="CO32">
        <f t="shared" si="19"/>
        <v>1</v>
      </c>
      <c r="CP32">
        <f t="shared" si="19"/>
        <v>0</v>
      </c>
      <c r="CQ32">
        <f t="shared" si="19"/>
        <v>0</v>
      </c>
      <c r="CR32">
        <f t="shared" si="19"/>
        <v>1</v>
      </c>
      <c r="CS32">
        <f t="shared" si="19"/>
        <v>1</v>
      </c>
      <c r="CT32">
        <f t="shared" si="19"/>
        <v>1</v>
      </c>
      <c r="CU32">
        <f t="shared" si="19"/>
        <v>1</v>
      </c>
      <c r="CV32">
        <f t="shared" si="20"/>
        <v>1</v>
      </c>
      <c r="CW32">
        <f t="shared" si="20"/>
        <v>0</v>
      </c>
      <c r="CX32">
        <f t="shared" si="20"/>
        <v>0</v>
      </c>
      <c r="CY32">
        <f t="shared" si="20"/>
        <v>1</v>
      </c>
      <c r="CZ32">
        <f t="shared" si="20"/>
        <v>1</v>
      </c>
      <c r="DA32">
        <f t="shared" si="20"/>
        <v>1</v>
      </c>
      <c r="DB32">
        <f t="shared" si="20"/>
        <v>1</v>
      </c>
      <c r="DC32">
        <f t="shared" si="20"/>
        <v>0</v>
      </c>
      <c r="DD32">
        <f t="shared" si="20"/>
        <v>0</v>
      </c>
      <c r="DE32">
        <f t="shared" si="20"/>
        <v>0</v>
      </c>
      <c r="DF32">
        <f t="shared" si="21"/>
        <v>0</v>
      </c>
      <c r="DG32">
        <f t="shared" si="21"/>
        <v>0</v>
      </c>
      <c r="DH32">
        <f t="shared" si="21"/>
        <v>0</v>
      </c>
      <c r="DI32">
        <f t="shared" si="21"/>
        <v>0</v>
      </c>
      <c r="DJ32">
        <f t="shared" si="21"/>
        <v>0</v>
      </c>
      <c r="DK32">
        <f t="shared" si="21"/>
        <v>0</v>
      </c>
      <c r="DL32">
        <f t="shared" si="21"/>
        <v>0</v>
      </c>
      <c r="DM32">
        <f t="shared" si="21"/>
        <v>0</v>
      </c>
      <c r="DN32">
        <f t="shared" si="21"/>
        <v>0</v>
      </c>
      <c r="DO32">
        <f t="shared" si="21"/>
        <v>0</v>
      </c>
      <c r="DP32">
        <f t="shared" si="21"/>
        <v>0</v>
      </c>
      <c r="DQ32">
        <f t="shared" si="21"/>
        <v>0</v>
      </c>
      <c r="DR32">
        <f>SUMIFS($DR$3:$DR$28, $AA$3:$AA$28, AA32)</f>
        <v>50</v>
      </c>
    </row>
    <row r="33" spans="2:122" ht="15.75" customHeight="1" x14ac:dyDescent="0.2">
      <c r="B33" s="240"/>
      <c r="C33" s="242" t="s">
        <v>331</v>
      </c>
      <c r="D33" s="1"/>
      <c r="AA33" s="76" t="s">
        <v>41</v>
      </c>
      <c r="AD33">
        <f t="shared" si="13"/>
        <v>0</v>
      </c>
      <c r="AE33">
        <f t="shared" si="13"/>
        <v>0</v>
      </c>
      <c r="AF33">
        <f t="shared" si="13"/>
        <v>0</v>
      </c>
      <c r="AG33">
        <f t="shared" si="13"/>
        <v>0</v>
      </c>
      <c r="AH33">
        <f t="shared" si="13"/>
        <v>1</v>
      </c>
      <c r="AI33">
        <f t="shared" si="13"/>
        <v>1</v>
      </c>
      <c r="AJ33">
        <f t="shared" si="13"/>
        <v>1</v>
      </c>
      <c r="AK33">
        <f t="shared" si="13"/>
        <v>1</v>
      </c>
      <c r="AL33">
        <f t="shared" si="13"/>
        <v>0</v>
      </c>
      <c r="AM33">
        <f t="shared" si="13"/>
        <v>0</v>
      </c>
      <c r="AN33">
        <f t="shared" si="14"/>
        <v>1</v>
      </c>
      <c r="AO33">
        <f t="shared" si="14"/>
        <v>1</v>
      </c>
      <c r="AP33">
        <f t="shared" si="14"/>
        <v>1</v>
      </c>
      <c r="AQ33">
        <f t="shared" si="14"/>
        <v>1</v>
      </c>
      <c r="AR33">
        <f t="shared" si="14"/>
        <v>1</v>
      </c>
      <c r="AS33">
        <f t="shared" si="14"/>
        <v>0</v>
      </c>
      <c r="AT33">
        <f t="shared" si="14"/>
        <v>0</v>
      </c>
      <c r="AU33">
        <f t="shared" si="14"/>
        <v>0</v>
      </c>
      <c r="AV33">
        <f t="shared" si="14"/>
        <v>1</v>
      </c>
      <c r="AW33">
        <f t="shared" si="14"/>
        <v>1</v>
      </c>
      <c r="AX33">
        <f t="shared" si="15"/>
        <v>1</v>
      </c>
      <c r="AY33">
        <f t="shared" si="15"/>
        <v>1</v>
      </c>
      <c r="AZ33">
        <f t="shared" si="15"/>
        <v>0</v>
      </c>
      <c r="BA33">
        <f t="shared" si="15"/>
        <v>0</v>
      </c>
      <c r="BB33">
        <f t="shared" si="15"/>
        <v>1</v>
      </c>
      <c r="BC33">
        <f t="shared" si="15"/>
        <v>0</v>
      </c>
      <c r="BD33">
        <f t="shared" si="15"/>
        <v>0</v>
      </c>
      <c r="BE33">
        <f t="shared" si="15"/>
        <v>0</v>
      </c>
      <c r="BF33">
        <f t="shared" si="15"/>
        <v>0</v>
      </c>
      <c r="BG33">
        <f t="shared" si="15"/>
        <v>0</v>
      </c>
      <c r="BH33">
        <f t="shared" si="16"/>
        <v>0</v>
      </c>
      <c r="BI33">
        <f t="shared" si="16"/>
        <v>1</v>
      </c>
      <c r="BJ33">
        <f t="shared" si="16"/>
        <v>1</v>
      </c>
      <c r="BK33">
        <f t="shared" si="16"/>
        <v>1</v>
      </c>
      <c r="BL33">
        <f t="shared" si="16"/>
        <v>1</v>
      </c>
      <c r="BM33">
        <f t="shared" si="16"/>
        <v>1</v>
      </c>
      <c r="BN33">
        <f t="shared" si="16"/>
        <v>0</v>
      </c>
      <c r="BO33">
        <f t="shared" si="16"/>
        <v>0</v>
      </c>
      <c r="BP33">
        <f t="shared" si="16"/>
        <v>1</v>
      </c>
      <c r="BQ33">
        <f t="shared" si="16"/>
        <v>1</v>
      </c>
      <c r="BR33">
        <f t="shared" si="17"/>
        <v>1</v>
      </c>
      <c r="BS33">
        <f t="shared" si="17"/>
        <v>1</v>
      </c>
      <c r="BT33">
        <f t="shared" si="17"/>
        <v>1</v>
      </c>
      <c r="BU33">
        <f t="shared" si="17"/>
        <v>0</v>
      </c>
      <c r="BV33">
        <f t="shared" si="17"/>
        <v>0</v>
      </c>
      <c r="BW33">
        <f t="shared" si="17"/>
        <v>1</v>
      </c>
      <c r="BX33">
        <f t="shared" si="17"/>
        <v>1</v>
      </c>
      <c r="BY33">
        <f t="shared" si="17"/>
        <v>1</v>
      </c>
      <c r="BZ33">
        <f t="shared" si="17"/>
        <v>1</v>
      </c>
      <c r="CA33">
        <f t="shared" si="17"/>
        <v>0</v>
      </c>
      <c r="CB33">
        <f t="shared" si="18"/>
        <v>0</v>
      </c>
      <c r="CC33">
        <f t="shared" si="18"/>
        <v>0</v>
      </c>
      <c r="CD33">
        <f t="shared" si="18"/>
        <v>1</v>
      </c>
      <c r="CE33">
        <f t="shared" si="18"/>
        <v>1</v>
      </c>
      <c r="CF33">
        <f t="shared" si="18"/>
        <v>1</v>
      </c>
      <c r="CG33">
        <f t="shared" si="18"/>
        <v>1</v>
      </c>
      <c r="CH33">
        <f t="shared" si="18"/>
        <v>1</v>
      </c>
      <c r="CI33">
        <f t="shared" si="18"/>
        <v>0</v>
      </c>
      <c r="CJ33">
        <f t="shared" si="18"/>
        <v>0</v>
      </c>
      <c r="CK33">
        <f t="shared" si="18"/>
        <v>1</v>
      </c>
      <c r="CL33">
        <f t="shared" si="19"/>
        <v>1</v>
      </c>
      <c r="CM33">
        <f t="shared" si="19"/>
        <v>1</v>
      </c>
      <c r="CN33">
        <f t="shared" si="19"/>
        <v>1</v>
      </c>
      <c r="CO33">
        <f t="shared" si="19"/>
        <v>1</v>
      </c>
      <c r="CP33">
        <f t="shared" si="19"/>
        <v>0</v>
      </c>
      <c r="CQ33">
        <f t="shared" si="19"/>
        <v>0</v>
      </c>
      <c r="CR33">
        <f t="shared" si="19"/>
        <v>0</v>
      </c>
      <c r="CS33">
        <f t="shared" si="19"/>
        <v>1</v>
      </c>
      <c r="CT33">
        <f t="shared" si="19"/>
        <v>1</v>
      </c>
      <c r="CU33">
        <f t="shared" si="19"/>
        <v>1</v>
      </c>
      <c r="CV33">
        <f t="shared" si="20"/>
        <v>0</v>
      </c>
      <c r="CW33">
        <f t="shared" si="20"/>
        <v>0</v>
      </c>
      <c r="CX33">
        <f t="shared" si="20"/>
        <v>0</v>
      </c>
      <c r="CY33">
        <f t="shared" si="20"/>
        <v>0</v>
      </c>
      <c r="CZ33">
        <f t="shared" si="20"/>
        <v>0</v>
      </c>
      <c r="DA33">
        <f t="shared" si="20"/>
        <v>0</v>
      </c>
      <c r="DB33">
        <f t="shared" si="20"/>
        <v>0</v>
      </c>
      <c r="DC33">
        <f t="shared" si="20"/>
        <v>0</v>
      </c>
      <c r="DD33">
        <f t="shared" si="20"/>
        <v>0</v>
      </c>
      <c r="DE33">
        <f t="shared" si="20"/>
        <v>0</v>
      </c>
      <c r="DF33">
        <f t="shared" si="21"/>
        <v>0</v>
      </c>
      <c r="DG33">
        <f t="shared" si="21"/>
        <v>0</v>
      </c>
      <c r="DH33">
        <f t="shared" si="21"/>
        <v>0</v>
      </c>
      <c r="DI33">
        <f t="shared" si="21"/>
        <v>0</v>
      </c>
      <c r="DJ33">
        <f t="shared" si="21"/>
        <v>0</v>
      </c>
      <c r="DK33">
        <f t="shared" si="21"/>
        <v>0</v>
      </c>
      <c r="DL33">
        <f t="shared" si="21"/>
        <v>0</v>
      </c>
      <c r="DM33">
        <f t="shared" si="21"/>
        <v>0</v>
      </c>
      <c r="DN33">
        <f t="shared" si="21"/>
        <v>0</v>
      </c>
      <c r="DO33">
        <f t="shared" si="21"/>
        <v>0</v>
      </c>
      <c r="DP33">
        <f t="shared" si="21"/>
        <v>0</v>
      </c>
      <c r="DQ33">
        <f t="shared" si="21"/>
        <v>0</v>
      </c>
      <c r="DR33">
        <f>SUMIFS($DR$3:$DR$28, $AA$3:$AA$28, AA33)</f>
        <v>41</v>
      </c>
    </row>
    <row r="34" spans="2:122" ht="15.75" customHeight="1" x14ac:dyDescent="0.2">
      <c r="B34" s="240"/>
      <c r="C34" s="243" t="s">
        <v>332</v>
      </c>
      <c r="D34" s="1"/>
      <c r="AA34" s="76" t="s">
        <v>32</v>
      </c>
      <c r="AD34">
        <f t="shared" si="13"/>
        <v>0</v>
      </c>
      <c r="AE34">
        <f t="shared" si="13"/>
        <v>0</v>
      </c>
      <c r="AF34">
        <f t="shared" si="13"/>
        <v>0</v>
      </c>
      <c r="AG34">
        <f t="shared" si="13"/>
        <v>1</v>
      </c>
      <c r="AH34">
        <f t="shared" si="13"/>
        <v>1</v>
      </c>
      <c r="AI34">
        <f t="shared" si="13"/>
        <v>1</v>
      </c>
      <c r="AJ34">
        <f t="shared" si="13"/>
        <v>1</v>
      </c>
      <c r="AK34">
        <f t="shared" si="13"/>
        <v>1</v>
      </c>
      <c r="AL34">
        <f t="shared" si="13"/>
        <v>0</v>
      </c>
      <c r="AM34">
        <f t="shared" si="13"/>
        <v>0</v>
      </c>
      <c r="AN34">
        <f t="shared" si="14"/>
        <v>1</v>
      </c>
      <c r="AO34">
        <f t="shared" si="14"/>
        <v>1</v>
      </c>
      <c r="AP34">
        <f t="shared" si="14"/>
        <v>1</v>
      </c>
      <c r="AQ34">
        <f t="shared" si="14"/>
        <v>1</v>
      </c>
      <c r="AR34">
        <f t="shared" si="14"/>
        <v>1</v>
      </c>
      <c r="AS34">
        <f t="shared" si="14"/>
        <v>0</v>
      </c>
      <c r="AT34">
        <f t="shared" si="14"/>
        <v>0</v>
      </c>
      <c r="AU34">
        <f t="shared" si="14"/>
        <v>1</v>
      </c>
      <c r="AV34">
        <f t="shared" si="14"/>
        <v>1</v>
      </c>
      <c r="AW34">
        <f t="shared" si="14"/>
        <v>1</v>
      </c>
      <c r="AX34">
        <f t="shared" si="15"/>
        <v>1</v>
      </c>
      <c r="AY34">
        <f t="shared" si="15"/>
        <v>1</v>
      </c>
      <c r="AZ34">
        <f t="shared" si="15"/>
        <v>0</v>
      </c>
      <c r="BA34">
        <f t="shared" si="15"/>
        <v>0</v>
      </c>
      <c r="BB34">
        <f t="shared" si="15"/>
        <v>1</v>
      </c>
      <c r="BC34">
        <f t="shared" si="15"/>
        <v>1</v>
      </c>
      <c r="BD34">
        <f t="shared" si="15"/>
        <v>1</v>
      </c>
      <c r="BE34">
        <f t="shared" si="15"/>
        <v>1</v>
      </c>
      <c r="BF34">
        <f t="shared" si="15"/>
        <v>1</v>
      </c>
      <c r="BG34">
        <f t="shared" si="15"/>
        <v>0</v>
      </c>
      <c r="BH34">
        <f t="shared" si="16"/>
        <v>0</v>
      </c>
      <c r="BI34">
        <f t="shared" si="16"/>
        <v>1</v>
      </c>
      <c r="BJ34">
        <f t="shared" si="16"/>
        <v>1</v>
      </c>
      <c r="BK34">
        <f t="shared" si="16"/>
        <v>1</v>
      </c>
      <c r="BL34">
        <f t="shared" si="16"/>
        <v>1</v>
      </c>
      <c r="BM34">
        <f t="shared" si="16"/>
        <v>1</v>
      </c>
      <c r="BN34">
        <f t="shared" si="16"/>
        <v>0</v>
      </c>
      <c r="BO34">
        <f t="shared" si="16"/>
        <v>0</v>
      </c>
      <c r="BP34">
        <f t="shared" si="16"/>
        <v>1</v>
      </c>
      <c r="BQ34">
        <f t="shared" si="16"/>
        <v>1</v>
      </c>
      <c r="BR34">
        <f t="shared" si="17"/>
        <v>1</v>
      </c>
      <c r="BS34">
        <f t="shared" si="17"/>
        <v>1</v>
      </c>
      <c r="BT34">
        <f t="shared" si="17"/>
        <v>1</v>
      </c>
      <c r="BU34">
        <f t="shared" si="17"/>
        <v>0</v>
      </c>
      <c r="BV34">
        <f t="shared" si="17"/>
        <v>0</v>
      </c>
      <c r="BW34">
        <f t="shared" si="17"/>
        <v>1</v>
      </c>
      <c r="BX34">
        <f t="shared" si="17"/>
        <v>1</v>
      </c>
      <c r="BY34">
        <f t="shared" si="17"/>
        <v>1</v>
      </c>
      <c r="BZ34">
        <f t="shared" si="17"/>
        <v>1</v>
      </c>
      <c r="CA34">
        <f t="shared" si="17"/>
        <v>1</v>
      </c>
      <c r="CB34">
        <f t="shared" si="18"/>
        <v>0</v>
      </c>
      <c r="CC34">
        <f t="shared" si="18"/>
        <v>0</v>
      </c>
      <c r="CD34">
        <f t="shared" si="18"/>
        <v>1</v>
      </c>
      <c r="CE34">
        <f t="shared" si="18"/>
        <v>1</v>
      </c>
      <c r="CF34">
        <f t="shared" si="18"/>
        <v>1</v>
      </c>
      <c r="CG34">
        <f t="shared" si="18"/>
        <v>1</v>
      </c>
      <c r="CH34">
        <f t="shared" si="18"/>
        <v>1</v>
      </c>
      <c r="CI34">
        <f t="shared" si="18"/>
        <v>0</v>
      </c>
      <c r="CJ34">
        <f t="shared" si="18"/>
        <v>0</v>
      </c>
      <c r="CK34">
        <f t="shared" si="18"/>
        <v>1</v>
      </c>
      <c r="CL34">
        <f t="shared" si="19"/>
        <v>1</v>
      </c>
      <c r="CM34">
        <f t="shared" si="19"/>
        <v>1</v>
      </c>
      <c r="CN34">
        <f t="shared" si="19"/>
        <v>1</v>
      </c>
      <c r="CO34">
        <f t="shared" si="19"/>
        <v>1</v>
      </c>
      <c r="CP34">
        <f t="shared" si="19"/>
        <v>0</v>
      </c>
      <c r="CQ34">
        <f t="shared" si="19"/>
        <v>0</v>
      </c>
      <c r="CR34">
        <f t="shared" si="19"/>
        <v>1</v>
      </c>
      <c r="CS34">
        <f t="shared" si="19"/>
        <v>1</v>
      </c>
      <c r="CT34">
        <f t="shared" si="19"/>
        <v>1</v>
      </c>
      <c r="CU34">
        <f t="shared" si="19"/>
        <v>1</v>
      </c>
      <c r="CV34">
        <f t="shared" si="20"/>
        <v>1</v>
      </c>
      <c r="CW34">
        <f t="shared" si="20"/>
        <v>0</v>
      </c>
      <c r="CX34">
        <f t="shared" si="20"/>
        <v>0</v>
      </c>
      <c r="CY34">
        <f t="shared" si="20"/>
        <v>1</v>
      </c>
      <c r="CZ34">
        <f t="shared" si="20"/>
        <v>1</v>
      </c>
      <c r="DA34">
        <f t="shared" si="20"/>
        <v>1</v>
      </c>
      <c r="DB34">
        <f t="shared" si="20"/>
        <v>1</v>
      </c>
      <c r="DC34">
        <f t="shared" si="20"/>
        <v>1</v>
      </c>
      <c r="DD34">
        <f t="shared" si="20"/>
        <v>0</v>
      </c>
      <c r="DE34">
        <f t="shared" si="20"/>
        <v>0</v>
      </c>
      <c r="DF34">
        <f t="shared" si="21"/>
        <v>1</v>
      </c>
      <c r="DG34">
        <f t="shared" si="21"/>
        <v>1</v>
      </c>
      <c r="DH34">
        <f t="shared" si="21"/>
        <v>0</v>
      </c>
      <c r="DI34">
        <f t="shared" si="21"/>
        <v>0</v>
      </c>
      <c r="DJ34">
        <f t="shared" si="21"/>
        <v>0</v>
      </c>
      <c r="DK34">
        <f t="shared" si="21"/>
        <v>0</v>
      </c>
      <c r="DL34">
        <f t="shared" si="21"/>
        <v>0</v>
      </c>
      <c r="DM34">
        <f t="shared" si="21"/>
        <v>0</v>
      </c>
      <c r="DN34">
        <f t="shared" si="21"/>
        <v>0</v>
      </c>
      <c r="DO34">
        <f t="shared" si="21"/>
        <v>0</v>
      </c>
      <c r="DP34">
        <f t="shared" si="21"/>
        <v>0</v>
      </c>
      <c r="DQ34">
        <f t="shared" si="21"/>
        <v>0</v>
      </c>
      <c r="DR34">
        <f>SUMIFS($DR$3:$DR$28, $AA$3:$AA$28, AA34)</f>
        <v>57</v>
      </c>
    </row>
    <row r="35" spans="2:122" ht="15.75" customHeight="1" x14ac:dyDescent="0.2">
      <c r="B35" s="236"/>
      <c r="C35" s="237"/>
      <c r="D35" s="1"/>
      <c r="AA35" s="76" t="s">
        <v>54</v>
      </c>
      <c r="AD35">
        <f t="shared" si="13"/>
        <v>0</v>
      </c>
      <c r="AE35">
        <f t="shared" si="13"/>
        <v>0</v>
      </c>
      <c r="AF35">
        <f t="shared" si="13"/>
        <v>0</v>
      </c>
      <c r="AG35">
        <f t="shared" si="13"/>
        <v>1</v>
      </c>
      <c r="AH35">
        <f t="shared" si="13"/>
        <v>1</v>
      </c>
      <c r="AI35">
        <f t="shared" si="13"/>
        <v>1</v>
      </c>
      <c r="AJ35">
        <f t="shared" si="13"/>
        <v>1</v>
      </c>
      <c r="AK35">
        <f t="shared" si="13"/>
        <v>1</v>
      </c>
      <c r="AL35">
        <f t="shared" si="13"/>
        <v>0</v>
      </c>
      <c r="AM35">
        <f t="shared" si="13"/>
        <v>0</v>
      </c>
      <c r="AN35">
        <f t="shared" si="14"/>
        <v>1</v>
      </c>
      <c r="AO35">
        <f t="shared" si="14"/>
        <v>1</v>
      </c>
      <c r="AP35">
        <f t="shared" si="14"/>
        <v>1</v>
      </c>
      <c r="AQ35">
        <f t="shared" si="14"/>
        <v>1</v>
      </c>
      <c r="AR35">
        <f t="shared" si="14"/>
        <v>1</v>
      </c>
      <c r="AS35">
        <f t="shared" si="14"/>
        <v>0</v>
      </c>
      <c r="AT35">
        <f t="shared" si="14"/>
        <v>0</v>
      </c>
      <c r="AU35">
        <f t="shared" si="14"/>
        <v>0</v>
      </c>
      <c r="AV35">
        <f t="shared" si="14"/>
        <v>0</v>
      </c>
      <c r="AW35">
        <f t="shared" si="14"/>
        <v>0</v>
      </c>
      <c r="AX35">
        <f t="shared" si="15"/>
        <v>1</v>
      </c>
      <c r="AY35">
        <f t="shared" si="15"/>
        <v>0</v>
      </c>
      <c r="AZ35">
        <f t="shared" si="15"/>
        <v>0</v>
      </c>
      <c r="BA35">
        <f t="shared" si="15"/>
        <v>0</v>
      </c>
      <c r="BB35">
        <f t="shared" si="15"/>
        <v>1</v>
      </c>
      <c r="BC35">
        <f t="shared" si="15"/>
        <v>1</v>
      </c>
      <c r="BD35">
        <f t="shared" si="15"/>
        <v>1</v>
      </c>
      <c r="BE35">
        <f t="shared" si="15"/>
        <v>0</v>
      </c>
      <c r="BF35">
        <f t="shared" si="15"/>
        <v>0</v>
      </c>
      <c r="BG35">
        <f t="shared" si="15"/>
        <v>0</v>
      </c>
      <c r="BH35">
        <f t="shared" si="16"/>
        <v>0</v>
      </c>
      <c r="BI35">
        <f t="shared" si="16"/>
        <v>1</v>
      </c>
      <c r="BJ35">
        <f t="shared" si="16"/>
        <v>1</v>
      </c>
      <c r="BK35">
        <f t="shared" si="16"/>
        <v>1</v>
      </c>
      <c r="BL35">
        <f t="shared" si="16"/>
        <v>1</v>
      </c>
      <c r="BM35">
        <f t="shared" si="16"/>
        <v>1</v>
      </c>
      <c r="BN35">
        <f t="shared" si="16"/>
        <v>0</v>
      </c>
      <c r="BO35">
        <f t="shared" si="16"/>
        <v>0</v>
      </c>
      <c r="BP35">
        <f t="shared" si="16"/>
        <v>1</v>
      </c>
      <c r="BQ35">
        <f t="shared" si="16"/>
        <v>1</v>
      </c>
      <c r="BR35">
        <f t="shared" si="17"/>
        <v>1</v>
      </c>
      <c r="BS35">
        <f t="shared" si="17"/>
        <v>1</v>
      </c>
      <c r="BT35">
        <f t="shared" si="17"/>
        <v>1</v>
      </c>
      <c r="BU35">
        <f t="shared" si="17"/>
        <v>0</v>
      </c>
      <c r="BV35">
        <f t="shared" si="17"/>
        <v>0</v>
      </c>
      <c r="BW35">
        <f t="shared" si="17"/>
        <v>1</v>
      </c>
      <c r="BX35">
        <f t="shared" si="17"/>
        <v>1</v>
      </c>
      <c r="BY35">
        <f t="shared" si="17"/>
        <v>1</v>
      </c>
      <c r="BZ35">
        <f t="shared" si="17"/>
        <v>1</v>
      </c>
      <c r="CA35">
        <f t="shared" si="17"/>
        <v>1</v>
      </c>
      <c r="CB35">
        <f t="shared" si="18"/>
        <v>0</v>
      </c>
      <c r="CC35">
        <f t="shared" si="18"/>
        <v>0</v>
      </c>
      <c r="CD35">
        <f t="shared" si="18"/>
        <v>1</v>
      </c>
      <c r="CE35">
        <f t="shared" si="18"/>
        <v>1</v>
      </c>
      <c r="CF35">
        <f t="shared" si="18"/>
        <v>1</v>
      </c>
      <c r="CG35">
        <f t="shared" si="18"/>
        <v>1</v>
      </c>
      <c r="CH35">
        <f t="shared" si="18"/>
        <v>1</v>
      </c>
      <c r="CI35">
        <f t="shared" si="18"/>
        <v>0</v>
      </c>
      <c r="CJ35">
        <f t="shared" si="18"/>
        <v>0</v>
      </c>
      <c r="CK35">
        <f t="shared" si="18"/>
        <v>1</v>
      </c>
      <c r="CL35">
        <f t="shared" si="19"/>
        <v>1</v>
      </c>
      <c r="CM35">
        <f t="shared" si="19"/>
        <v>1</v>
      </c>
      <c r="CN35">
        <f t="shared" si="19"/>
        <v>1</v>
      </c>
      <c r="CO35">
        <f t="shared" si="19"/>
        <v>1</v>
      </c>
      <c r="CP35">
        <f t="shared" si="19"/>
        <v>0</v>
      </c>
      <c r="CQ35">
        <f t="shared" si="19"/>
        <v>0</v>
      </c>
      <c r="CR35">
        <f t="shared" si="19"/>
        <v>1</v>
      </c>
      <c r="CS35">
        <f t="shared" si="19"/>
        <v>1</v>
      </c>
      <c r="CT35">
        <f t="shared" si="19"/>
        <v>1</v>
      </c>
      <c r="CU35">
        <f t="shared" si="19"/>
        <v>1</v>
      </c>
      <c r="CV35">
        <f t="shared" si="20"/>
        <v>1</v>
      </c>
      <c r="CW35">
        <f t="shared" si="20"/>
        <v>0</v>
      </c>
      <c r="CX35">
        <f t="shared" si="20"/>
        <v>0</v>
      </c>
      <c r="CY35">
        <f t="shared" si="20"/>
        <v>1</v>
      </c>
      <c r="CZ35">
        <f t="shared" si="20"/>
        <v>1</v>
      </c>
      <c r="DA35">
        <f t="shared" si="20"/>
        <v>1</v>
      </c>
      <c r="DB35">
        <f t="shared" si="20"/>
        <v>1</v>
      </c>
      <c r="DC35">
        <f t="shared" si="20"/>
        <v>1</v>
      </c>
      <c r="DD35">
        <f t="shared" si="20"/>
        <v>0</v>
      </c>
      <c r="DE35">
        <f t="shared" si="20"/>
        <v>0</v>
      </c>
      <c r="DF35">
        <f t="shared" si="21"/>
        <v>1</v>
      </c>
      <c r="DG35">
        <f t="shared" si="21"/>
        <v>0</v>
      </c>
      <c r="DH35">
        <f t="shared" si="21"/>
        <v>0</v>
      </c>
      <c r="DI35">
        <f t="shared" si="21"/>
        <v>0</v>
      </c>
      <c r="DJ35">
        <f t="shared" si="21"/>
        <v>0</v>
      </c>
      <c r="DK35">
        <f t="shared" si="21"/>
        <v>0</v>
      </c>
      <c r="DL35">
        <f t="shared" si="21"/>
        <v>0</v>
      </c>
      <c r="DM35">
        <f t="shared" si="21"/>
        <v>0</v>
      </c>
      <c r="DN35">
        <f t="shared" si="21"/>
        <v>0</v>
      </c>
      <c r="DO35">
        <f t="shared" si="21"/>
        <v>0</v>
      </c>
      <c r="DP35">
        <f t="shared" si="21"/>
        <v>0</v>
      </c>
      <c r="DQ35">
        <f t="shared" si="21"/>
        <v>0</v>
      </c>
      <c r="DR35">
        <f>SUMIFS($DR$3:$DR$28, $AA$3:$AA$28, AA35)</f>
        <v>50</v>
      </c>
    </row>
    <row r="36" spans="2:122" ht="15.75" customHeight="1" x14ac:dyDescent="0.2">
      <c r="C36" s="1"/>
      <c r="D36" s="1"/>
      <c r="AA36" s="76" t="s">
        <v>17</v>
      </c>
      <c r="AD36">
        <f>SUM(AD31:AD35)</f>
        <v>0</v>
      </c>
      <c r="AE36">
        <f t="shared" ref="AE36:CP36" si="22">SUM(AE31:AE35)</f>
        <v>0</v>
      </c>
      <c r="AF36">
        <f t="shared" si="22"/>
        <v>0</v>
      </c>
      <c r="AG36">
        <f t="shared" si="22"/>
        <v>2</v>
      </c>
      <c r="AH36">
        <f t="shared" si="22"/>
        <v>3</v>
      </c>
      <c r="AI36">
        <f t="shared" si="22"/>
        <v>3</v>
      </c>
      <c r="AJ36">
        <f t="shared" si="22"/>
        <v>4</v>
      </c>
      <c r="AK36">
        <f t="shared" si="22"/>
        <v>3</v>
      </c>
      <c r="AL36">
        <f t="shared" si="22"/>
        <v>0</v>
      </c>
      <c r="AM36">
        <f t="shared" si="22"/>
        <v>0</v>
      </c>
      <c r="AN36">
        <f t="shared" si="22"/>
        <v>4</v>
      </c>
      <c r="AO36">
        <f t="shared" si="22"/>
        <v>4</v>
      </c>
      <c r="AP36">
        <f t="shared" si="22"/>
        <v>4</v>
      </c>
      <c r="AQ36">
        <f t="shared" si="22"/>
        <v>4</v>
      </c>
      <c r="AR36">
        <f t="shared" si="22"/>
        <v>4</v>
      </c>
      <c r="AS36">
        <f t="shared" si="22"/>
        <v>0</v>
      </c>
      <c r="AT36">
        <f t="shared" si="22"/>
        <v>0</v>
      </c>
      <c r="AU36">
        <f t="shared" si="22"/>
        <v>2</v>
      </c>
      <c r="AV36">
        <f t="shared" si="22"/>
        <v>3</v>
      </c>
      <c r="AW36">
        <f t="shared" si="22"/>
        <v>3</v>
      </c>
      <c r="AX36">
        <f t="shared" si="22"/>
        <v>4</v>
      </c>
      <c r="AY36">
        <f t="shared" si="22"/>
        <v>3</v>
      </c>
      <c r="AZ36">
        <f t="shared" si="22"/>
        <v>0</v>
      </c>
      <c r="BA36">
        <f t="shared" si="22"/>
        <v>0</v>
      </c>
      <c r="BB36">
        <f t="shared" si="22"/>
        <v>4</v>
      </c>
      <c r="BC36">
        <f t="shared" si="22"/>
        <v>4</v>
      </c>
      <c r="BD36">
        <f t="shared" si="22"/>
        <v>4</v>
      </c>
      <c r="BE36">
        <f t="shared" si="22"/>
        <v>3</v>
      </c>
      <c r="BF36">
        <f t="shared" si="22"/>
        <v>3</v>
      </c>
      <c r="BG36">
        <f t="shared" si="22"/>
        <v>0</v>
      </c>
      <c r="BH36">
        <f t="shared" si="22"/>
        <v>0</v>
      </c>
      <c r="BI36">
        <f t="shared" si="22"/>
        <v>5</v>
      </c>
      <c r="BJ36">
        <f t="shared" si="22"/>
        <v>5</v>
      </c>
      <c r="BK36">
        <f t="shared" si="22"/>
        <v>5</v>
      </c>
      <c r="BL36">
        <f t="shared" si="22"/>
        <v>5</v>
      </c>
      <c r="BM36">
        <f t="shared" si="22"/>
        <v>5</v>
      </c>
      <c r="BN36">
        <f t="shared" si="22"/>
        <v>0</v>
      </c>
      <c r="BO36">
        <f t="shared" si="22"/>
        <v>0</v>
      </c>
      <c r="BP36">
        <f t="shared" si="22"/>
        <v>5</v>
      </c>
      <c r="BQ36">
        <f t="shared" si="22"/>
        <v>5</v>
      </c>
      <c r="BR36">
        <f t="shared" si="22"/>
        <v>5</v>
      </c>
      <c r="BS36">
        <f t="shared" si="22"/>
        <v>5</v>
      </c>
      <c r="BT36">
        <f t="shared" si="22"/>
        <v>5</v>
      </c>
      <c r="BU36">
        <f t="shared" si="22"/>
        <v>0</v>
      </c>
      <c r="BV36">
        <f t="shared" si="22"/>
        <v>0</v>
      </c>
      <c r="BW36">
        <f t="shared" si="22"/>
        <v>5</v>
      </c>
      <c r="BX36">
        <f t="shared" si="22"/>
        <v>5</v>
      </c>
      <c r="BY36">
        <f t="shared" si="22"/>
        <v>5</v>
      </c>
      <c r="BZ36">
        <f t="shared" si="22"/>
        <v>5</v>
      </c>
      <c r="CA36">
        <f t="shared" si="22"/>
        <v>4</v>
      </c>
      <c r="CB36">
        <f t="shared" si="22"/>
        <v>0</v>
      </c>
      <c r="CC36">
        <f t="shared" si="22"/>
        <v>0</v>
      </c>
      <c r="CD36">
        <f t="shared" si="22"/>
        <v>5</v>
      </c>
      <c r="CE36">
        <f t="shared" si="22"/>
        <v>5</v>
      </c>
      <c r="CF36">
        <f t="shared" si="22"/>
        <v>5</v>
      </c>
      <c r="CG36">
        <f t="shared" si="22"/>
        <v>5</v>
      </c>
      <c r="CH36">
        <f t="shared" si="22"/>
        <v>5</v>
      </c>
      <c r="CI36">
        <f t="shared" si="22"/>
        <v>0</v>
      </c>
      <c r="CJ36">
        <f t="shared" si="22"/>
        <v>0</v>
      </c>
      <c r="CK36">
        <f t="shared" si="22"/>
        <v>5</v>
      </c>
      <c r="CL36">
        <f t="shared" si="22"/>
        <v>5</v>
      </c>
      <c r="CM36">
        <f t="shared" si="22"/>
        <v>5</v>
      </c>
      <c r="CN36">
        <f t="shared" si="22"/>
        <v>5</v>
      </c>
      <c r="CO36">
        <f t="shared" si="22"/>
        <v>4</v>
      </c>
      <c r="CP36">
        <f t="shared" si="22"/>
        <v>0</v>
      </c>
      <c r="CQ36">
        <f t="shared" ref="CQ36:DQ36" si="23">SUM(CQ31:CQ35)</f>
        <v>0</v>
      </c>
      <c r="CR36">
        <f t="shared" si="23"/>
        <v>3</v>
      </c>
      <c r="CS36">
        <f t="shared" si="23"/>
        <v>4</v>
      </c>
      <c r="CT36">
        <f t="shared" si="23"/>
        <v>4</v>
      </c>
      <c r="CU36">
        <f t="shared" si="23"/>
        <v>4</v>
      </c>
      <c r="CV36">
        <f t="shared" si="23"/>
        <v>3</v>
      </c>
      <c r="CW36">
        <f t="shared" si="23"/>
        <v>0</v>
      </c>
      <c r="CX36">
        <f t="shared" si="23"/>
        <v>0</v>
      </c>
      <c r="CY36">
        <f t="shared" si="23"/>
        <v>3</v>
      </c>
      <c r="CZ36">
        <f t="shared" si="23"/>
        <v>3</v>
      </c>
      <c r="DA36">
        <f t="shared" si="23"/>
        <v>3</v>
      </c>
      <c r="DB36">
        <f t="shared" si="23"/>
        <v>3</v>
      </c>
      <c r="DC36">
        <f t="shared" si="23"/>
        <v>2</v>
      </c>
      <c r="DD36">
        <f t="shared" si="23"/>
        <v>0</v>
      </c>
      <c r="DE36">
        <f t="shared" si="23"/>
        <v>0</v>
      </c>
      <c r="DF36">
        <f t="shared" si="23"/>
        <v>2</v>
      </c>
      <c r="DG36">
        <f t="shared" si="23"/>
        <v>1</v>
      </c>
      <c r="DH36">
        <f t="shared" si="23"/>
        <v>0</v>
      </c>
      <c r="DI36">
        <f t="shared" si="23"/>
        <v>0</v>
      </c>
      <c r="DJ36">
        <f t="shared" si="23"/>
        <v>0</v>
      </c>
      <c r="DK36">
        <f t="shared" si="23"/>
        <v>0</v>
      </c>
      <c r="DL36">
        <f t="shared" si="23"/>
        <v>0</v>
      </c>
      <c r="DM36">
        <f t="shared" si="23"/>
        <v>0</v>
      </c>
      <c r="DN36">
        <f t="shared" si="23"/>
        <v>0</v>
      </c>
      <c r="DO36">
        <f t="shared" si="23"/>
        <v>0</v>
      </c>
      <c r="DP36">
        <f t="shared" si="23"/>
        <v>0</v>
      </c>
      <c r="DQ36">
        <f t="shared" si="23"/>
        <v>0</v>
      </c>
    </row>
    <row r="37" spans="2:122" ht="15.75" customHeight="1" x14ac:dyDescent="0.2">
      <c r="C37" s="1"/>
      <c r="D37" s="1"/>
    </row>
    <row r="38" spans="2:122" ht="15.75" customHeight="1" x14ac:dyDescent="0.2">
      <c r="C38" s="1"/>
      <c r="D38" s="1"/>
    </row>
    <row r="39" spans="2:122" ht="15.75" customHeight="1" x14ac:dyDescent="0.2">
      <c r="C39" s="1"/>
      <c r="D39" s="1"/>
    </row>
    <row r="40" spans="2:122" ht="15.75" customHeight="1" x14ac:dyDescent="0.2">
      <c r="C40" s="1"/>
      <c r="D40" s="1"/>
    </row>
    <row r="41" spans="2:122" ht="15.75" customHeight="1" x14ac:dyDescent="0.2">
      <c r="C41" s="1"/>
      <c r="D41" s="1"/>
    </row>
    <row r="42" spans="2:122" ht="15.75" customHeight="1" x14ac:dyDescent="0.2">
      <c r="C42" s="1"/>
      <c r="D42" s="1"/>
    </row>
    <row r="43" spans="2:122" ht="15.75" customHeight="1" x14ac:dyDescent="0.2">
      <c r="C43" s="1"/>
      <c r="D43" s="1"/>
    </row>
    <row r="44" spans="2:122" ht="15.75" customHeight="1" x14ac:dyDescent="0.2">
      <c r="C44" s="1"/>
      <c r="D44" s="1"/>
    </row>
    <row r="45" spans="2:122" ht="15.75" customHeight="1" x14ac:dyDescent="0.2">
      <c r="C45" s="1"/>
      <c r="D45" s="1"/>
    </row>
    <row r="46" spans="2:122" ht="15.75" customHeight="1" x14ac:dyDescent="0.2">
      <c r="C46" s="1"/>
      <c r="D46" s="1"/>
    </row>
    <row r="47" spans="2:122" ht="15.75" customHeight="1" x14ac:dyDescent="0.2">
      <c r="C47" s="1"/>
      <c r="D47" s="1"/>
    </row>
    <row r="48" spans="2:122" ht="15.75" customHeight="1" x14ac:dyDescent="0.2">
      <c r="C48" s="1"/>
      <c r="D48" s="1"/>
    </row>
    <row r="49" spans="3:4" ht="15.75" customHeight="1" x14ac:dyDescent="0.2">
      <c r="C49" s="1"/>
      <c r="D49" s="1"/>
    </row>
    <row r="50" spans="3:4" ht="15.75" customHeight="1" x14ac:dyDescent="0.2">
      <c r="C50" s="1"/>
      <c r="D50" s="1"/>
    </row>
    <row r="51" spans="3:4" ht="15.75" customHeight="1" x14ac:dyDescent="0.2">
      <c r="C51" s="1"/>
      <c r="D51" s="1"/>
    </row>
    <row r="52" spans="3:4" ht="15.75" customHeight="1" x14ac:dyDescent="0.2">
      <c r="C52" s="1"/>
      <c r="D52" s="1"/>
    </row>
    <row r="53" spans="3:4" ht="15.75" customHeight="1" x14ac:dyDescent="0.2">
      <c r="C53" s="1"/>
      <c r="D53" s="1"/>
    </row>
    <row r="54" spans="3:4" ht="15.75" customHeight="1" x14ac:dyDescent="0.2">
      <c r="C54" s="1"/>
      <c r="D54" s="1"/>
    </row>
    <row r="55" spans="3:4" ht="15.75" customHeight="1" x14ac:dyDescent="0.2">
      <c r="C55" s="1"/>
      <c r="D55" s="1"/>
    </row>
    <row r="56" spans="3:4" ht="15.75" customHeight="1" x14ac:dyDescent="0.2">
      <c r="C56" s="1"/>
      <c r="D56" s="1"/>
    </row>
    <row r="57" spans="3:4" ht="15.75" customHeight="1" x14ac:dyDescent="0.2">
      <c r="C57" s="1"/>
      <c r="D57" s="1"/>
    </row>
    <row r="58" spans="3:4" ht="15.75" customHeight="1" x14ac:dyDescent="0.2">
      <c r="C58" s="1"/>
      <c r="D58" s="1"/>
    </row>
    <row r="59" spans="3:4" ht="15.75" customHeight="1" x14ac:dyDescent="0.2">
      <c r="C59" s="1"/>
      <c r="D59" s="1"/>
    </row>
    <row r="60" spans="3:4" ht="15.75" customHeight="1" x14ac:dyDescent="0.2">
      <c r="C60" s="1"/>
      <c r="D60" s="1"/>
    </row>
    <row r="61" spans="3:4" ht="15.75" customHeight="1" x14ac:dyDescent="0.2">
      <c r="C61" s="1"/>
      <c r="D61" s="1"/>
    </row>
    <row r="62" spans="3:4" ht="15.75" customHeight="1" x14ac:dyDescent="0.2">
      <c r="C62" s="1"/>
      <c r="D62" s="1"/>
    </row>
    <row r="63" spans="3:4" ht="15.75" customHeight="1" x14ac:dyDescent="0.2">
      <c r="C63" s="1"/>
      <c r="D63" s="1"/>
    </row>
    <row r="64" spans="3:4" ht="15.75" customHeight="1" x14ac:dyDescent="0.2">
      <c r="C64" s="1"/>
      <c r="D64" s="1"/>
    </row>
    <row r="65" spans="3:4" ht="15.75" customHeight="1" x14ac:dyDescent="0.2">
      <c r="C65" s="1"/>
      <c r="D65" s="1"/>
    </row>
    <row r="66" spans="3:4" ht="15.75" customHeight="1" x14ac:dyDescent="0.2">
      <c r="C66" s="1"/>
      <c r="D66" s="1"/>
    </row>
    <row r="67" spans="3:4" ht="15.75" customHeight="1" x14ac:dyDescent="0.2">
      <c r="C67" s="1"/>
      <c r="D67" s="1"/>
    </row>
    <row r="68" spans="3:4" ht="15.75" customHeight="1" x14ac:dyDescent="0.2">
      <c r="C68" s="1"/>
      <c r="D68" s="1"/>
    </row>
    <row r="69" spans="3:4" ht="15.75" customHeight="1" x14ac:dyDescent="0.2">
      <c r="C69" s="1"/>
      <c r="D69" s="1"/>
    </row>
    <row r="70" spans="3:4" ht="15.75" customHeight="1" x14ac:dyDescent="0.2">
      <c r="C70" s="1"/>
      <c r="D70" s="1"/>
    </row>
    <row r="71" spans="3:4" ht="15.75" customHeight="1" x14ac:dyDescent="0.2">
      <c r="C71" s="1"/>
      <c r="D71" s="1"/>
    </row>
    <row r="72" spans="3:4" ht="15.75" customHeight="1" x14ac:dyDescent="0.2">
      <c r="C72" s="1"/>
      <c r="D72" s="1"/>
    </row>
    <row r="73" spans="3:4" ht="15.75" customHeight="1" x14ac:dyDescent="0.2">
      <c r="C73" s="1"/>
      <c r="D73" s="1"/>
    </row>
    <row r="74" spans="3:4" ht="15.75" customHeight="1" x14ac:dyDescent="0.2">
      <c r="C74" s="1"/>
      <c r="D74" s="1"/>
    </row>
    <row r="75" spans="3:4" ht="15.75" customHeight="1" x14ac:dyDescent="0.2">
      <c r="C75" s="1"/>
      <c r="D75" s="1"/>
    </row>
    <row r="76" spans="3:4" ht="15.75" customHeight="1" x14ac:dyDescent="0.2">
      <c r="C76" s="1"/>
      <c r="D76" s="1"/>
    </row>
    <row r="77" spans="3:4" ht="15.75" customHeight="1" x14ac:dyDescent="0.2">
      <c r="C77" s="1"/>
      <c r="D77" s="1"/>
    </row>
    <row r="78" spans="3:4" ht="15.75" customHeight="1" x14ac:dyDescent="0.2">
      <c r="C78" s="1"/>
      <c r="D78" s="1"/>
    </row>
    <row r="79" spans="3:4" ht="15.75" customHeight="1" x14ac:dyDescent="0.2">
      <c r="C79" s="1"/>
      <c r="D79" s="1"/>
    </row>
    <row r="80" spans="3:4" ht="15.75" customHeight="1" x14ac:dyDescent="0.2">
      <c r="C80" s="1"/>
      <c r="D80" s="1"/>
    </row>
    <row r="81" spans="3:4" ht="15.75" customHeight="1" x14ac:dyDescent="0.2">
      <c r="C81" s="1"/>
      <c r="D81" s="1"/>
    </row>
    <row r="82" spans="3:4" ht="15.75" customHeight="1" x14ac:dyDescent="0.2">
      <c r="C82" s="1"/>
      <c r="D82" s="1"/>
    </row>
    <row r="83" spans="3:4" ht="15.75" customHeight="1" x14ac:dyDescent="0.2">
      <c r="C83" s="1"/>
      <c r="D83" s="1"/>
    </row>
    <row r="84" spans="3:4" ht="15.75" customHeight="1" x14ac:dyDescent="0.2">
      <c r="C84" s="1"/>
      <c r="D84" s="1"/>
    </row>
    <row r="85" spans="3:4" ht="15.75" customHeight="1" x14ac:dyDescent="0.2">
      <c r="C85" s="1"/>
      <c r="D85" s="1"/>
    </row>
    <row r="86" spans="3:4" ht="15.75" customHeight="1" x14ac:dyDescent="0.2">
      <c r="C86" s="1"/>
      <c r="D86" s="1"/>
    </row>
    <row r="87" spans="3:4" ht="15.75" customHeight="1" x14ac:dyDescent="0.2">
      <c r="C87" s="1"/>
      <c r="D87" s="1"/>
    </row>
    <row r="88" spans="3:4" ht="15.75" customHeight="1" x14ac:dyDescent="0.2">
      <c r="C88" s="1"/>
      <c r="D88" s="1"/>
    </row>
    <row r="89" spans="3:4" ht="15.75" customHeight="1" x14ac:dyDescent="0.2">
      <c r="C89" s="1"/>
      <c r="D89" s="1"/>
    </row>
    <row r="90" spans="3:4" ht="15.75" customHeight="1" x14ac:dyDescent="0.2">
      <c r="C90" s="1"/>
      <c r="D90" s="1"/>
    </row>
    <row r="91" spans="3:4" ht="15.75" customHeight="1" x14ac:dyDescent="0.2">
      <c r="C91" s="1"/>
      <c r="D91" s="1"/>
    </row>
    <row r="92" spans="3:4" ht="15.75" customHeight="1" x14ac:dyDescent="0.2">
      <c r="C92" s="1"/>
      <c r="D92" s="1"/>
    </row>
    <row r="93" spans="3:4" ht="15.75" customHeight="1" x14ac:dyDescent="0.2">
      <c r="C93" s="1"/>
      <c r="D93" s="1"/>
    </row>
    <row r="94" spans="3:4" ht="15.75" customHeight="1" x14ac:dyDescent="0.2">
      <c r="C94" s="1"/>
      <c r="D94" s="1"/>
    </row>
    <row r="95" spans="3:4" ht="15.75" customHeight="1" x14ac:dyDescent="0.2">
      <c r="C95" s="1"/>
      <c r="D95" s="1"/>
    </row>
    <row r="96" spans="3:4" ht="15.75" customHeight="1" x14ac:dyDescent="0.2">
      <c r="C96" s="1"/>
      <c r="D96" s="1"/>
    </row>
    <row r="97" spans="3:4" ht="15.75" customHeight="1" x14ac:dyDescent="0.2">
      <c r="C97" s="1"/>
      <c r="D97" s="1"/>
    </row>
    <row r="98" spans="3:4" ht="15.75" customHeight="1" x14ac:dyDescent="0.2">
      <c r="C98" s="1"/>
      <c r="D98" s="1"/>
    </row>
    <row r="99" spans="3:4" ht="15.75" customHeight="1" x14ac:dyDescent="0.2">
      <c r="C99" s="1"/>
      <c r="D99" s="1"/>
    </row>
    <row r="100" spans="3:4" ht="15.75" customHeight="1" x14ac:dyDescent="0.2">
      <c r="C100" s="1"/>
      <c r="D100" s="1"/>
    </row>
    <row r="101" spans="3:4" ht="15.75" customHeight="1" x14ac:dyDescent="0.2">
      <c r="C101" s="1"/>
      <c r="D101" s="1"/>
    </row>
    <row r="102" spans="3:4" ht="15.75" customHeight="1" x14ac:dyDescent="0.2">
      <c r="C102" s="1"/>
      <c r="D102" s="1"/>
    </row>
    <row r="103" spans="3:4" ht="15.75" customHeight="1" x14ac:dyDescent="0.2">
      <c r="C103" s="1"/>
      <c r="D103" s="1"/>
    </row>
    <row r="104" spans="3:4" ht="15.75" customHeight="1" x14ac:dyDescent="0.2">
      <c r="C104" s="1"/>
      <c r="D104" s="1"/>
    </row>
    <row r="105" spans="3:4" ht="15.75" customHeight="1" x14ac:dyDescent="0.2">
      <c r="C105" s="1"/>
      <c r="D105" s="1"/>
    </row>
    <row r="106" spans="3:4" ht="15.75" customHeight="1" x14ac:dyDescent="0.2">
      <c r="C106" s="1"/>
      <c r="D106" s="1"/>
    </row>
    <row r="107" spans="3:4" ht="15.75" customHeight="1" x14ac:dyDescent="0.2">
      <c r="C107" s="1"/>
      <c r="D107" s="1"/>
    </row>
    <row r="108" spans="3:4" ht="15.75" customHeight="1" x14ac:dyDescent="0.2">
      <c r="C108" s="1"/>
      <c r="D108" s="1"/>
    </row>
    <row r="109" spans="3:4" ht="15.75" customHeight="1" x14ac:dyDescent="0.2">
      <c r="C109" s="1"/>
      <c r="D109" s="1"/>
    </row>
    <row r="110" spans="3:4" ht="15.75" customHeight="1" x14ac:dyDescent="0.2">
      <c r="C110" s="1"/>
      <c r="D110" s="1"/>
    </row>
    <row r="111" spans="3:4" ht="15.75" customHeight="1" x14ac:dyDescent="0.2">
      <c r="C111" s="1"/>
      <c r="D111" s="1"/>
    </row>
    <row r="112" spans="3:4" ht="15.75" customHeight="1" x14ac:dyDescent="0.2">
      <c r="C112" s="1"/>
      <c r="D112" s="1"/>
    </row>
    <row r="113" spans="3:4" ht="15.75" customHeight="1" x14ac:dyDescent="0.2">
      <c r="C113" s="1"/>
      <c r="D113" s="1"/>
    </row>
    <row r="114" spans="3:4" ht="15.75" customHeight="1" x14ac:dyDescent="0.2">
      <c r="C114" s="1"/>
      <c r="D114" s="1"/>
    </row>
    <row r="115" spans="3:4" ht="15.75" customHeight="1" x14ac:dyDescent="0.2">
      <c r="C115" s="1"/>
      <c r="D115" s="1"/>
    </row>
    <row r="116" spans="3:4" ht="15.75" customHeight="1" x14ac:dyDescent="0.2">
      <c r="C116" s="1"/>
      <c r="D116" s="1"/>
    </row>
    <row r="117" spans="3:4" ht="15.75" customHeight="1" x14ac:dyDescent="0.2">
      <c r="C117" s="1"/>
      <c r="D117" s="1"/>
    </row>
    <row r="118" spans="3:4" ht="15.75" customHeight="1" x14ac:dyDescent="0.2">
      <c r="C118" s="1"/>
      <c r="D118" s="1"/>
    </row>
    <row r="119" spans="3:4" ht="15.75" customHeight="1" x14ac:dyDescent="0.2">
      <c r="C119" s="1"/>
      <c r="D119" s="1"/>
    </row>
    <row r="120" spans="3:4" ht="15.75" customHeight="1" x14ac:dyDescent="0.2">
      <c r="C120" s="1"/>
      <c r="D120" s="1"/>
    </row>
    <row r="121" spans="3:4" ht="15.75" customHeight="1" x14ac:dyDescent="0.2">
      <c r="C121" s="1"/>
      <c r="D121" s="1"/>
    </row>
    <row r="122" spans="3:4" ht="15.75" customHeight="1" x14ac:dyDescent="0.2">
      <c r="C122" s="1"/>
      <c r="D122" s="1"/>
    </row>
    <row r="123" spans="3:4" ht="15.75" customHeight="1" x14ac:dyDescent="0.2">
      <c r="C123" s="1"/>
      <c r="D123" s="1"/>
    </row>
    <row r="124" spans="3:4" ht="15.75" customHeight="1" x14ac:dyDescent="0.2">
      <c r="C124" s="1"/>
      <c r="D124" s="1"/>
    </row>
    <row r="125" spans="3:4" ht="15.75" customHeight="1" x14ac:dyDescent="0.2">
      <c r="C125" s="1"/>
      <c r="D125" s="1"/>
    </row>
    <row r="126" spans="3:4" ht="15.75" customHeight="1" x14ac:dyDescent="0.2">
      <c r="C126" s="1"/>
      <c r="D126" s="1"/>
    </row>
    <row r="127" spans="3:4" ht="15.75" customHeight="1" x14ac:dyDescent="0.2">
      <c r="C127" s="1"/>
      <c r="D127" s="1"/>
    </row>
    <row r="128" spans="3:4" ht="15.75" customHeight="1" x14ac:dyDescent="0.2">
      <c r="C128" s="1"/>
      <c r="D128" s="1"/>
    </row>
    <row r="129" spans="3:4" ht="15.75" customHeight="1" x14ac:dyDescent="0.2">
      <c r="C129" s="1"/>
      <c r="D129" s="1"/>
    </row>
    <row r="130" spans="3:4" ht="15.75" customHeight="1" x14ac:dyDescent="0.2">
      <c r="C130" s="1"/>
      <c r="D130" s="1"/>
    </row>
    <row r="131" spans="3:4" ht="15.75" customHeight="1" x14ac:dyDescent="0.2">
      <c r="C131" s="1"/>
      <c r="D131" s="1"/>
    </row>
    <row r="132" spans="3:4" ht="15.75" customHeight="1" x14ac:dyDescent="0.2">
      <c r="C132" s="1"/>
      <c r="D132" s="1"/>
    </row>
    <row r="133" spans="3:4" ht="15.75" customHeight="1" x14ac:dyDescent="0.2">
      <c r="C133" s="1"/>
      <c r="D133" s="1"/>
    </row>
    <row r="134" spans="3:4" ht="15.75" customHeight="1" x14ac:dyDescent="0.2">
      <c r="C134" s="1"/>
      <c r="D134" s="1"/>
    </row>
    <row r="135" spans="3:4" ht="15.75" customHeight="1" x14ac:dyDescent="0.2">
      <c r="C135" s="1"/>
      <c r="D135" s="1"/>
    </row>
    <row r="136" spans="3:4" ht="15.75" customHeight="1" x14ac:dyDescent="0.2">
      <c r="C136" s="1"/>
      <c r="D136" s="1"/>
    </row>
    <row r="137" spans="3:4" ht="15.75" customHeight="1" x14ac:dyDescent="0.2">
      <c r="C137" s="1"/>
      <c r="D137" s="1"/>
    </row>
    <row r="138" spans="3:4" ht="15.75" customHeight="1" x14ac:dyDescent="0.2">
      <c r="C138" s="1"/>
      <c r="D138" s="1"/>
    </row>
    <row r="139" spans="3:4" ht="15.75" customHeight="1" x14ac:dyDescent="0.2">
      <c r="C139" s="1"/>
      <c r="D139" s="1"/>
    </row>
    <row r="140" spans="3:4" ht="15.75" customHeight="1" x14ac:dyDescent="0.2">
      <c r="C140" s="1"/>
      <c r="D140" s="1"/>
    </row>
    <row r="141" spans="3:4" ht="15.75" customHeight="1" x14ac:dyDescent="0.2">
      <c r="C141" s="1"/>
      <c r="D141" s="1"/>
    </row>
    <row r="142" spans="3:4" ht="15.75" customHeight="1" x14ac:dyDescent="0.2">
      <c r="C142" s="1"/>
      <c r="D142" s="1"/>
    </row>
    <row r="143" spans="3:4" ht="15.75" customHeight="1" x14ac:dyDescent="0.2">
      <c r="C143" s="1"/>
      <c r="D143" s="1"/>
    </row>
    <row r="144" spans="3:4" ht="15.75" customHeight="1" x14ac:dyDescent="0.2">
      <c r="C144" s="1"/>
      <c r="D144" s="1"/>
    </row>
    <row r="145" spans="3:4" ht="15.75" customHeight="1" x14ac:dyDescent="0.2">
      <c r="C145" s="1"/>
      <c r="D145" s="1"/>
    </row>
    <row r="146" spans="3:4" ht="15.75" customHeight="1" x14ac:dyDescent="0.2">
      <c r="C146" s="1"/>
      <c r="D146" s="1"/>
    </row>
    <row r="147" spans="3:4" ht="15.75" customHeight="1" x14ac:dyDescent="0.2">
      <c r="C147" s="1"/>
      <c r="D147" s="1"/>
    </row>
    <row r="148" spans="3:4" ht="15.75" customHeight="1" x14ac:dyDescent="0.2">
      <c r="C148" s="1"/>
      <c r="D148" s="1"/>
    </row>
    <row r="149" spans="3:4" ht="15.75" customHeight="1" x14ac:dyDescent="0.2">
      <c r="C149" s="1"/>
      <c r="D149" s="1"/>
    </row>
    <row r="150" spans="3:4" ht="15.75" customHeight="1" x14ac:dyDescent="0.2">
      <c r="C150" s="1"/>
      <c r="D150" s="1"/>
    </row>
    <row r="151" spans="3:4" ht="15.75" customHeight="1" x14ac:dyDescent="0.2">
      <c r="C151" s="1"/>
      <c r="D151" s="1"/>
    </row>
    <row r="152" spans="3:4" ht="15.75" customHeight="1" x14ac:dyDescent="0.2">
      <c r="C152" s="1"/>
      <c r="D152" s="1"/>
    </row>
    <row r="153" spans="3:4" ht="15.75" customHeight="1" x14ac:dyDescent="0.2">
      <c r="C153" s="1"/>
      <c r="D153" s="1"/>
    </row>
    <row r="154" spans="3:4" ht="15.75" customHeight="1" x14ac:dyDescent="0.2">
      <c r="C154" s="1"/>
      <c r="D154" s="1"/>
    </row>
    <row r="155" spans="3:4" ht="15.75" customHeight="1" x14ac:dyDescent="0.2">
      <c r="C155" s="1"/>
      <c r="D155" s="1"/>
    </row>
    <row r="156" spans="3:4" ht="15.75" customHeight="1" x14ac:dyDescent="0.2">
      <c r="C156" s="1"/>
      <c r="D156" s="1"/>
    </row>
    <row r="157" spans="3:4" ht="15.75" customHeight="1" x14ac:dyDescent="0.2">
      <c r="C157" s="1"/>
      <c r="D157" s="1"/>
    </row>
    <row r="158" spans="3:4" ht="15.75" customHeight="1" x14ac:dyDescent="0.2">
      <c r="C158" s="1"/>
      <c r="D158" s="1"/>
    </row>
    <row r="159" spans="3:4" ht="15.75" customHeight="1" x14ac:dyDescent="0.2">
      <c r="C159" s="1"/>
      <c r="D159" s="1"/>
    </row>
    <row r="160" spans="3:4" ht="15.75" customHeight="1" x14ac:dyDescent="0.2">
      <c r="C160" s="1"/>
      <c r="D160" s="1"/>
    </row>
    <row r="161" spans="3:4" ht="15.75" customHeight="1" x14ac:dyDescent="0.2">
      <c r="C161" s="1"/>
      <c r="D161" s="1"/>
    </row>
    <row r="162" spans="3:4" ht="15.75" customHeight="1" x14ac:dyDescent="0.2">
      <c r="C162" s="1"/>
      <c r="D162" s="1"/>
    </row>
    <row r="163" spans="3:4" ht="15.75" customHeight="1" x14ac:dyDescent="0.2">
      <c r="C163" s="1"/>
      <c r="D163" s="1"/>
    </row>
    <row r="164" spans="3:4" ht="15.75" customHeight="1" x14ac:dyDescent="0.2">
      <c r="C164" s="1"/>
      <c r="D164" s="1"/>
    </row>
    <row r="165" spans="3:4" ht="15.75" customHeight="1" x14ac:dyDescent="0.2">
      <c r="C165" s="1"/>
      <c r="D165" s="1"/>
    </row>
    <row r="166" spans="3:4" ht="15.75" customHeight="1" x14ac:dyDescent="0.2">
      <c r="C166" s="1"/>
      <c r="D166" s="1"/>
    </row>
    <row r="167" spans="3:4" ht="15.75" customHeight="1" x14ac:dyDescent="0.2">
      <c r="C167" s="1"/>
      <c r="D167" s="1"/>
    </row>
    <row r="168" spans="3:4" ht="15.75" customHeight="1" x14ac:dyDescent="0.2">
      <c r="C168" s="1"/>
      <c r="D168" s="1"/>
    </row>
    <row r="169" spans="3:4" ht="15.75" customHeight="1" x14ac:dyDescent="0.2">
      <c r="C169" s="1"/>
      <c r="D169" s="1"/>
    </row>
    <row r="170" spans="3:4" ht="15.75" customHeight="1" x14ac:dyDescent="0.2">
      <c r="C170" s="1"/>
      <c r="D170" s="1"/>
    </row>
    <row r="171" spans="3:4" ht="15.75" customHeight="1" x14ac:dyDescent="0.2">
      <c r="C171" s="1"/>
      <c r="D171" s="1"/>
    </row>
    <row r="172" spans="3:4" ht="15.75" customHeight="1" x14ac:dyDescent="0.2">
      <c r="C172" s="1"/>
      <c r="D172" s="1"/>
    </row>
    <row r="173" spans="3:4" ht="15.75" customHeight="1" x14ac:dyDescent="0.2">
      <c r="C173" s="1"/>
      <c r="D173" s="1"/>
    </row>
    <row r="174" spans="3:4" ht="15.75" customHeight="1" x14ac:dyDescent="0.2">
      <c r="C174" s="1"/>
      <c r="D174" s="1"/>
    </row>
    <row r="175" spans="3:4" ht="15.75" customHeight="1" x14ac:dyDescent="0.2">
      <c r="C175" s="1"/>
      <c r="D175" s="1"/>
    </row>
    <row r="176" spans="3:4" ht="15.75" customHeight="1" x14ac:dyDescent="0.2">
      <c r="C176" s="1"/>
      <c r="D176" s="1"/>
    </row>
    <row r="177" spans="3:4" ht="15.75" customHeight="1" x14ac:dyDescent="0.2">
      <c r="C177" s="1"/>
      <c r="D177" s="1"/>
    </row>
    <row r="178" spans="3:4" ht="15.75" customHeight="1" x14ac:dyDescent="0.2">
      <c r="C178" s="1"/>
      <c r="D178" s="1"/>
    </row>
    <row r="179" spans="3:4" ht="15.75" customHeight="1" x14ac:dyDescent="0.2">
      <c r="C179" s="1"/>
      <c r="D179" s="1"/>
    </row>
    <row r="180" spans="3:4" ht="15.75" customHeight="1" x14ac:dyDescent="0.2">
      <c r="C180" s="1"/>
      <c r="D180" s="1"/>
    </row>
    <row r="181" spans="3:4" ht="15.75" customHeight="1" x14ac:dyDescent="0.2">
      <c r="C181" s="1"/>
      <c r="D181" s="1"/>
    </row>
    <row r="182" spans="3:4" ht="15.75" customHeight="1" x14ac:dyDescent="0.2">
      <c r="C182" s="1"/>
      <c r="D182" s="1"/>
    </row>
    <row r="183" spans="3:4" ht="15.75" customHeight="1" x14ac:dyDescent="0.2">
      <c r="C183" s="1"/>
      <c r="D183" s="1"/>
    </row>
    <row r="184" spans="3:4" ht="15.75" customHeight="1" x14ac:dyDescent="0.2">
      <c r="C184" s="1"/>
      <c r="D184" s="1"/>
    </row>
    <row r="185" spans="3:4" ht="15.75" customHeight="1" x14ac:dyDescent="0.2">
      <c r="C185" s="1"/>
      <c r="D185" s="1"/>
    </row>
    <row r="186" spans="3:4" ht="15.75" customHeight="1" x14ac:dyDescent="0.2">
      <c r="C186" s="1"/>
      <c r="D186" s="1"/>
    </row>
    <row r="187" spans="3:4" ht="15.75" customHeight="1" x14ac:dyDescent="0.2">
      <c r="C187" s="1"/>
      <c r="D187" s="1"/>
    </row>
    <row r="188" spans="3:4" ht="15.75" customHeight="1" x14ac:dyDescent="0.2">
      <c r="C188" s="1"/>
      <c r="D188" s="1"/>
    </row>
    <row r="189" spans="3:4" ht="15.75" customHeight="1" x14ac:dyDescent="0.2">
      <c r="C189" s="1"/>
      <c r="D189" s="1"/>
    </row>
    <row r="190" spans="3:4" ht="15.75" customHeight="1" x14ac:dyDescent="0.2">
      <c r="C190" s="1"/>
      <c r="D190" s="1"/>
    </row>
    <row r="191" spans="3:4" ht="15.75" customHeight="1" x14ac:dyDescent="0.2">
      <c r="C191" s="1"/>
      <c r="D191" s="1"/>
    </row>
    <row r="192" spans="3:4" ht="15.75" customHeight="1" x14ac:dyDescent="0.2">
      <c r="C192" s="1"/>
      <c r="D192" s="1"/>
    </row>
    <row r="193" spans="3:4" ht="15.75" customHeight="1" x14ac:dyDescent="0.2">
      <c r="C193" s="1"/>
      <c r="D193" s="1"/>
    </row>
    <row r="194" spans="3:4" ht="15.75" customHeight="1" x14ac:dyDescent="0.2">
      <c r="C194" s="1"/>
      <c r="D194" s="1"/>
    </row>
    <row r="195" spans="3:4" ht="15.75" customHeight="1" x14ac:dyDescent="0.2">
      <c r="C195" s="1"/>
      <c r="D195" s="1"/>
    </row>
    <row r="196" spans="3:4" ht="15.75" customHeight="1" x14ac:dyDescent="0.2">
      <c r="C196" s="1"/>
      <c r="D196" s="1"/>
    </row>
    <row r="197" spans="3:4" ht="15.75" customHeight="1" x14ac:dyDescent="0.2">
      <c r="C197" s="1"/>
      <c r="D197" s="1"/>
    </row>
    <row r="198" spans="3:4" ht="15.75" customHeight="1" x14ac:dyDescent="0.2">
      <c r="C198" s="1"/>
      <c r="D198" s="1"/>
    </row>
    <row r="199" spans="3:4" ht="15.75" customHeight="1" x14ac:dyDescent="0.2">
      <c r="C199" s="1"/>
      <c r="D199" s="1"/>
    </row>
    <row r="200" spans="3:4" ht="15.75" customHeight="1" x14ac:dyDescent="0.2">
      <c r="C200" s="1"/>
      <c r="D200" s="1"/>
    </row>
    <row r="201" spans="3:4" ht="15.75" customHeight="1" x14ac:dyDescent="0.2">
      <c r="C201" s="1"/>
      <c r="D201" s="1"/>
    </row>
    <row r="202" spans="3:4" ht="15.75" customHeight="1" x14ac:dyDescent="0.2">
      <c r="C202" s="1"/>
      <c r="D202" s="1"/>
    </row>
    <row r="203" spans="3:4" ht="15.75" customHeight="1" x14ac:dyDescent="0.2">
      <c r="C203" s="1"/>
      <c r="D203" s="1"/>
    </row>
    <row r="204" spans="3:4" ht="15.75" customHeight="1" x14ac:dyDescent="0.2">
      <c r="C204" s="1"/>
      <c r="D204" s="1"/>
    </row>
    <row r="205" spans="3:4" ht="15.75" customHeight="1" x14ac:dyDescent="0.2">
      <c r="C205" s="1"/>
      <c r="D205" s="1"/>
    </row>
    <row r="206" spans="3:4" ht="15.75" customHeight="1" x14ac:dyDescent="0.2">
      <c r="C206" s="1"/>
      <c r="D206" s="1"/>
    </row>
    <row r="207" spans="3:4" ht="15.75" customHeight="1" x14ac:dyDescent="0.2">
      <c r="C207" s="1"/>
      <c r="D207" s="1"/>
    </row>
    <row r="208" spans="3:4" ht="15.75" customHeight="1" x14ac:dyDescent="0.2">
      <c r="C208" s="1"/>
      <c r="D208" s="1"/>
    </row>
    <row r="209" spans="3:4" ht="15.75" customHeight="1" x14ac:dyDescent="0.2">
      <c r="C209" s="1"/>
      <c r="D209" s="1"/>
    </row>
    <row r="210" spans="3:4" ht="15.75" customHeight="1" x14ac:dyDescent="0.2">
      <c r="C210" s="1"/>
      <c r="D210" s="1"/>
    </row>
    <row r="211" spans="3:4" ht="15.75" customHeight="1" x14ac:dyDescent="0.2">
      <c r="C211" s="1"/>
      <c r="D211" s="1"/>
    </row>
    <row r="212" spans="3:4" ht="15.75" customHeight="1" x14ac:dyDescent="0.2">
      <c r="C212" s="1"/>
      <c r="D212" s="1"/>
    </row>
    <row r="213" spans="3:4" ht="15.75" customHeight="1" x14ac:dyDescent="0.2">
      <c r="C213" s="1"/>
      <c r="D213" s="1"/>
    </row>
    <row r="214" spans="3:4" ht="15.75" customHeight="1" x14ac:dyDescent="0.2">
      <c r="C214" s="1"/>
      <c r="D214" s="1"/>
    </row>
    <row r="215" spans="3:4" ht="15.75" customHeight="1" x14ac:dyDescent="0.2">
      <c r="C215" s="1"/>
      <c r="D215" s="1"/>
    </row>
    <row r="216" spans="3:4" ht="15.75" customHeight="1" x14ac:dyDescent="0.2">
      <c r="C216" s="1"/>
      <c r="D216" s="1"/>
    </row>
    <row r="217" spans="3:4" ht="15.75" customHeight="1" x14ac:dyDescent="0.2">
      <c r="C217" s="1"/>
      <c r="D217" s="1"/>
    </row>
    <row r="218" spans="3:4" ht="15.75" customHeight="1" x14ac:dyDescent="0.2">
      <c r="C218" s="1"/>
      <c r="D218" s="1"/>
    </row>
    <row r="219" spans="3:4" ht="15.75" customHeight="1" x14ac:dyDescent="0.2">
      <c r="C219" s="1"/>
      <c r="D219" s="1"/>
    </row>
    <row r="220" spans="3:4" ht="15.75" customHeight="1" x14ac:dyDescent="0.2">
      <c r="C220" s="1"/>
      <c r="D220" s="1"/>
    </row>
    <row r="221" spans="3:4" ht="15.75" customHeight="1" x14ac:dyDescent="0.2">
      <c r="C221" s="1"/>
      <c r="D221" s="1"/>
    </row>
    <row r="222" spans="3:4" ht="15.75" customHeight="1" x14ac:dyDescent="0.2">
      <c r="C222" s="1"/>
      <c r="D222" s="1"/>
    </row>
    <row r="223" spans="3:4" ht="15.75" customHeight="1" x14ac:dyDescent="0.2">
      <c r="C223" s="1"/>
      <c r="D223" s="1"/>
    </row>
    <row r="224" spans="3:4" ht="15.75" customHeight="1" x14ac:dyDescent="0.2">
      <c r="C224" s="1"/>
      <c r="D224" s="1"/>
    </row>
    <row r="225" spans="3:4" ht="15.75" customHeight="1" x14ac:dyDescent="0.2">
      <c r="C225" s="1"/>
      <c r="D225" s="1"/>
    </row>
    <row r="226" spans="3:4" ht="15.75" customHeight="1" x14ac:dyDescent="0.2">
      <c r="C226" s="1"/>
      <c r="D226" s="1"/>
    </row>
    <row r="227" spans="3:4" ht="15.75" customHeight="1" x14ac:dyDescent="0.2">
      <c r="C227" s="1"/>
      <c r="D227" s="1"/>
    </row>
    <row r="228" spans="3:4" ht="15.75" customHeight="1" x14ac:dyDescent="0.2">
      <c r="C228" s="1"/>
      <c r="D228" s="1"/>
    </row>
    <row r="229" spans="3:4" ht="15.75" customHeight="1" x14ac:dyDescent="0.2">
      <c r="C229" s="1"/>
      <c r="D229" s="1"/>
    </row>
    <row r="230" spans="3:4" ht="15.75" customHeight="1" x14ac:dyDescent="0.2">
      <c r="C230" s="1"/>
      <c r="D230" s="1"/>
    </row>
    <row r="231" spans="3:4" ht="15.75" customHeight="1" x14ac:dyDescent="0.2">
      <c r="C231" s="1"/>
      <c r="D231" s="1"/>
    </row>
    <row r="232" spans="3:4" ht="15.75" customHeight="1" x14ac:dyDescent="0.2">
      <c r="C232" s="1"/>
      <c r="D232" s="1"/>
    </row>
    <row r="233" spans="3:4" ht="15.75" customHeight="1" x14ac:dyDescent="0.2">
      <c r="C233" s="1"/>
      <c r="D233" s="1"/>
    </row>
    <row r="234" spans="3:4" ht="15.75" customHeight="1" x14ac:dyDescent="0.2">
      <c r="C234" s="1"/>
      <c r="D234" s="1"/>
    </row>
    <row r="235" spans="3:4" ht="15.75" customHeight="1" x14ac:dyDescent="0.2">
      <c r="C235" s="1"/>
      <c r="D235" s="1"/>
    </row>
    <row r="236" spans="3:4" ht="15.75" customHeight="1" x14ac:dyDescent="0.2">
      <c r="C236" s="1"/>
      <c r="D236" s="1"/>
    </row>
    <row r="237" spans="3:4" ht="15.75" customHeight="1" x14ac:dyDescent="0.2">
      <c r="C237" s="1"/>
      <c r="D237" s="1"/>
    </row>
    <row r="238" spans="3:4" ht="15.75" customHeight="1" x14ac:dyDescent="0.2">
      <c r="C238" s="1"/>
      <c r="D238" s="1"/>
    </row>
    <row r="239" spans="3:4" ht="15.75" customHeight="1" x14ac:dyDescent="0.2">
      <c r="C239" s="1"/>
      <c r="D239" s="1"/>
    </row>
    <row r="240" spans="3:4" ht="15.75" customHeight="1" x14ac:dyDescent="0.2">
      <c r="C240" s="1"/>
      <c r="D240" s="1"/>
    </row>
    <row r="241" spans="3:4" ht="15.75" customHeight="1" x14ac:dyDescent="0.2">
      <c r="C241" s="1"/>
      <c r="D241" s="1"/>
    </row>
    <row r="242" spans="3:4" ht="15.75" customHeight="1" x14ac:dyDescent="0.2">
      <c r="C242" s="1"/>
      <c r="D242" s="1"/>
    </row>
    <row r="243" spans="3:4" ht="15.75" customHeight="1" x14ac:dyDescent="0.2">
      <c r="C243" s="1"/>
      <c r="D243" s="1"/>
    </row>
    <row r="244" spans="3:4" ht="15.75" customHeight="1" x14ac:dyDescent="0.2">
      <c r="C244" s="1"/>
      <c r="D244" s="1"/>
    </row>
    <row r="245" spans="3:4" ht="15.75" customHeight="1" x14ac:dyDescent="0.2">
      <c r="C245" s="1"/>
      <c r="D245" s="1"/>
    </row>
    <row r="246" spans="3:4" ht="15.75" customHeight="1" x14ac:dyDescent="0.2">
      <c r="C246" s="1"/>
      <c r="D246" s="1"/>
    </row>
    <row r="247" spans="3:4" ht="15.75" customHeight="1" x14ac:dyDescent="0.2">
      <c r="C247" s="1"/>
      <c r="D247" s="1"/>
    </row>
    <row r="248" spans="3:4" ht="15.75" customHeight="1" x14ac:dyDescent="0.2">
      <c r="C248" s="1"/>
      <c r="D248" s="1"/>
    </row>
    <row r="249" spans="3:4" ht="15.75" customHeight="1" x14ac:dyDescent="0.2">
      <c r="C249" s="1"/>
      <c r="D249" s="1"/>
    </row>
    <row r="250" spans="3:4" ht="15.75" customHeight="1" x14ac:dyDescent="0.2">
      <c r="C250" s="1"/>
      <c r="D250" s="1"/>
    </row>
    <row r="251" spans="3:4" ht="15.75" customHeight="1" x14ac:dyDescent="0.2">
      <c r="C251" s="1"/>
      <c r="D251" s="1"/>
    </row>
    <row r="252" spans="3:4" ht="15.75" customHeight="1" x14ac:dyDescent="0.2">
      <c r="C252" s="1"/>
      <c r="D252" s="1"/>
    </row>
    <row r="253" spans="3:4" ht="15.75" customHeight="1" x14ac:dyDescent="0.2">
      <c r="C253" s="1"/>
      <c r="D253" s="1"/>
    </row>
    <row r="254" spans="3:4" ht="15.75" customHeight="1" x14ac:dyDescent="0.2">
      <c r="C254" s="1"/>
      <c r="D254" s="1"/>
    </row>
    <row r="255" spans="3:4" ht="15.75" customHeight="1" x14ac:dyDescent="0.2">
      <c r="C255" s="1"/>
      <c r="D255" s="1"/>
    </row>
    <row r="256" spans="3:4" ht="15.75" customHeight="1" x14ac:dyDescent="0.2">
      <c r="C256" s="1"/>
      <c r="D256" s="1"/>
    </row>
    <row r="257" spans="3:4" ht="15.75" customHeight="1" x14ac:dyDescent="0.2">
      <c r="C257" s="1"/>
      <c r="D257" s="1"/>
    </row>
    <row r="258" spans="3:4" ht="15.75" customHeight="1" x14ac:dyDescent="0.2">
      <c r="C258" s="1"/>
      <c r="D258" s="1"/>
    </row>
    <row r="259" spans="3:4" ht="15.75" customHeight="1" x14ac:dyDescent="0.2">
      <c r="C259" s="1"/>
      <c r="D259" s="1"/>
    </row>
    <row r="260" spans="3:4" ht="15.75" customHeight="1" x14ac:dyDescent="0.2">
      <c r="C260" s="1"/>
      <c r="D260" s="1"/>
    </row>
    <row r="261" spans="3:4" ht="15.75" customHeight="1" x14ac:dyDescent="0.2">
      <c r="C261" s="1"/>
      <c r="D261" s="1"/>
    </row>
    <row r="262" spans="3:4" ht="15.75" customHeight="1" x14ac:dyDescent="0.2">
      <c r="C262" s="1"/>
      <c r="D262" s="1"/>
    </row>
    <row r="263" spans="3:4" ht="15.75" customHeight="1" x14ac:dyDescent="0.2">
      <c r="C263" s="1"/>
      <c r="D263" s="1"/>
    </row>
    <row r="264" spans="3:4" ht="15.75" customHeight="1" x14ac:dyDescent="0.2">
      <c r="C264" s="1"/>
      <c r="D264" s="1"/>
    </row>
    <row r="265" spans="3:4" ht="15.75" customHeight="1" x14ac:dyDescent="0.2">
      <c r="C265" s="1"/>
      <c r="D265" s="1"/>
    </row>
    <row r="266" spans="3:4" ht="15.75" customHeight="1" x14ac:dyDescent="0.2">
      <c r="C266" s="1"/>
      <c r="D266" s="1"/>
    </row>
    <row r="267" spans="3:4" ht="15.75" customHeight="1" x14ac:dyDescent="0.2">
      <c r="C267" s="1"/>
      <c r="D267" s="1"/>
    </row>
    <row r="268" spans="3:4" ht="15.75" customHeight="1" x14ac:dyDescent="0.2">
      <c r="C268" s="1"/>
      <c r="D268" s="1"/>
    </row>
    <row r="269" spans="3:4" ht="15.75" customHeight="1" x14ac:dyDescent="0.2">
      <c r="C269" s="1"/>
      <c r="D269" s="1"/>
    </row>
    <row r="270" spans="3:4" ht="15.75" customHeight="1" x14ac:dyDescent="0.2">
      <c r="C270" s="1"/>
      <c r="D270" s="1"/>
    </row>
    <row r="271" spans="3:4" ht="15.75" customHeight="1" x14ac:dyDescent="0.2">
      <c r="C271" s="1"/>
      <c r="D271" s="1"/>
    </row>
    <row r="272" spans="3:4" ht="15.75" customHeight="1" x14ac:dyDescent="0.2">
      <c r="C272" s="1"/>
      <c r="D272" s="1"/>
    </row>
    <row r="273" spans="3:4" ht="15.75" customHeight="1" x14ac:dyDescent="0.2">
      <c r="C273" s="1"/>
      <c r="D273" s="1"/>
    </row>
    <row r="274" spans="3:4" ht="15.75" customHeight="1" x14ac:dyDescent="0.2">
      <c r="C274" s="1"/>
      <c r="D274" s="1"/>
    </row>
    <row r="275" spans="3:4" ht="15.75" customHeight="1" x14ac:dyDescent="0.2">
      <c r="C275" s="1"/>
      <c r="D275" s="1"/>
    </row>
    <row r="276" spans="3:4" ht="15.75" customHeight="1" x14ac:dyDescent="0.2">
      <c r="C276" s="1"/>
      <c r="D276" s="1"/>
    </row>
    <row r="277" spans="3:4" ht="15.75" customHeight="1" x14ac:dyDescent="0.2">
      <c r="C277" s="1"/>
      <c r="D277" s="1"/>
    </row>
    <row r="278" spans="3:4" ht="15.75" customHeight="1" x14ac:dyDescent="0.2">
      <c r="C278" s="1"/>
      <c r="D278" s="1"/>
    </row>
    <row r="279" spans="3:4" ht="15.75" customHeight="1" x14ac:dyDescent="0.2">
      <c r="C279" s="1"/>
      <c r="D279" s="1"/>
    </row>
    <row r="280" spans="3:4" ht="15.75" customHeight="1" x14ac:dyDescent="0.2">
      <c r="C280" s="1"/>
      <c r="D280" s="1"/>
    </row>
    <row r="281" spans="3:4" ht="15.75" customHeight="1" x14ac:dyDescent="0.2">
      <c r="C281" s="1"/>
      <c r="D281" s="1"/>
    </row>
    <row r="282" spans="3:4" ht="15.75" customHeight="1" x14ac:dyDescent="0.2">
      <c r="C282" s="1"/>
      <c r="D282" s="1"/>
    </row>
    <row r="283" spans="3:4" ht="15.75" customHeight="1" x14ac:dyDescent="0.2">
      <c r="C283" s="1"/>
      <c r="D283" s="1"/>
    </row>
    <row r="284" spans="3:4" ht="15.75" customHeight="1" x14ac:dyDescent="0.2">
      <c r="C284" s="1"/>
      <c r="D284" s="1"/>
    </row>
    <row r="285" spans="3:4" ht="15.75" customHeight="1" x14ac:dyDescent="0.2">
      <c r="C285" s="1"/>
      <c r="D285" s="1"/>
    </row>
    <row r="286" spans="3:4" ht="15.75" customHeight="1" x14ac:dyDescent="0.2">
      <c r="C286" s="1"/>
      <c r="D286" s="1"/>
    </row>
    <row r="287" spans="3:4" ht="15.75" customHeight="1" x14ac:dyDescent="0.2">
      <c r="C287" s="1"/>
      <c r="D287" s="1"/>
    </row>
    <row r="288" spans="3:4" ht="15.75" customHeight="1" x14ac:dyDescent="0.2">
      <c r="C288" s="1"/>
      <c r="D288" s="1"/>
    </row>
    <row r="289" spans="3:4" ht="15.75" customHeight="1" x14ac:dyDescent="0.2">
      <c r="C289" s="1"/>
      <c r="D289" s="1"/>
    </row>
    <row r="290" spans="3:4" ht="15.75" customHeight="1" x14ac:dyDescent="0.2">
      <c r="C290" s="1"/>
      <c r="D290" s="1"/>
    </row>
    <row r="291" spans="3:4" ht="15.75" customHeight="1" x14ac:dyDescent="0.2">
      <c r="C291" s="1"/>
      <c r="D291" s="1"/>
    </row>
    <row r="292" spans="3:4" ht="15.75" customHeight="1" x14ac:dyDescent="0.2">
      <c r="C292" s="1"/>
      <c r="D292" s="1"/>
    </row>
    <row r="293" spans="3:4" ht="15.75" customHeight="1" x14ac:dyDescent="0.2">
      <c r="C293" s="1"/>
      <c r="D293" s="1"/>
    </row>
    <row r="294" spans="3:4" ht="15.75" customHeight="1" x14ac:dyDescent="0.2">
      <c r="C294" s="1"/>
      <c r="D294" s="1"/>
    </row>
    <row r="295" spans="3:4" ht="15.75" customHeight="1" x14ac:dyDescent="0.2">
      <c r="C295" s="1"/>
      <c r="D295" s="1"/>
    </row>
    <row r="296" spans="3:4" ht="15.75" customHeight="1" x14ac:dyDescent="0.2">
      <c r="C296" s="1"/>
      <c r="D296" s="1"/>
    </row>
    <row r="297" spans="3:4" ht="15.75" customHeight="1" x14ac:dyDescent="0.2">
      <c r="C297" s="1"/>
      <c r="D297" s="1"/>
    </row>
    <row r="298" spans="3:4" ht="15.75" customHeight="1" x14ac:dyDescent="0.2">
      <c r="C298" s="1"/>
      <c r="D298" s="1"/>
    </row>
    <row r="299" spans="3:4" ht="15.75" customHeight="1" x14ac:dyDescent="0.2">
      <c r="C299" s="1"/>
      <c r="D299" s="1"/>
    </row>
    <row r="300" spans="3:4" ht="15.75" customHeight="1" x14ac:dyDescent="0.2">
      <c r="C300" s="1"/>
      <c r="D300" s="1"/>
    </row>
    <row r="301" spans="3:4" ht="15.75" customHeight="1" x14ac:dyDescent="0.2">
      <c r="C301" s="1"/>
      <c r="D301" s="1"/>
    </row>
    <row r="302" spans="3:4" ht="15.75" customHeight="1" x14ac:dyDescent="0.2">
      <c r="C302" s="1"/>
      <c r="D302" s="1"/>
    </row>
    <row r="303" spans="3:4" ht="15.75" customHeight="1" x14ac:dyDescent="0.2">
      <c r="C303" s="1"/>
      <c r="D303" s="1"/>
    </row>
    <row r="304" spans="3:4" ht="15.75" customHeight="1" x14ac:dyDescent="0.2">
      <c r="C304" s="1"/>
      <c r="D304" s="1"/>
    </row>
    <row r="305" spans="3:4" ht="15.75" customHeight="1" x14ac:dyDescent="0.2">
      <c r="C305" s="1"/>
      <c r="D305" s="1"/>
    </row>
    <row r="306" spans="3:4" ht="15.75" customHeight="1" x14ac:dyDescent="0.2">
      <c r="C306" s="1"/>
      <c r="D306" s="1"/>
    </row>
    <row r="307" spans="3:4" ht="15.75" customHeight="1" x14ac:dyDescent="0.2">
      <c r="C307" s="1"/>
      <c r="D307" s="1"/>
    </row>
    <row r="308" spans="3:4" ht="15.75" customHeight="1" x14ac:dyDescent="0.2">
      <c r="C308" s="1"/>
      <c r="D308" s="1"/>
    </row>
    <row r="309" spans="3:4" ht="15.75" customHeight="1" x14ac:dyDescent="0.2">
      <c r="C309" s="1"/>
      <c r="D309" s="1"/>
    </row>
    <row r="310" spans="3:4" ht="15.75" customHeight="1" x14ac:dyDescent="0.2">
      <c r="C310" s="1"/>
      <c r="D310" s="1"/>
    </row>
    <row r="311" spans="3:4" ht="15.75" customHeight="1" x14ac:dyDescent="0.2">
      <c r="C311" s="1"/>
      <c r="D311" s="1"/>
    </row>
    <row r="312" spans="3:4" ht="15.75" customHeight="1" x14ac:dyDescent="0.2">
      <c r="C312" s="1"/>
      <c r="D312" s="1"/>
    </row>
    <row r="313" spans="3:4" ht="15.75" customHeight="1" x14ac:dyDescent="0.2">
      <c r="C313" s="1"/>
      <c r="D313" s="1"/>
    </row>
    <row r="314" spans="3:4" ht="15.75" customHeight="1" x14ac:dyDescent="0.2">
      <c r="C314" s="1"/>
      <c r="D314" s="1"/>
    </row>
    <row r="315" spans="3:4" ht="15.75" customHeight="1" x14ac:dyDescent="0.2">
      <c r="C315" s="1"/>
      <c r="D315" s="1"/>
    </row>
    <row r="316" spans="3:4" ht="15.75" customHeight="1" x14ac:dyDescent="0.2">
      <c r="C316" s="1"/>
      <c r="D316" s="1"/>
    </row>
    <row r="317" spans="3:4" ht="15.75" customHeight="1" x14ac:dyDescent="0.2">
      <c r="C317" s="1"/>
      <c r="D317" s="1"/>
    </row>
    <row r="318" spans="3:4" ht="15.75" customHeight="1" x14ac:dyDescent="0.2">
      <c r="C318" s="1"/>
      <c r="D318" s="1"/>
    </row>
    <row r="319" spans="3:4" ht="15.75" customHeight="1" x14ac:dyDescent="0.2">
      <c r="C319" s="1"/>
      <c r="D319" s="1"/>
    </row>
    <row r="320" spans="3:4" ht="15.75" customHeight="1" x14ac:dyDescent="0.2">
      <c r="C320" s="1"/>
      <c r="D320" s="1"/>
    </row>
    <row r="321" spans="3:4" ht="15.75" customHeight="1" x14ac:dyDescent="0.2">
      <c r="C321" s="1"/>
      <c r="D321" s="1"/>
    </row>
    <row r="322" spans="3:4" ht="15.75" customHeight="1" x14ac:dyDescent="0.2">
      <c r="C322" s="1"/>
      <c r="D322" s="1"/>
    </row>
    <row r="323" spans="3:4" ht="15.75" customHeight="1" x14ac:dyDescent="0.2">
      <c r="C323" s="1"/>
      <c r="D323" s="1"/>
    </row>
    <row r="324" spans="3:4" ht="15.75" customHeight="1" x14ac:dyDescent="0.2">
      <c r="C324" s="1"/>
      <c r="D324" s="1"/>
    </row>
    <row r="325" spans="3:4" ht="15.75" customHeight="1" x14ac:dyDescent="0.2">
      <c r="C325" s="1"/>
      <c r="D325" s="1"/>
    </row>
    <row r="326" spans="3:4" ht="15.75" customHeight="1" x14ac:dyDescent="0.2">
      <c r="C326" s="1"/>
      <c r="D326" s="1"/>
    </row>
    <row r="327" spans="3:4" ht="15.75" customHeight="1" x14ac:dyDescent="0.2">
      <c r="C327" s="1"/>
      <c r="D327" s="1"/>
    </row>
    <row r="328" spans="3:4" ht="15.75" customHeight="1" x14ac:dyDescent="0.2">
      <c r="C328" s="1"/>
      <c r="D328" s="1"/>
    </row>
    <row r="329" spans="3:4" ht="15.75" customHeight="1" x14ac:dyDescent="0.2">
      <c r="C329" s="1"/>
      <c r="D329" s="1"/>
    </row>
    <row r="330" spans="3:4" ht="15.75" customHeight="1" x14ac:dyDescent="0.2">
      <c r="C330" s="1"/>
      <c r="D330" s="1"/>
    </row>
    <row r="331" spans="3:4" ht="15.75" customHeight="1" x14ac:dyDescent="0.2">
      <c r="C331" s="1"/>
      <c r="D331" s="1"/>
    </row>
    <row r="332" spans="3:4" ht="15.75" customHeight="1" x14ac:dyDescent="0.2">
      <c r="C332" s="1"/>
      <c r="D332" s="1"/>
    </row>
    <row r="333" spans="3:4" ht="15.75" customHeight="1" x14ac:dyDescent="0.2">
      <c r="C333" s="1"/>
      <c r="D333" s="1"/>
    </row>
    <row r="334" spans="3:4" ht="15.75" customHeight="1" x14ac:dyDescent="0.2">
      <c r="C334" s="1"/>
      <c r="D334" s="1"/>
    </row>
    <row r="335" spans="3:4" ht="15.75" customHeight="1" x14ac:dyDescent="0.2">
      <c r="C335" s="1"/>
      <c r="D335" s="1"/>
    </row>
    <row r="336" spans="3:4" ht="15.75" customHeight="1" x14ac:dyDescent="0.2">
      <c r="C336" s="1"/>
      <c r="D336" s="1"/>
    </row>
    <row r="337" spans="3:4" ht="15.75" customHeight="1" x14ac:dyDescent="0.2">
      <c r="C337" s="1"/>
      <c r="D337" s="1"/>
    </row>
    <row r="338" spans="3:4" ht="15.75" customHeight="1" x14ac:dyDescent="0.2">
      <c r="C338" s="1"/>
      <c r="D338" s="1"/>
    </row>
    <row r="339" spans="3:4" ht="15.75" customHeight="1" x14ac:dyDescent="0.2">
      <c r="C339" s="1"/>
      <c r="D339" s="1"/>
    </row>
    <row r="340" spans="3:4" ht="15.75" customHeight="1" x14ac:dyDescent="0.2">
      <c r="C340" s="1"/>
      <c r="D340" s="1"/>
    </row>
    <row r="341" spans="3:4" ht="15.75" customHeight="1" x14ac:dyDescent="0.2">
      <c r="C341" s="1"/>
      <c r="D341" s="1"/>
    </row>
    <row r="342" spans="3:4" ht="15.75" customHeight="1" x14ac:dyDescent="0.2">
      <c r="C342" s="1"/>
      <c r="D342" s="1"/>
    </row>
    <row r="343" spans="3:4" ht="15.75" customHeight="1" x14ac:dyDescent="0.2">
      <c r="C343" s="1"/>
      <c r="D343" s="1"/>
    </row>
    <row r="344" spans="3:4" ht="15.75" customHeight="1" x14ac:dyDescent="0.2">
      <c r="C344" s="1"/>
      <c r="D344" s="1"/>
    </row>
    <row r="345" spans="3:4" ht="15.75" customHeight="1" x14ac:dyDescent="0.2">
      <c r="C345" s="1"/>
      <c r="D345" s="1"/>
    </row>
    <row r="346" spans="3:4" ht="15.75" customHeight="1" x14ac:dyDescent="0.2">
      <c r="C346" s="1"/>
      <c r="D346" s="1"/>
    </row>
    <row r="347" spans="3:4" ht="15.75" customHeight="1" x14ac:dyDescent="0.2">
      <c r="C347" s="1"/>
      <c r="D347" s="1"/>
    </row>
    <row r="348" spans="3:4" ht="15.75" customHeight="1" x14ac:dyDescent="0.2">
      <c r="C348" s="1"/>
      <c r="D348" s="1"/>
    </row>
    <row r="349" spans="3:4" ht="15.75" customHeight="1" x14ac:dyDescent="0.2">
      <c r="C349" s="1"/>
      <c r="D349" s="1"/>
    </row>
    <row r="350" spans="3:4" ht="15.75" customHeight="1" x14ac:dyDescent="0.2">
      <c r="C350" s="1"/>
      <c r="D350" s="1"/>
    </row>
    <row r="351" spans="3:4" ht="15.75" customHeight="1" x14ac:dyDescent="0.2">
      <c r="C351" s="1"/>
      <c r="D351" s="1"/>
    </row>
    <row r="352" spans="3:4" ht="15.75" customHeight="1" x14ac:dyDescent="0.2">
      <c r="C352" s="1"/>
      <c r="D352" s="1"/>
    </row>
    <row r="353" spans="3:4" ht="15.75" customHeight="1" x14ac:dyDescent="0.2">
      <c r="C353" s="1"/>
      <c r="D353" s="1"/>
    </row>
    <row r="354" spans="3:4" ht="15.75" customHeight="1" x14ac:dyDescent="0.2">
      <c r="C354" s="1"/>
      <c r="D354" s="1"/>
    </row>
    <row r="355" spans="3:4" ht="15.75" customHeight="1" x14ac:dyDescent="0.2">
      <c r="C355" s="1"/>
      <c r="D355" s="1"/>
    </row>
    <row r="356" spans="3:4" ht="15.75" customHeight="1" x14ac:dyDescent="0.2">
      <c r="C356" s="1"/>
      <c r="D356" s="1"/>
    </row>
    <row r="357" spans="3:4" ht="15.75" customHeight="1" x14ac:dyDescent="0.2">
      <c r="C357" s="1"/>
      <c r="D357" s="1"/>
    </row>
    <row r="358" spans="3:4" ht="15.75" customHeight="1" x14ac:dyDescent="0.2">
      <c r="C358" s="1"/>
      <c r="D358" s="1"/>
    </row>
    <row r="359" spans="3:4" ht="15.75" customHeight="1" x14ac:dyDescent="0.2">
      <c r="C359" s="1"/>
      <c r="D359" s="1"/>
    </row>
    <row r="360" spans="3:4" ht="15.75" customHeight="1" x14ac:dyDescent="0.2">
      <c r="C360" s="1"/>
      <c r="D360" s="1"/>
    </row>
    <row r="361" spans="3:4" ht="15.75" customHeight="1" x14ac:dyDescent="0.2">
      <c r="C361" s="1"/>
      <c r="D361" s="1"/>
    </row>
    <row r="362" spans="3:4" ht="15.75" customHeight="1" x14ac:dyDescent="0.2">
      <c r="C362" s="1"/>
      <c r="D362" s="1"/>
    </row>
    <row r="363" spans="3:4" ht="15.75" customHeight="1" x14ac:dyDescent="0.2">
      <c r="C363" s="1"/>
      <c r="D363" s="1"/>
    </row>
    <row r="364" spans="3:4" ht="15.75" customHeight="1" x14ac:dyDescent="0.2">
      <c r="C364" s="1"/>
      <c r="D364" s="1"/>
    </row>
    <row r="365" spans="3:4" ht="15.75" customHeight="1" x14ac:dyDescent="0.2">
      <c r="C365" s="1"/>
      <c r="D365" s="1"/>
    </row>
    <row r="366" spans="3:4" ht="15.75" customHeight="1" x14ac:dyDescent="0.2">
      <c r="C366" s="1"/>
      <c r="D366" s="1"/>
    </row>
    <row r="367" spans="3:4" ht="15.75" customHeight="1" x14ac:dyDescent="0.2">
      <c r="C367" s="1"/>
      <c r="D367" s="1"/>
    </row>
    <row r="368" spans="3:4" ht="15.75" customHeight="1" x14ac:dyDescent="0.2">
      <c r="C368" s="1"/>
      <c r="D368" s="1"/>
    </row>
    <row r="369" spans="3:4" ht="15.75" customHeight="1" x14ac:dyDescent="0.2">
      <c r="C369" s="1"/>
      <c r="D369" s="1"/>
    </row>
    <row r="370" spans="3:4" ht="15.75" customHeight="1" x14ac:dyDescent="0.2">
      <c r="C370" s="1"/>
      <c r="D370" s="1"/>
    </row>
    <row r="371" spans="3:4" ht="15.75" customHeight="1" x14ac:dyDescent="0.2">
      <c r="C371" s="1"/>
      <c r="D371" s="1"/>
    </row>
    <row r="372" spans="3:4" ht="15.75" customHeight="1" x14ac:dyDescent="0.2">
      <c r="C372" s="1"/>
      <c r="D372" s="1"/>
    </row>
    <row r="373" spans="3:4" ht="15.75" customHeight="1" x14ac:dyDescent="0.2">
      <c r="C373" s="1"/>
      <c r="D373" s="1"/>
    </row>
    <row r="374" spans="3:4" ht="15.75" customHeight="1" x14ac:dyDescent="0.2">
      <c r="C374" s="1"/>
      <c r="D374" s="1"/>
    </row>
    <row r="375" spans="3:4" ht="15.75" customHeight="1" x14ac:dyDescent="0.2">
      <c r="C375" s="1"/>
      <c r="D375" s="1"/>
    </row>
    <row r="376" spans="3:4" ht="15.75" customHeight="1" x14ac:dyDescent="0.2">
      <c r="C376" s="1"/>
      <c r="D376" s="1"/>
    </row>
    <row r="377" spans="3:4" ht="15.75" customHeight="1" x14ac:dyDescent="0.2">
      <c r="C377" s="1"/>
      <c r="D377" s="1"/>
    </row>
    <row r="378" spans="3:4" ht="15.75" customHeight="1" x14ac:dyDescent="0.2">
      <c r="C378" s="1"/>
      <c r="D378" s="1"/>
    </row>
    <row r="379" spans="3:4" ht="15.75" customHeight="1" x14ac:dyDescent="0.2">
      <c r="C379" s="1"/>
      <c r="D379" s="1"/>
    </row>
    <row r="380" spans="3:4" ht="15.75" customHeight="1" x14ac:dyDescent="0.2">
      <c r="C380" s="1"/>
      <c r="D380" s="1"/>
    </row>
    <row r="381" spans="3:4" ht="15.75" customHeight="1" x14ac:dyDescent="0.2">
      <c r="C381" s="1"/>
      <c r="D381" s="1"/>
    </row>
    <row r="382" spans="3:4" ht="15.75" customHeight="1" x14ac:dyDescent="0.2">
      <c r="C382" s="1"/>
      <c r="D382" s="1"/>
    </row>
    <row r="383" spans="3:4" ht="15.75" customHeight="1" x14ac:dyDescent="0.2">
      <c r="C383" s="1"/>
      <c r="D383" s="1"/>
    </row>
    <row r="384" spans="3:4" ht="15.75" customHeight="1" x14ac:dyDescent="0.2">
      <c r="C384" s="1"/>
      <c r="D384" s="1"/>
    </row>
    <row r="385" spans="3:4" ht="15.75" customHeight="1" x14ac:dyDescent="0.2">
      <c r="C385" s="1"/>
      <c r="D385" s="1"/>
    </row>
    <row r="386" spans="3:4" ht="15.75" customHeight="1" x14ac:dyDescent="0.2">
      <c r="C386" s="1"/>
      <c r="D386" s="1"/>
    </row>
    <row r="387" spans="3:4" ht="15.75" customHeight="1" x14ac:dyDescent="0.2">
      <c r="C387" s="1"/>
      <c r="D387" s="1"/>
    </row>
    <row r="388" spans="3:4" ht="15.75" customHeight="1" x14ac:dyDescent="0.2">
      <c r="C388" s="1"/>
      <c r="D388" s="1"/>
    </row>
    <row r="389" spans="3:4" ht="15.75" customHeight="1" x14ac:dyDescent="0.2">
      <c r="C389" s="1"/>
      <c r="D389" s="1"/>
    </row>
    <row r="390" spans="3:4" ht="15.75" customHeight="1" x14ac:dyDescent="0.2">
      <c r="C390" s="1"/>
      <c r="D390" s="1"/>
    </row>
    <row r="391" spans="3:4" ht="15.75" customHeight="1" x14ac:dyDescent="0.2">
      <c r="C391" s="1"/>
      <c r="D391" s="1"/>
    </row>
    <row r="392" spans="3:4" ht="15.75" customHeight="1" x14ac:dyDescent="0.2">
      <c r="C392" s="1"/>
      <c r="D392" s="1"/>
    </row>
    <row r="393" spans="3:4" ht="15.75" customHeight="1" x14ac:dyDescent="0.2">
      <c r="C393" s="1"/>
      <c r="D393" s="1"/>
    </row>
    <row r="394" spans="3:4" ht="15.75" customHeight="1" x14ac:dyDescent="0.2">
      <c r="C394" s="1"/>
      <c r="D394" s="1"/>
    </row>
    <row r="395" spans="3:4" ht="15.75" customHeight="1" x14ac:dyDescent="0.2">
      <c r="C395" s="1"/>
      <c r="D395" s="1"/>
    </row>
    <row r="396" spans="3:4" ht="15.75" customHeight="1" x14ac:dyDescent="0.2">
      <c r="C396" s="1"/>
      <c r="D396" s="1"/>
    </row>
    <row r="397" spans="3:4" ht="15.75" customHeight="1" x14ac:dyDescent="0.2">
      <c r="C397" s="1"/>
      <c r="D397" s="1"/>
    </row>
    <row r="398" spans="3:4" ht="15.75" customHeight="1" x14ac:dyDescent="0.2">
      <c r="C398" s="1"/>
      <c r="D398" s="1"/>
    </row>
    <row r="399" spans="3:4" ht="15.75" customHeight="1" x14ac:dyDescent="0.2">
      <c r="C399" s="1"/>
      <c r="D399" s="1"/>
    </row>
    <row r="400" spans="3:4" ht="15.75" customHeight="1" x14ac:dyDescent="0.2">
      <c r="C400" s="1"/>
      <c r="D400" s="1"/>
    </row>
    <row r="401" spans="3:4" ht="15.75" customHeight="1" x14ac:dyDescent="0.2">
      <c r="C401" s="1"/>
      <c r="D401" s="1"/>
    </row>
    <row r="402" spans="3:4" ht="15.75" customHeight="1" x14ac:dyDescent="0.2">
      <c r="C402" s="1"/>
      <c r="D402" s="1"/>
    </row>
    <row r="403" spans="3:4" ht="15.75" customHeight="1" x14ac:dyDescent="0.2">
      <c r="C403" s="1"/>
      <c r="D403" s="1"/>
    </row>
    <row r="404" spans="3:4" ht="15.75" customHeight="1" x14ac:dyDescent="0.2">
      <c r="C404" s="1"/>
      <c r="D404" s="1"/>
    </row>
    <row r="405" spans="3:4" ht="15.75" customHeight="1" x14ac:dyDescent="0.2">
      <c r="C405" s="1"/>
      <c r="D405" s="1"/>
    </row>
    <row r="406" spans="3:4" ht="15.75" customHeight="1" x14ac:dyDescent="0.2">
      <c r="C406" s="1"/>
      <c r="D406" s="1"/>
    </row>
    <row r="407" spans="3:4" ht="15.75" customHeight="1" x14ac:dyDescent="0.2">
      <c r="C407" s="1"/>
      <c r="D407" s="1"/>
    </row>
    <row r="408" spans="3:4" ht="15.75" customHeight="1" x14ac:dyDescent="0.2">
      <c r="C408" s="1"/>
      <c r="D408" s="1"/>
    </row>
    <row r="409" spans="3:4" ht="15.75" customHeight="1" x14ac:dyDescent="0.2">
      <c r="C409" s="1"/>
      <c r="D409" s="1"/>
    </row>
    <row r="410" spans="3:4" ht="15.75" customHeight="1" x14ac:dyDescent="0.2">
      <c r="C410" s="1"/>
      <c r="D410" s="1"/>
    </row>
    <row r="411" spans="3:4" ht="15.75" customHeight="1" x14ac:dyDescent="0.2">
      <c r="C411" s="1"/>
      <c r="D411" s="1"/>
    </row>
    <row r="412" spans="3:4" ht="15.75" customHeight="1" x14ac:dyDescent="0.2">
      <c r="C412" s="1"/>
      <c r="D412" s="1"/>
    </row>
    <row r="413" spans="3:4" ht="15.75" customHeight="1" x14ac:dyDescent="0.2">
      <c r="C413" s="1"/>
      <c r="D413" s="1"/>
    </row>
    <row r="414" spans="3:4" ht="15.75" customHeight="1" x14ac:dyDescent="0.2">
      <c r="C414" s="1"/>
      <c r="D414" s="1"/>
    </row>
    <row r="415" spans="3:4" ht="15.75" customHeight="1" x14ac:dyDescent="0.2">
      <c r="C415" s="1"/>
      <c r="D415" s="1"/>
    </row>
    <row r="416" spans="3:4" ht="15.75" customHeight="1" x14ac:dyDescent="0.2">
      <c r="C416" s="1"/>
      <c r="D416" s="1"/>
    </row>
    <row r="417" spans="3:4" ht="15.75" customHeight="1" x14ac:dyDescent="0.2">
      <c r="C417" s="1"/>
      <c r="D417" s="1"/>
    </row>
    <row r="418" spans="3:4" ht="15.75" customHeight="1" x14ac:dyDescent="0.2">
      <c r="C418" s="1"/>
      <c r="D418" s="1"/>
    </row>
    <row r="419" spans="3:4" ht="15.75" customHeight="1" x14ac:dyDescent="0.2">
      <c r="C419" s="1"/>
      <c r="D419" s="1"/>
    </row>
    <row r="420" spans="3:4" ht="15.75" customHeight="1" x14ac:dyDescent="0.2">
      <c r="C420" s="1"/>
      <c r="D420" s="1"/>
    </row>
    <row r="421" spans="3:4" ht="15.75" customHeight="1" x14ac:dyDescent="0.2">
      <c r="C421" s="1"/>
      <c r="D421" s="1"/>
    </row>
    <row r="422" spans="3:4" ht="15.75" customHeight="1" x14ac:dyDescent="0.2">
      <c r="C422" s="1"/>
      <c r="D422" s="1"/>
    </row>
    <row r="423" spans="3:4" ht="15.75" customHeight="1" x14ac:dyDescent="0.2">
      <c r="C423" s="1"/>
      <c r="D423" s="1"/>
    </row>
    <row r="424" spans="3:4" ht="15.75" customHeight="1" x14ac:dyDescent="0.2">
      <c r="C424" s="1"/>
      <c r="D424" s="1"/>
    </row>
    <row r="425" spans="3:4" ht="15.75" customHeight="1" x14ac:dyDescent="0.2">
      <c r="C425" s="1"/>
      <c r="D425" s="1"/>
    </row>
    <row r="426" spans="3:4" ht="15.75" customHeight="1" x14ac:dyDescent="0.2">
      <c r="C426" s="1"/>
      <c r="D426" s="1"/>
    </row>
    <row r="427" spans="3:4" ht="15.75" customHeight="1" x14ac:dyDescent="0.2">
      <c r="C427" s="1"/>
      <c r="D427" s="1"/>
    </row>
    <row r="428" spans="3:4" ht="15.75" customHeight="1" x14ac:dyDescent="0.2">
      <c r="C428" s="1"/>
      <c r="D428" s="1"/>
    </row>
    <row r="429" spans="3:4" ht="15.75" customHeight="1" x14ac:dyDescent="0.2">
      <c r="C429" s="1"/>
      <c r="D429" s="1"/>
    </row>
    <row r="430" spans="3:4" ht="15.75" customHeight="1" x14ac:dyDescent="0.2">
      <c r="C430" s="1"/>
      <c r="D430" s="1"/>
    </row>
    <row r="431" spans="3:4" ht="15.75" customHeight="1" x14ac:dyDescent="0.2">
      <c r="C431" s="1"/>
      <c r="D431" s="1"/>
    </row>
    <row r="432" spans="3:4" ht="15.75" customHeight="1" x14ac:dyDescent="0.2">
      <c r="C432" s="1"/>
      <c r="D432" s="1"/>
    </row>
    <row r="433" spans="3:4" ht="15.75" customHeight="1" x14ac:dyDescent="0.2">
      <c r="C433" s="1"/>
      <c r="D433" s="1"/>
    </row>
    <row r="434" spans="3:4" ht="15.75" customHeight="1" x14ac:dyDescent="0.2">
      <c r="C434" s="1"/>
      <c r="D434" s="1"/>
    </row>
    <row r="435" spans="3:4" ht="15.75" customHeight="1" x14ac:dyDescent="0.2">
      <c r="C435" s="1"/>
      <c r="D435" s="1"/>
    </row>
    <row r="436" spans="3:4" ht="15.75" customHeight="1" x14ac:dyDescent="0.2">
      <c r="C436" s="1"/>
      <c r="D436" s="1"/>
    </row>
    <row r="437" spans="3:4" ht="15.75" customHeight="1" x14ac:dyDescent="0.2">
      <c r="C437" s="1"/>
      <c r="D437" s="1"/>
    </row>
    <row r="438" spans="3:4" ht="15.75" customHeight="1" x14ac:dyDescent="0.2">
      <c r="C438" s="1"/>
      <c r="D438" s="1"/>
    </row>
    <row r="439" spans="3:4" ht="15.75" customHeight="1" x14ac:dyDescent="0.2">
      <c r="C439" s="1"/>
      <c r="D439" s="1"/>
    </row>
    <row r="440" spans="3:4" ht="15.75" customHeight="1" x14ac:dyDescent="0.2">
      <c r="C440" s="1"/>
      <c r="D440" s="1"/>
    </row>
    <row r="441" spans="3:4" ht="15.75" customHeight="1" x14ac:dyDescent="0.2">
      <c r="C441" s="1"/>
      <c r="D441" s="1"/>
    </row>
    <row r="442" spans="3:4" ht="15.75" customHeight="1" x14ac:dyDescent="0.2">
      <c r="C442" s="1"/>
      <c r="D442" s="1"/>
    </row>
    <row r="443" spans="3:4" ht="15.75" customHeight="1" x14ac:dyDescent="0.2">
      <c r="C443" s="1"/>
      <c r="D443" s="1"/>
    </row>
    <row r="444" spans="3:4" ht="15.75" customHeight="1" x14ac:dyDescent="0.2">
      <c r="C444" s="1"/>
      <c r="D444" s="1"/>
    </row>
    <row r="445" spans="3:4" ht="15.75" customHeight="1" x14ac:dyDescent="0.2">
      <c r="C445" s="1"/>
      <c r="D445" s="1"/>
    </row>
    <row r="446" spans="3:4" ht="15.75" customHeight="1" x14ac:dyDescent="0.2">
      <c r="C446" s="1"/>
      <c r="D446" s="1"/>
    </row>
    <row r="447" spans="3:4" ht="15.75" customHeight="1" x14ac:dyDescent="0.2">
      <c r="C447" s="1"/>
      <c r="D447" s="1"/>
    </row>
    <row r="448" spans="3:4" ht="15.75" customHeight="1" x14ac:dyDescent="0.2">
      <c r="C448" s="1"/>
      <c r="D448" s="1"/>
    </row>
    <row r="449" spans="3:4" ht="15.75" customHeight="1" x14ac:dyDescent="0.2">
      <c r="C449" s="1"/>
      <c r="D449" s="1"/>
    </row>
    <row r="450" spans="3:4" ht="15.75" customHeight="1" x14ac:dyDescent="0.2">
      <c r="C450" s="1"/>
      <c r="D450" s="1"/>
    </row>
    <row r="451" spans="3:4" ht="15.75" customHeight="1" x14ac:dyDescent="0.2">
      <c r="C451" s="1"/>
      <c r="D451" s="1"/>
    </row>
    <row r="452" spans="3:4" ht="15.75" customHeight="1" x14ac:dyDescent="0.2">
      <c r="C452" s="1"/>
      <c r="D452" s="1"/>
    </row>
    <row r="453" spans="3:4" ht="15.75" customHeight="1" x14ac:dyDescent="0.2">
      <c r="C453" s="1"/>
      <c r="D453" s="1"/>
    </row>
    <row r="454" spans="3:4" ht="15.75" customHeight="1" x14ac:dyDescent="0.2">
      <c r="C454" s="1"/>
      <c r="D454" s="1"/>
    </row>
    <row r="455" spans="3:4" ht="15.75" customHeight="1" x14ac:dyDescent="0.2">
      <c r="C455" s="1"/>
      <c r="D455" s="1"/>
    </row>
    <row r="456" spans="3:4" ht="15.75" customHeight="1" x14ac:dyDescent="0.2">
      <c r="C456" s="1"/>
      <c r="D456" s="1"/>
    </row>
    <row r="457" spans="3:4" ht="15.75" customHeight="1" x14ac:dyDescent="0.2">
      <c r="C457" s="1"/>
      <c r="D457" s="1"/>
    </row>
    <row r="458" spans="3:4" ht="15.75" customHeight="1" x14ac:dyDescent="0.2">
      <c r="C458" s="1"/>
      <c r="D458" s="1"/>
    </row>
    <row r="459" spans="3:4" ht="15.75" customHeight="1" x14ac:dyDescent="0.2">
      <c r="C459" s="1"/>
      <c r="D459" s="1"/>
    </row>
    <row r="460" spans="3:4" ht="15.75" customHeight="1" x14ac:dyDescent="0.2">
      <c r="C460" s="1"/>
      <c r="D460" s="1"/>
    </row>
    <row r="461" spans="3:4" ht="15.75" customHeight="1" x14ac:dyDescent="0.2">
      <c r="C461" s="1"/>
      <c r="D461" s="1"/>
    </row>
    <row r="462" spans="3:4" ht="15.75" customHeight="1" x14ac:dyDescent="0.2">
      <c r="C462" s="1"/>
      <c r="D462" s="1"/>
    </row>
    <row r="463" spans="3:4" ht="15.75" customHeight="1" x14ac:dyDescent="0.2">
      <c r="C463" s="1"/>
      <c r="D463" s="1"/>
    </row>
    <row r="464" spans="3:4" ht="15.75" customHeight="1" x14ac:dyDescent="0.2">
      <c r="C464" s="1"/>
      <c r="D464" s="1"/>
    </row>
    <row r="465" spans="3:4" ht="15.75" customHeight="1" x14ac:dyDescent="0.2">
      <c r="C465" s="1"/>
      <c r="D465" s="1"/>
    </row>
    <row r="466" spans="3:4" ht="15.75" customHeight="1" x14ac:dyDescent="0.2">
      <c r="C466" s="1"/>
      <c r="D466" s="1"/>
    </row>
    <row r="467" spans="3:4" ht="15.75" customHeight="1" x14ac:dyDescent="0.2">
      <c r="C467" s="1"/>
      <c r="D467" s="1"/>
    </row>
    <row r="468" spans="3:4" ht="15.75" customHeight="1" x14ac:dyDescent="0.2">
      <c r="C468" s="1"/>
      <c r="D468" s="1"/>
    </row>
    <row r="469" spans="3:4" ht="15.75" customHeight="1" x14ac:dyDescent="0.2">
      <c r="C469" s="1"/>
      <c r="D469" s="1"/>
    </row>
    <row r="470" spans="3:4" ht="15.75" customHeight="1" x14ac:dyDescent="0.2">
      <c r="C470" s="1"/>
      <c r="D470" s="1"/>
    </row>
    <row r="471" spans="3:4" ht="15.75" customHeight="1" x14ac:dyDescent="0.2">
      <c r="C471" s="1"/>
      <c r="D471" s="1"/>
    </row>
    <row r="472" spans="3:4" ht="15.75" customHeight="1" x14ac:dyDescent="0.2">
      <c r="C472" s="1"/>
      <c r="D472" s="1"/>
    </row>
    <row r="473" spans="3:4" ht="15.75" customHeight="1" x14ac:dyDescent="0.2">
      <c r="C473" s="1"/>
      <c r="D473" s="1"/>
    </row>
    <row r="474" spans="3:4" ht="15.75" customHeight="1" x14ac:dyDescent="0.2">
      <c r="C474" s="1"/>
      <c r="D474" s="1"/>
    </row>
    <row r="475" spans="3:4" ht="15.75" customHeight="1" x14ac:dyDescent="0.2">
      <c r="C475" s="1"/>
      <c r="D475" s="1"/>
    </row>
    <row r="476" spans="3:4" ht="15.75" customHeight="1" x14ac:dyDescent="0.2">
      <c r="C476" s="1"/>
      <c r="D476" s="1"/>
    </row>
    <row r="477" spans="3:4" ht="15.75" customHeight="1" x14ac:dyDescent="0.2">
      <c r="C477" s="1"/>
      <c r="D477" s="1"/>
    </row>
    <row r="478" spans="3:4" ht="15.75" customHeight="1" x14ac:dyDescent="0.2">
      <c r="C478" s="1"/>
      <c r="D478" s="1"/>
    </row>
    <row r="479" spans="3:4" ht="15.75" customHeight="1" x14ac:dyDescent="0.2">
      <c r="C479" s="1"/>
      <c r="D479" s="1"/>
    </row>
    <row r="480" spans="3:4" ht="15.75" customHeight="1" x14ac:dyDescent="0.2">
      <c r="C480" s="1"/>
      <c r="D480" s="1"/>
    </row>
    <row r="481" spans="3:4" ht="15.75" customHeight="1" x14ac:dyDescent="0.2">
      <c r="C481" s="1"/>
      <c r="D481" s="1"/>
    </row>
    <row r="482" spans="3:4" ht="15.75" customHeight="1" x14ac:dyDescent="0.2">
      <c r="C482" s="1"/>
      <c r="D482" s="1"/>
    </row>
    <row r="483" spans="3:4" ht="15.75" customHeight="1" x14ac:dyDescent="0.2">
      <c r="C483" s="1"/>
      <c r="D483" s="1"/>
    </row>
    <row r="484" spans="3:4" ht="15.75" customHeight="1" x14ac:dyDescent="0.2">
      <c r="C484" s="1"/>
      <c r="D484" s="1"/>
    </row>
    <row r="485" spans="3:4" ht="15.75" customHeight="1" x14ac:dyDescent="0.2">
      <c r="C485" s="1"/>
      <c r="D485" s="1"/>
    </row>
    <row r="486" spans="3:4" ht="15.75" customHeight="1" x14ac:dyDescent="0.2">
      <c r="C486" s="1"/>
      <c r="D486" s="1"/>
    </row>
    <row r="487" spans="3:4" ht="15.75" customHeight="1" x14ac:dyDescent="0.2">
      <c r="C487" s="1"/>
      <c r="D487" s="1"/>
    </row>
    <row r="488" spans="3:4" ht="15.75" customHeight="1" x14ac:dyDescent="0.2">
      <c r="C488" s="1"/>
      <c r="D488" s="1"/>
    </row>
    <row r="489" spans="3:4" ht="15.75" customHeight="1" x14ac:dyDescent="0.2">
      <c r="C489" s="1"/>
      <c r="D489" s="1"/>
    </row>
    <row r="490" spans="3:4" ht="15.75" customHeight="1" x14ac:dyDescent="0.2">
      <c r="C490" s="1"/>
      <c r="D490" s="1"/>
    </row>
    <row r="491" spans="3:4" ht="15.75" customHeight="1" x14ac:dyDescent="0.2">
      <c r="C491" s="1"/>
      <c r="D491" s="1"/>
    </row>
    <row r="492" spans="3:4" ht="15.75" customHeight="1" x14ac:dyDescent="0.2">
      <c r="C492" s="1"/>
      <c r="D492" s="1"/>
    </row>
    <row r="493" spans="3:4" ht="15.75" customHeight="1" x14ac:dyDescent="0.2">
      <c r="C493" s="1"/>
      <c r="D493" s="1"/>
    </row>
    <row r="494" spans="3:4" ht="15.75" customHeight="1" x14ac:dyDescent="0.2">
      <c r="C494" s="1"/>
      <c r="D494" s="1"/>
    </row>
    <row r="495" spans="3:4" ht="15.75" customHeight="1" x14ac:dyDescent="0.2">
      <c r="C495" s="1"/>
      <c r="D495" s="1"/>
    </row>
    <row r="496" spans="3:4" ht="15.75" customHeight="1" x14ac:dyDescent="0.2">
      <c r="C496" s="1"/>
      <c r="D496" s="1"/>
    </row>
    <row r="497" spans="3:4" ht="15.75" customHeight="1" x14ac:dyDescent="0.2">
      <c r="C497" s="1"/>
      <c r="D497" s="1"/>
    </row>
    <row r="498" spans="3:4" ht="15.75" customHeight="1" x14ac:dyDescent="0.2">
      <c r="C498" s="1"/>
      <c r="D498" s="1"/>
    </row>
    <row r="499" spans="3:4" ht="15.75" customHeight="1" x14ac:dyDescent="0.2">
      <c r="C499" s="1"/>
      <c r="D499" s="1"/>
    </row>
    <row r="500" spans="3:4" ht="15.75" customHeight="1" x14ac:dyDescent="0.2">
      <c r="C500" s="1"/>
      <c r="D500" s="1"/>
    </row>
    <row r="501" spans="3:4" ht="15.75" customHeight="1" x14ac:dyDescent="0.2">
      <c r="C501" s="1"/>
      <c r="D501" s="1"/>
    </row>
    <row r="502" spans="3:4" ht="15.75" customHeight="1" x14ac:dyDescent="0.2">
      <c r="C502" s="1"/>
      <c r="D502" s="1"/>
    </row>
    <row r="503" spans="3:4" ht="15.75" customHeight="1" x14ac:dyDescent="0.2">
      <c r="C503" s="1"/>
      <c r="D503" s="1"/>
    </row>
    <row r="504" spans="3:4" ht="15.75" customHeight="1" x14ac:dyDescent="0.2">
      <c r="C504" s="1"/>
      <c r="D504" s="1"/>
    </row>
    <row r="505" spans="3:4" ht="15.75" customHeight="1" x14ac:dyDescent="0.2">
      <c r="C505" s="1"/>
      <c r="D505" s="1"/>
    </row>
    <row r="506" spans="3:4" ht="15.75" customHeight="1" x14ac:dyDescent="0.2">
      <c r="C506" s="1"/>
      <c r="D506" s="1"/>
    </row>
    <row r="507" spans="3:4" ht="15.75" customHeight="1" x14ac:dyDescent="0.2">
      <c r="C507" s="1"/>
      <c r="D507" s="1"/>
    </row>
    <row r="508" spans="3:4" ht="15.75" customHeight="1" x14ac:dyDescent="0.2">
      <c r="C508" s="1"/>
      <c r="D508" s="1"/>
    </row>
    <row r="509" spans="3:4" ht="15.75" customHeight="1" x14ac:dyDescent="0.2">
      <c r="C509" s="1"/>
      <c r="D509" s="1"/>
    </row>
    <row r="510" spans="3:4" ht="15.75" customHeight="1" x14ac:dyDescent="0.2">
      <c r="C510" s="1"/>
      <c r="D510" s="1"/>
    </row>
    <row r="511" spans="3:4" ht="15.75" customHeight="1" x14ac:dyDescent="0.2">
      <c r="C511" s="1"/>
      <c r="D511" s="1"/>
    </row>
    <row r="512" spans="3:4" ht="15.75" customHeight="1" x14ac:dyDescent="0.2">
      <c r="C512" s="1"/>
      <c r="D512" s="1"/>
    </row>
    <row r="513" spans="3:4" ht="15.75" customHeight="1" x14ac:dyDescent="0.2">
      <c r="C513" s="1"/>
      <c r="D513" s="1"/>
    </row>
    <row r="514" spans="3:4" ht="15.75" customHeight="1" x14ac:dyDescent="0.2">
      <c r="C514" s="1"/>
      <c r="D514" s="1"/>
    </row>
    <row r="515" spans="3:4" ht="15.75" customHeight="1" x14ac:dyDescent="0.2">
      <c r="C515" s="1"/>
      <c r="D515" s="1"/>
    </row>
    <row r="516" spans="3:4" ht="15.75" customHeight="1" x14ac:dyDescent="0.2">
      <c r="C516" s="1"/>
      <c r="D516" s="1"/>
    </row>
    <row r="517" spans="3:4" ht="15.75" customHeight="1" x14ac:dyDescent="0.2">
      <c r="C517" s="1"/>
      <c r="D517" s="1"/>
    </row>
    <row r="518" spans="3:4" ht="15.75" customHeight="1" x14ac:dyDescent="0.2">
      <c r="C518" s="1"/>
      <c r="D518" s="1"/>
    </row>
    <row r="519" spans="3:4" ht="15.75" customHeight="1" x14ac:dyDescent="0.2">
      <c r="C519" s="1"/>
      <c r="D519" s="1"/>
    </row>
    <row r="520" spans="3:4" ht="15.75" customHeight="1" x14ac:dyDescent="0.2">
      <c r="C520" s="1"/>
      <c r="D520" s="1"/>
    </row>
    <row r="521" spans="3:4" ht="15.75" customHeight="1" x14ac:dyDescent="0.2">
      <c r="C521" s="1"/>
      <c r="D521" s="1"/>
    </row>
    <row r="522" spans="3:4" ht="15.75" customHeight="1" x14ac:dyDescent="0.2">
      <c r="C522" s="1"/>
      <c r="D522" s="1"/>
    </row>
    <row r="523" spans="3:4" ht="15.75" customHeight="1" x14ac:dyDescent="0.2">
      <c r="C523" s="1"/>
      <c r="D523" s="1"/>
    </row>
    <row r="524" spans="3:4" ht="15.75" customHeight="1" x14ac:dyDescent="0.2">
      <c r="C524" s="1"/>
      <c r="D524" s="1"/>
    </row>
    <row r="525" spans="3:4" ht="15.75" customHeight="1" x14ac:dyDescent="0.2">
      <c r="C525" s="1"/>
      <c r="D525" s="1"/>
    </row>
    <row r="526" spans="3:4" ht="15.75" customHeight="1" x14ac:dyDescent="0.2">
      <c r="C526" s="1"/>
      <c r="D526" s="1"/>
    </row>
    <row r="527" spans="3:4" ht="15.75" customHeight="1" x14ac:dyDescent="0.2">
      <c r="C527" s="1"/>
      <c r="D527" s="1"/>
    </row>
    <row r="528" spans="3:4" ht="15.75" customHeight="1" x14ac:dyDescent="0.2">
      <c r="C528" s="1"/>
      <c r="D528" s="1"/>
    </row>
    <row r="529" spans="3:4" ht="15.75" customHeight="1" x14ac:dyDescent="0.2">
      <c r="C529" s="1"/>
      <c r="D529" s="1"/>
    </row>
    <row r="530" spans="3:4" ht="15.75" customHeight="1" x14ac:dyDescent="0.2">
      <c r="C530" s="1"/>
      <c r="D530" s="1"/>
    </row>
    <row r="531" spans="3:4" ht="15.75" customHeight="1" x14ac:dyDescent="0.2">
      <c r="C531" s="1"/>
      <c r="D531" s="1"/>
    </row>
    <row r="532" spans="3:4" ht="15.75" customHeight="1" x14ac:dyDescent="0.2">
      <c r="C532" s="1"/>
      <c r="D532" s="1"/>
    </row>
    <row r="533" spans="3:4" ht="15.75" customHeight="1" x14ac:dyDescent="0.2">
      <c r="C533" s="1"/>
      <c r="D533" s="1"/>
    </row>
    <row r="534" spans="3:4" ht="15.75" customHeight="1" x14ac:dyDescent="0.2">
      <c r="C534" s="1"/>
      <c r="D534" s="1"/>
    </row>
    <row r="535" spans="3:4" ht="15.75" customHeight="1" x14ac:dyDescent="0.2">
      <c r="C535" s="1"/>
      <c r="D535" s="1"/>
    </row>
    <row r="536" spans="3:4" ht="15.75" customHeight="1" x14ac:dyDescent="0.2">
      <c r="C536" s="1"/>
      <c r="D536" s="1"/>
    </row>
    <row r="537" spans="3:4" ht="15.75" customHeight="1" x14ac:dyDescent="0.2">
      <c r="C537" s="1"/>
      <c r="D537" s="1"/>
    </row>
    <row r="538" spans="3:4" ht="15.75" customHeight="1" x14ac:dyDescent="0.2">
      <c r="C538" s="1"/>
      <c r="D538" s="1"/>
    </row>
    <row r="539" spans="3:4" ht="15.75" customHeight="1" x14ac:dyDescent="0.2">
      <c r="C539" s="1"/>
      <c r="D539" s="1"/>
    </row>
    <row r="540" spans="3:4" ht="15.75" customHeight="1" x14ac:dyDescent="0.2">
      <c r="C540" s="1"/>
      <c r="D540" s="1"/>
    </row>
    <row r="541" spans="3:4" ht="15.75" customHeight="1" x14ac:dyDescent="0.2">
      <c r="C541" s="1"/>
      <c r="D541" s="1"/>
    </row>
    <row r="542" spans="3:4" ht="15.75" customHeight="1" x14ac:dyDescent="0.2">
      <c r="C542" s="1"/>
      <c r="D542" s="1"/>
    </row>
    <row r="543" spans="3:4" ht="15.75" customHeight="1" x14ac:dyDescent="0.2">
      <c r="C543" s="1"/>
      <c r="D543" s="1"/>
    </row>
    <row r="544" spans="3:4" ht="15.75" customHeight="1" x14ac:dyDescent="0.2">
      <c r="C544" s="1"/>
      <c r="D544" s="1"/>
    </row>
    <row r="545" spans="3:4" ht="15.75" customHeight="1" x14ac:dyDescent="0.2">
      <c r="C545" s="1"/>
      <c r="D545" s="1"/>
    </row>
    <row r="546" spans="3:4" ht="15.75" customHeight="1" x14ac:dyDescent="0.2">
      <c r="C546" s="1"/>
      <c r="D546" s="1"/>
    </row>
    <row r="547" spans="3:4" ht="15.75" customHeight="1" x14ac:dyDescent="0.2">
      <c r="C547" s="1"/>
      <c r="D547" s="1"/>
    </row>
    <row r="548" spans="3:4" ht="15.75" customHeight="1" x14ac:dyDescent="0.2">
      <c r="C548" s="1"/>
      <c r="D548" s="1"/>
    </row>
    <row r="549" spans="3:4" ht="15.75" customHeight="1" x14ac:dyDescent="0.2">
      <c r="C549" s="1"/>
      <c r="D549" s="1"/>
    </row>
    <row r="550" spans="3:4" ht="15.75" customHeight="1" x14ac:dyDescent="0.2">
      <c r="C550" s="1"/>
      <c r="D550" s="1"/>
    </row>
    <row r="551" spans="3:4" ht="15.75" customHeight="1" x14ac:dyDescent="0.2">
      <c r="C551" s="1"/>
      <c r="D551" s="1"/>
    </row>
    <row r="552" spans="3:4" ht="15.75" customHeight="1" x14ac:dyDescent="0.2">
      <c r="C552" s="1"/>
      <c r="D552" s="1"/>
    </row>
    <row r="553" spans="3:4" ht="15.75" customHeight="1" x14ac:dyDescent="0.2">
      <c r="C553" s="1"/>
      <c r="D553" s="1"/>
    </row>
    <row r="554" spans="3:4" ht="15.75" customHeight="1" x14ac:dyDescent="0.2">
      <c r="C554" s="1"/>
      <c r="D554" s="1"/>
    </row>
    <row r="555" spans="3:4" ht="15.75" customHeight="1" x14ac:dyDescent="0.2">
      <c r="C555" s="1"/>
      <c r="D555" s="1"/>
    </row>
    <row r="556" spans="3:4" ht="15.75" customHeight="1" x14ac:dyDescent="0.2">
      <c r="C556" s="1"/>
      <c r="D556" s="1"/>
    </row>
    <row r="557" spans="3:4" ht="15.75" customHeight="1" x14ac:dyDescent="0.2">
      <c r="C557" s="1"/>
      <c r="D557" s="1"/>
    </row>
    <row r="558" spans="3:4" ht="15.75" customHeight="1" x14ac:dyDescent="0.2">
      <c r="C558" s="1"/>
      <c r="D558" s="1"/>
    </row>
    <row r="559" spans="3:4" ht="15.75" customHeight="1" x14ac:dyDescent="0.2">
      <c r="C559" s="1"/>
      <c r="D559" s="1"/>
    </row>
    <row r="560" spans="3:4" ht="15.75" customHeight="1" x14ac:dyDescent="0.2">
      <c r="C560" s="1"/>
      <c r="D560" s="1"/>
    </row>
    <row r="561" spans="3:4" ht="15.75" customHeight="1" x14ac:dyDescent="0.2">
      <c r="C561" s="1"/>
      <c r="D561" s="1"/>
    </row>
    <row r="562" spans="3:4" ht="15.75" customHeight="1" x14ac:dyDescent="0.2">
      <c r="C562" s="1"/>
      <c r="D562" s="1"/>
    </row>
    <row r="563" spans="3:4" ht="15.75" customHeight="1" x14ac:dyDescent="0.2">
      <c r="C563" s="1"/>
      <c r="D563" s="1"/>
    </row>
    <row r="564" spans="3:4" ht="15.75" customHeight="1" x14ac:dyDescent="0.2">
      <c r="C564" s="1"/>
      <c r="D564" s="1"/>
    </row>
    <row r="565" spans="3:4" ht="15.75" customHeight="1" x14ac:dyDescent="0.2">
      <c r="C565" s="1"/>
      <c r="D565" s="1"/>
    </row>
    <row r="566" spans="3:4" ht="15.75" customHeight="1" x14ac:dyDescent="0.2">
      <c r="C566" s="1"/>
      <c r="D566" s="1"/>
    </row>
    <row r="567" spans="3:4" ht="15.75" customHeight="1" x14ac:dyDescent="0.2">
      <c r="C567" s="1"/>
      <c r="D567" s="1"/>
    </row>
    <row r="568" spans="3:4" ht="15.75" customHeight="1" x14ac:dyDescent="0.2">
      <c r="C568" s="1"/>
      <c r="D568" s="1"/>
    </row>
    <row r="569" spans="3:4" ht="15.75" customHeight="1" x14ac:dyDescent="0.2">
      <c r="C569" s="1"/>
      <c r="D569" s="1"/>
    </row>
    <row r="570" spans="3:4" ht="15.75" customHeight="1" x14ac:dyDescent="0.2">
      <c r="C570" s="1"/>
      <c r="D570" s="1"/>
    </row>
    <row r="571" spans="3:4" ht="15.75" customHeight="1" x14ac:dyDescent="0.2">
      <c r="C571" s="1"/>
      <c r="D571" s="1"/>
    </row>
    <row r="572" spans="3:4" ht="15.75" customHeight="1" x14ac:dyDescent="0.2">
      <c r="C572" s="1"/>
      <c r="D572" s="1"/>
    </row>
    <row r="573" spans="3:4" ht="15.75" customHeight="1" x14ac:dyDescent="0.2">
      <c r="C573" s="1"/>
      <c r="D573" s="1"/>
    </row>
    <row r="574" spans="3:4" ht="15.75" customHeight="1" x14ac:dyDescent="0.2">
      <c r="C574" s="1"/>
      <c r="D574" s="1"/>
    </row>
    <row r="575" spans="3:4" ht="15.75" customHeight="1" x14ac:dyDescent="0.2">
      <c r="C575" s="1"/>
      <c r="D575" s="1"/>
    </row>
    <row r="576" spans="3:4" ht="15.75" customHeight="1" x14ac:dyDescent="0.2">
      <c r="C576" s="1"/>
      <c r="D576" s="1"/>
    </row>
    <row r="577" spans="3:4" ht="15.75" customHeight="1" x14ac:dyDescent="0.2">
      <c r="C577" s="1"/>
      <c r="D577" s="1"/>
    </row>
    <row r="578" spans="3:4" ht="15.75" customHeight="1" x14ac:dyDescent="0.2">
      <c r="C578" s="1"/>
      <c r="D578" s="1"/>
    </row>
    <row r="579" spans="3:4" ht="15.75" customHeight="1" x14ac:dyDescent="0.2">
      <c r="C579" s="1"/>
      <c r="D579" s="1"/>
    </row>
    <row r="580" spans="3:4" ht="15.75" customHeight="1" x14ac:dyDescent="0.2">
      <c r="C580" s="1"/>
      <c r="D580" s="1"/>
    </row>
    <row r="581" spans="3:4" ht="15.75" customHeight="1" x14ac:dyDescent="0.2">
      <c r="C581" s="1"/>
      <c r="D581" s="1"/>
    </row>
    <row r="582" spans="3:4" ht="15.75" customHeight="1" x14ac:dyDescent="0.2">
      <c r="C582" s="1"/>
      <c r="D582" s="1"/>
    </row>
    <row r="583" spans="3:4" ht="15.75" customHeight="1" x14ac:dyDescent="0.2">
      <c r="C583" s="1"/>
      <c r="D583" s="1"/>
    </row>
    <row r="584" spans="3:4" ht="15.75" customHeight="1" x14ac:dyDescent="0.2">
      <c r="C584" s="1"/>
      <c r="D584" s="1"/>
    </row>
    <row r="585" spans="3:4" ht="15.75" customHeight="1" x14ac:dyDescent="0.2">
      <c r="C585" s="1"/>
      <c r="D585" s="1"/>
    </row>
    <row r="586" spans="3:4" ht="15.75" customHeight="1" x14ac:dyDescent="0.2">
      <c r="C586" s="1"/>
      <c r="D586" s="1"/>
    </row>
    <row r="587" spans="3:4" ht="15.75" customHeight="1" x14ac:dyDescent="0.2">
      <c r="C587" s="1"/>
      <c r="D587" s="1"/>
    </row>
    <row r="588" spans="3:4" ht="15.75" customHeight="1" x14ac:dyDescent="0.2">
      <c r="C588" s="1"/>
      <c r="D588" s="1"/>
    </row>
    <row r="589" spans="3:4" ht="15.75" customHeight="1" x14ac:dyDescent="0.2">
      <c r="C589" s="1"/>
      <c r="D589" s="1"/>
    </row>
    <row r="590" spans="3:4" ht="15.75" customHeight="1" x14ac:dyDescent="0.2">
      <c r="C590" s="1"/>
      <c r="D590" s="1"/>
    </row>
    <row r="591" spans="3:4" ht="15.75" customHeight="1" x14ac:dyDescent="0.2">
      <c r="C591" s="1"/>
      <c r="D591" s="1"/>
    </row>
    <row r="592" spans="3:4" ht="15.75" customHeight="1" x14ac:dyDescent="0.2">
      <c r="C592" s="1"/>
      <c r="D592" s="1"/>
    </row>
    <row r="593" spans="3:4" ht="15.75" customHeight="1" x14ac:dyDescent="0.2">
      <c r="C593" s="1"/>
      <c r="D593" s="1"/>
    </row>
    <row r="594" spans="3:4" ht="15.75" customHeight="1" x14ac:dyDescent="0.2">
      <c r="C594" s="1"/>
      <c r="D594" s="1"/>
    </row>
    <row r="595" spans="3:4" ht="15.75" customHeight="1" x14ac:dyDescent="0.2">
      <c r="C595" s="1"/>
      <c r="D595" s="1"/>
    </row>
    <row r="596" spans="3:4" ht="15.75" customHeight="1" x14ac:dyDescent="0.2">
      <c r="C596" s="1"/>
      <c r="D596" s="1"/>
    </row>
    <row r="597" spans="3:4" ht="15.75" customHeight="1" x14ac:dyDescent="0.2">
      <c r="C597" s="1"/>
      <c r="D597" s="1"/>
    </row>
    <row r="598" spans="3:4" ht="15.75" customHeight="1" x14ac:dyDescent="0.2">
      <c r="C598" s="1"/>
      <c r="D598" s="1"/>
    </row>
    <row r="599" spans="3:4" ht="15.75" customHeight="1" x14ac:dyDescent="0.2">
      <c r="C599" s="1"/>
      <c r="D599" s="1"/>
    </row>
    <row r="600" spans="3:4" ht="15.75" customHeight="1" x14ac:dyDescent="0.2">
      <c r="C600" s="1"/>
      <c r="D600" s="1"/>
    </row>
    <row r="601" spans="3:4" ht="15.75" customHeight="1" x14ac:dyDescent="0.2">
      <c r="C601" s="1"/>
      <c r="D601" s="1"/>
    </row>
    <row r="602" spans="3:4" ht="15.75" customHeight="1" x14ac:dyDescent="0.2">
      <c r="C602" s="1"/>
      <c r="D602" s="1"/>
    </row>
    <row r="603" spans="3:4" ht="15.75" customHeight="1" x14ac:dyDescent="0.2">
      <c r="C603" s="1"/>
      <c r="D603" s="1"/>
    </row>
    <row r="604" spans="3:4" ht="15.75" customHeight="1" x14ac:dyDescent="0.2">
      <c r="C604" s="1"/>
      <c r="D604" s="1"/>
    </row>
    <row r="605" spans="3:4" ht="15.75" customHeight="1" x14ac:dyDescent="0.2">
      <c r="C605" s="1"/>
      <c r="D605" s="1"/>
    </row>
    <row r="606" spans="3:4" ht="15.75" customHeight="1" x14ac:dyDescent="0.2">
      <c r="C606" s="1"/>
      <c r="D606" s="1"/>
    </row>
    <row r="607" spans="3:4" ht="15.75" customHeight="1" x14ac:dyDescent="0.2">
      <c r="C607" s="1"/>
      <c r="D607" s="1"/>
    </row>
    <row r="608" spans="3:4" ht="15.75" customHeight="1" x14ac:dyDescent="0.2">
      <c r="C608" s="1"/>
      <c r="D608" s="1"/>
    </row>
    <row r="609" spans="3:4" ht="15.75" customHeight="1" x14ac:dyDescent="0.2">
      <c r="C609" s="1"/>
      <c r="D609" s="1"/>
    </row>
    <row r="610" spans="3:4" ht="15.75" customHeight="1" x14ac:dyDescent="0.2">
      <c r="C610" s="1"/>
      <c r="D610" s="1"/>
    </row>
    <row r="611" spans="3:4" ht="15.75" customHeight="1" x14ac:dyDescent="0.2">
      <c r="C611" s="1"/>
      <c r="D611" s="1"/>
    </row>
    <row r="612" spans="3:4" ht="15.75" customHeight="1" x14ac:dyDescent="0.2">
      <c r="C612" s="1"/>
      <c r="D612" s="1"/>
    </row>
    <row r="613" spans="3:4" ht="15.75" customHeight="1" x14ac:dyDescent="0.2">
      <c r="C613" s="1"/>
      <c r="D613" s="1"/>
    </row>
    <row r="614" spans="3:4" ht="15.75" customHeight="1" x14ac:dyDescent="0.2">
      <c r="C614" s="1"/>
      <c r="D614" s="1"/>
    </row>
    <row r="615" spans="3:4" ht="15.75" customHeight="1" x14ac:dyDescent="0.2">
      <c r="C615" s="1"/>
      <c r="D615" s="1"/>
    </row>
    <row r="616" spans="3:4" ht="15.75" customHeight="1" x14ac:dyDescent="0.2">
      <c r="C616" s="1"/>
      <c r="D616" s="1"/>
    </row>
    <row r="617" spans="3:4" ht="15.75" customHeight="1" x14ac:dyDescent="0.2">
      <c r="C617" s="1"/>
      <c r="D617" s="1"/>
    </row>
    <row r="618" spans="3:4" ht="15.75" customHeight="1" x14ac:dyDescent="0.2">
      <c r="C618" s="1"/>
      <c r="D618" s="1"/>
    </row>
    <row r="619" spans="3:4" ht="15.75" customHeight="1" x14ac:dyDescent="0.2">
      <c r="C619" s="1"/>
      <c r="D619" s="1"/>
    </row>
    <row r="620" spans="3:4" ht="15.75" customHeight="1" x14ac:dyDescent="0.2">
      <c r="C620" s="1"/>
      <c r="D620" s="1"/>
    </row>
    <row r="621" spans="3:4" ht="15.75" customHeight="1" x14ac:dyDescent="0.2">
      <c r="C621" s="1"/>
      <c r="D621" s="1"/>
    </row>
    <row r="622" spans="3:4" ht="15.75" customHeight="1" x14ac:dyDescent="0.2">
      <c r="C622" s="1"/>
      <c r="D622" s="1"/>
    </row>
    <row r="623" spans="3:4" ht="15.75" customHeight="1" x14ac:dyDescent="0.2">
      <c r="C623" s="1"/>
      <c r="D623" s="1"/>
    </row>
    <row r="624" spans="3:4" ht="15.75" customHeight="1" x14ac:dyDescent="0.2">
      <c r="C624" s="1"/>
      <c r="D624" s="1"/>
    </row>
    <row r="625" spans="3:4" ht="15.75" customHeight="1" x14ac:dyDescent="0.2">
      <c r="C625" s="1"/>
      <c r="D625" s="1"/>
    </row>
    <row r="626" spans="3:4" ht="15.75" customHeight="1" x14ac:dyDescent="0.2">
      <c r="C626" s="1"/>
      <c r="D626" s="1"/>
    </row>
    <row r="627" spans="3:4" ht="15.75" customHeight="1" x14ac:dyDescent="0.2">
      <c r="C627" s="1"/>
      <c r="D627" s="1"/>
    </row>
    <row r="628" spans="3:4" ht="15.75" customHeight="1" x14ac:dyDescent="0.2">
      <c r="C628" s="1"/>
      <c r="D628" s="1"/>
    </row>
    <row r="629" spans="3:4" ht="15.75" customHeight="1" x14ac:dyDescent="0.2">
      <c r="C629" s="1"/>
      <c r="D629" s="1"/>
    </row>
    <row r="630" spans="3:4" ht="15.75" customHeight="1" x14ac:dyDescent="0.2">
      <c r="C630" s="1"/>
      <c r="D630" s="1"/>
    </row>
    <row r="631" spans="3:4" ht="15.75" customHeight="1" x14ac:dyDescent="0.2">
      <c r="C631" s="1"/>
      <c r="D631" s="1"/>
    </row>
    <row r="632" spans="3:4" ht="15.75" customHeight="1" x14ac:dyDescent="0.2">
      <c r="C632" s="1"/>
      <c r="D632" s="1"/>
    </row>
    <row r="633" spans="3:4" ht="15.75" customHeight="1" x14ac:dyDescent="0.2">
      <c r="C633" s="1"/>
      <c r="D633" s="1"/>
    </row>
    <row r="634" spans="3:4" ht="15.75" customHeight="1" x14ac:dyDescent="0.2">
      <c r="C634" s="1"/>
      <c r="D634" s="1"/>
    </row>
    <row r="635" spans="3:4" ht="15.75" customHeight="1" x14ac:dyDescent="0.2">
      <c r="C635" s="1"/>
      <c r="D635" s="1"/>
    </row>
    <row r="636" spans="3:4" ht="15.75" customHeight="1" x14ac:dyDescent="0.2">
      <c r="C636" s="1"/>
      <c r="D636" s="1"/>
    </row>
    <row r="637" spans="3:4" ht="15.75" customHeight="1" x14ac:dyDescent="0.2">
      <c r="C637" s="1"/>
      <c r="D637" s="1"/>
    </row>
    <row r="638" spans="3:4" ht="15.75" customHeight="1" x14ac:dyDescent="0.2">
      <c r="C638" s="1"/>
      <c r="D638" s="1"/>
    </row>
    <row r="639" spans="3:4" ht="15.75" customHeight="1" x14ac:dyDescent="0.2">
      <c r="C639" s="1"/>
      <c r="D639" s="1"/>
    </row>
    <row r="640" spans="3:4" ht="15.75" customHeight="1" x14ac:dyDescent="0.2">
      <c r="C640" s="1"/>
      <c r="D640" s="1"/>
    </row>
    <row r="641" spans="3:4" ht="15.75" customHeight="1" x14ac:dyDescent="0.2">
      <c r="C641" s="1"/>
      <c r="D641" s="1"/>
    </row>
    <row r="642" spans="3:4" ht="15.75" customHeight="1" x14ac:dyDescent="0.2">
      <c r="C642" s="1"/>
      <c r="D642" s="1"/>
    </row>
    <row r="643" spans="3:4" ht="15.75" customHeight="1" x14ac:dyDescent="0.2">
      <c r="C643" s="1"/>
      <c r="D643" s="1"/>
    </row>
    <row r="644" spans="3:4" ht="15.75" customHeight="1" x14ac:dyDescent="0.2">
      <c r="C644" s="1"/>
      <c r="D644" s="1"/>
    </row>
    <row r="645" spans="3:4" ht="15.75" customHeight="1" x14ac:dyDescent="0.2">
      <c r="C645" s="1"/>
      <c r="D645" s="1"/>
    </row>
    <row r="646" spans="3:4" ht="15.75" customHeight="1" x14ac:dyDescent="0.2">
      <c r="C646" s="1"/>
      <c r="D646" s="1"/>
    </row>
    <row r="647" spans="3:4" ht="15.75" customHeight="1" x14ac:dyDescent="0.2">
      <c r="C647" s="1"/>
      <c r="D647" s="1"/>
    </row>
    <row r="648" spans="3:4" ht="15.75" customHeight="1" x14ac:dyDescent="0.2">
      <c r="C648" s="1"/>
      <c r="D648" s="1"/>
    </row>
    <row r="649" spans="3:4" ht="15.75" customHeight="1" x14ac:dyDescent="0.2">
      <c r="C649" s="1"/>
      <c r="D649" s="1"/>
    </row>
    <row r="650" spans="3:4" ht="15.75" customHeight="1" x14ac:dyDescent="0.2">
      <c r="C650" s="1"/>
      <c r="D650" s="1"/>
    </row>
    <row r="651" spans="3:4" ht="15.75" customHeight="1" x14ac:dyDescent="0.2">
      <c r="C651" s="1"/>
      <c r="D651" s="1"/>
    </row>
    <row r="652" spans="3:4" ht="15.75" customHeight="1" x14ac:dyDescent="0.2">
      <c r="C652" s="1"/>
      <c r="D652" s="1"/>
    </row>
    <row r="653" spans="3:4" ht="15.75" customHeight="1" x14ac:dyDescent="0.2">
      <c r="C653" s="1"/>
      <c r="D653" s="1"/>
    </row>
    <row r="654" spans="3:4" ht="15.75" customHeight="1" x14ac:dyDescent="0.2">
      <c r="C654" s="1"/>
      <c r="D654" s="1"/>
    </row>
    <row r="655" spans="3:4" ht="15.75" customHeight="1" x14ac:dyDescent="0.2">
      <c r="C655" s="1"/>
      <c r="D655" s="1"/>
    </row>
    <row r="656" spans="3:4" ht="15.75" customHeight="1" x14ac:dyDescent="0.2">
      <c r="C656" s="1"/>
      <c r="D656" s="1"/>
    </row>
    <row r="657" spans="3:4" ht="15.75" customHeight="1" x14ac:dyDescent="0.2">
      <c r="C657" s="1"/>
      <c r="D657" s="1"/>
    </row>
    <row r="658" spans="3:4" ht="15.75" customHeight="1" x14ac:dyDescent="0.2">
      <c r="C658" s="1"/>
      <c r="D658" s="1"/>
    </row>
    <row r="659" spans="3:4" ht="15.75" customHeight="1" x14ac:dyDescent="0.2">
      <c r="C659" s="1"/>
      <c r="D659" s="1"/>
    </row>
    <row r="660" spans="3:4" ht="15.75" customHeight="1" x14ac:dyDescent="0.2">
      <c r="C660" s="1"/>
      <c r="D660" s="1"/>
    </row>
    <row r="661" spans="3:4" ht="15.75" customHeight="1" x14ac:dyDescent="0.2">
      <c r="C661" s="1"/>
      <c r="D661" s="1"/>
    </row>
    <row r="662" spans="3:4" ht="15.75" customHeight="1" x14ac:dyDescent="0.2">
      <c r="C662" s="1"/>
      <c r="D662" s="1"/>
    </row>
    <row r="663" spans="3:4" ht="15.75" customHeight="1" x14ac:dyDescent="0.2">
      <c r="C663" s="1"/>
      <c r="D663" s="1"/>
    </row>
    <row r="664" spans="3:4" ht="15.75" customHeight="1" x14ac:dyDescent="0.2">
      <c r="C664" s="1"/>
      <c r="D664" s="1"/>
    </row>
    <row r="665" spans="3:4" ht="15.75" customHeight="1" x14ac:dyDescent="0.2">
      <c r="C665" s="1"/>
      <c r="D665" s="1"/>
    </row>
    <row r="666" spans="3:4" ht="15.75" customHeight="1" x14ac:dyDescent="0.2">
      <c r="C666" s="1"/>
      <c r="D666" s="1"/>
    </row>
    <row r="667" spans="3:4" ht="15.75" customHeight="1" x14ac:dyDescent="0.2">
      <c r="C667" s="1"/>
      <c r="D667" s="1"/>
    </row>
    <row r="668" spans="3:4" ht="15.75" customHeight="1" x14ac:dyDescent="0.2">
      <c r="C668" s="1"/>
      <c r="D668" s="1"/>
    </row>
    <row r="669" spans="3:4" ht="15.75" customHeight="1" x14ac:dyDescent="0.2">
      <c r="C669" s="1"/>
      <c r="D669" s="1"/>
    </row>
    <row r="670" spans="3:4" ht="15.75" customHeight="1" x14ac:dyDescent="0.2">
      <c r="C670" s="1"/>
      <c r="D670" s="1"/>
    </row>
    <row r="671" spans="3:4" ht="15.75" customHeight="1" x14ac:dyDescent="0.2">
      <c r="C671" s="1"/>
      <c r="D671" s="1"/>
    </row>
    <row r="672" spans="3:4" ht="15.75" customHeight="1" x14ac:dyDescent="0.2">
      <c r="C672" s="1"/>
      <c r="D672" s="1"/>
    </row>
    <row r="673" spans="3:4" ht="15.75" customHeight="1" x14ac:dyDescent="0.2">
      <c r="C673" s="1"/>
      <c r="D673" s="1"/>
    </row>
    <row r="674" spans="3:4" ht="15.75" customHeight="1" x14ac:dyDescent="0.2">
      <c r="C674" s="1"/>
      <c r="D674" s="1"/>
    </row>
    <row r="675" spans="3:4" ht="15.75" customHeight="1" x14ac:dyDescent="0.2">
      <c r="C675" s="1"/>
      <c r="D675" s="1"/>
    </row>
    <row r="676" spans="3:4" ht="15.75" customHeight="1" x14ac:dyDescent="0.2">
      <c r="C676" s="1"/>
      <c r="D676" s="1"/>
    </row>
    <row r="677" spans="3:4" ht="15.75" customHeight="1" x14ac:dyDescent="0.2">
      <c r="C677" s="1"/>
      <c r="D677" s="1"/>
    </row>
    <row r="678" spans="3:4" ht="15.75" customHeight="1" x14ac:dyDescent="0.2">
      <c r="C678" s="1"/>
      <c r="D678" s="1"/>
    </row>
    <row r="679" spans="3:4" ht="15.75" customHeight="1" x14ac:dyDescent="0.2">
      <c r="C679" s="1"/>
      <c r="D679" s="1"/>
    </row>
    <row r="680" spans="3:4" ht="15.75" customHeight="1" x14ac:dyDescent="0.2">
      <c r="C680" s="1"/>
      <c r="D680" s="1"/>
    </row>
    <row r="681" spans="3:4" ht="15.75" customHeight="1" x14ac:dyDescent="0.2">
      <c r="C681" s="1"/>
      <c r="D681" s="1"/>
    </row>
    <row r="682" spans="3:4" ht="15.75" customHeight="1" x14ac:dyDescent="0.2">
      <c r="C682" s="1"/>
      <c r="D682" s="1"/>
    </row>
    <row r="683" spans="3:4" ht="15.75" customHeight="1" x14ac:dyDescent="0.2">
      <c r="C683" s="1"/>
      <c r="D683" s="1"/>
    </row>
    <row r="684" spans="3:4" ht="15.75" customHeight="1" x14ac:dyDescent="0.2">
      <c r="C684" s="1"/>
      <c r="D684" s="1"/>
    </row>
    <row r="685" spans="3:4" ht="15.75" customHeight="1" x14ac:dyDescent="0.2">
      <c r="C685" s="1"/>
      <c r="D685" s="1"/>
    </row>
    <row r="686" spans="3:4" ht="15.75" customHeight="1" x14ac:dyDescent="0.2">
      <c r="C686" s="1"/>
      <c r="D686" s="1"/>
    </row>
    <row r="687" spans="3:4" ht="15.75" customHeight="1" x14ac:dyDescent="0.2">
      <c r="C687" s="1"/>
      <c r="D687" s="1"/>
    </row>
    <row r="688" spans="3:4" ht="15.75" customHeight="1" x14ac:dyDescent="0.2">
      <c r="C688" s="1"/>
      <c r="D688" s="1"/>
    </row>
    <row r="689" spans="3:4" ht="15.75" customHeight="1" x14ac:dyDescent="0.2">
      <c r="C689" s="1"/>
      <c r="D689" s="1"/>
    </row>
    <row r="690" spans="3:4" ht="15.75" customHeight="1" x14ac:dyDescent="0.2">
      <c r="C690" s="1"/>
      <c r="D690" s="1"/>
    </row>
    <row r="691" spans="3:4" ht="15.75" customHeight="1" x14ac:dyDescent="0.2">
      <c r="C691" s="1"/>
      <c r="D691" s="1"/>
    </row>
    <row r="692" spans="3:4" ht="15.75" customHeight="1" x14ac:dyDescent="0.2">
      <c r="C692" s="1"/>
      <c r="D692" s="1"/>
    </row>
    <row r="693" spans="3:4" ht="15.75" customHeight="1" x14ac:dyDescent="0.2">
      <c r="C693" s="1"/>
      <c r="D693" s="1"/>
    </row>
    <row r="694" spans="3:4" ht="15.75" customHeight="1" x14ac:dyDescent="0.2">
      <c r="C694" s="1"/>
      <c r="D694" s="1"/>
    </row>
    <row r="695" spans="3:4" ht="15.75" customHeight="1" x14ac:dyDescent="0.2">
      <c r="C695" s="1"/>
      <c r="D695" s="1"/>
    </row>
    <row r="696" spans="3:4" ht="15.75" customHeight="1" x14ac:dyDescent="0.2">
      <c r="C696" s="1"/>
      <c r="D696" s="1"/>
    </row>
    <row r="697" spans="3:4" ht="15.75" customHeight="1" x14ac:dyDescent="0.2">
      <c r="C697" s="1"/>
      <c r="D697" s="1"/>
    </row>
    <row r="698" spans="3:4" ht="15.75" customHeight="1" x14ac:dyDescent="0.2">
      <c r="C698" s="1"/>
      <c r="D698" s="1"/>
    </row>
    <row r="699" spans="3:4" ht="15.75" customHeight="1" x14ac:dyDescent="0.2">
      <c r="C699" s="1"/>
      <c r="D699" s="1"/>
    </row>
    <row r="700" spans="3:4" ht="15.75" customHeight="1" x14ac:dyDescent="0.2">
      <c r="C700" s="1"/>
      <c r="D700" s="1"/>
    </row>
    <row r="701" spans="3:4" ht="15.75" customHeight="1" x14ac:dyDescent="0.2">
      <c r="C701" s="1"/>
      <c r="D701" s="1"/>
    </row>
    <row r="702" spans="3:4" ht="15.75" customHeight="1" x14ac:dyDescent="0.2">
      <c r="C702" s="1"/>
      <c r="D702" s="1"/>
    </row>
    <row r="703" spans="3:4" ht="15.75" customHeight="1" x14ac:dyDescent="0.2">
      <c r="C703" s="1"/>
      <c r="D703" s="1"/>
    </row>
    <row r="704" spans="3:4" ht="15.75" customHeight="1" x14ac:dyDescent="0.2">
      <c r="C704" s="1"/>
      <c r="D704" s="1"/>
    </row>
    <row r="705" spans="3:4" ht="15.75" customHeight="1" x14ac:dyDescent="0.2">
      <c r="C705" s="1"/>
      <c r="D705" s="1"/>
    </row>
    <row r="706" spans="3:4" ht="15.75" customHeight="1" x14ac:dyDescent="0.2">
      <c r="C706" s="1"/>
      <c r="D706" s="1"/>
    </row>
    <row r="707" spans="3:4" ht="15.75" customHeight="1" x14ac:dyDescent="0.2">
      <c r="C707" s="1"/>
      <c r="D707" s="1"/>
    </row>
    <row r="708" spans="3:4" ht="15.75" customHeight="1" x14ac:dyDescent="0.2">
      <c r="C708" s="1"/>
      <c r="D708" s="1"/>
    </row>
    <row r="709" spans="3:4" ht="15.75" customHeight="1" x14ac:dyDescent="0.2">
      <c r="C709" s="1"/>
      <c r="D709" s="1"/>
    </row>
    <row r="710" spans="3:4" ht="15.75" customHeight="1" x14ac:dyDescent="0.2">
      <c r="C710" s="1"/>
      <c r="D710" s="1"/>
    </row>
    <row r="711" spans="3:4" ht="15.75" customHeight="1" x14ac:dyDescent="0.2">
      <c r="C711" s="1"/>
      <c r="D711" s="1"/>
    </row>
    <row r="712" spans="3:4" ht="15.75" customHeight="1" x14ac:dyDescent="0.2">
      <c r="C712" s="1"/>
      <c r="D712" s="1"/>
    </row>
    <row r="713" spans="3:4" ht="15.75" customHeight="1" x14ac:dyDescent="0.2">
      <c r="C713" s="1"/>
      <c r="D713" s="1"/>
    </row>
    <row r="714" spans="3:4" ht="15.75" customHeight="1" x14ac:dyDescent="0.2">
      <c r="C714" s="1"/>
      <c r="D714" s="1"/>
    </row>
    <row r="715" spans="3:4" ht="15.75" customHeight="1" x14ac:dyDescent="0.2">
      <c r="C715" s="1"/>
      <c r="D715" s="1"/>
    </row>
    <row r="716" spans="3:4" ht="15.75" customHeight="1" x14ac:dyDescent="0.2">
      <c r="C716" s="1"/>
      <c r="D716" s="1"/>
    </row>
    <row r="717" spans="3:4" ht="15.75" customHeight="1" x14ac:dyDescent="0.2">
      <c r="C717" s="1"/>
      <c r="D717" s="1"/>
    </row>
    <row r="718" spans="3:4" ht="15.75" customHeight="1" x14ac:dyDescent="0.2">
      <c r="C718" s="1"/>
      <c r="D718" s="1"/>
    </row>
    <row r="719" spans="3:4" ht="15.75" customHeight="1" x14ac:dyDescent="0.2">
      <c r="C719" s="1"/>
      <c r="D719" s="1"/>
    </row>
    <row r="720" spans="3:4" ht="15.75" customHeight="1" x14ac:dyDescent="0.2">
      <c r="C720" s="1"/>
      <c r="D720" s="1"/>
    </row>
    <row r="721" spans="3:4" ht="15.75" customHeight="1" x14ac:dyDescent="0.2">
      <c r="C721" s="1"/>
      <c r="D721" s="1"/>
    </row>
    <row r="722" spans="3:4" ht="15.75" customHeight="1" x14ac:dyDescent="0.2">
      <c r="C722" s="1"/>
      <c r="D722" s="1"/>
    </row>
    <row r="723" spans="3:4" ht="15.75" customHeight="1" x14ac:dyDescent="0.2">
      <c r="C723" s="1"/>
      <c r="D723" s="1"/>
    </row>
    <row r="724" spans="3:4" ht="15.75" customHeight="1" x14ac:dyDescent="0.2">
      <c r="C724" s="1"/>
      <c r="D724" s="1"/>
    </row>
    <row r="725" spans="3:4" ht="15.75" customHeight="1" x14ac:dyDescent="0.2">
      <c r="C725" s="1"/>
      <c r="D725" s="1"/>
    </row>
    <row r="726" spans="3:4" ht="15.75" customHeight="1" x14ac:dyDescent="0.2">
      <c r="C726" s="1"/>
      <c r="D726" s="1"/>
    </row>
    <row r="727" spans="3:4" ht="15.75" customHeight="1" x14ac:dyDescent="0.2">
      <c r="C727" s="1"/>
      <c r="D727" s="1"/>
    </row>
    <row r="728" spans="3:4" ht="15.75" customHeight="1" x14ac:dyDescent="0.2">
      <c r="C728" s="1"/>
      <c r="D728" s="1"/>
    </row>
    <row r="729" spans="3:4" ht="15.75" customHeight="1" x14ac:dyDescent="0.2">
      <c r="C729" s="1"/>
      <c r="D729" s="1"/>
    </row>
    <row r="730" spans="3:4" ht="15.75" customHeight="1" x14ac:dyDescent="0.2">
      <c r="C730" s="1"/>
      <c r="D730" s="1"/>
    </row>
    <row r="731" spans="3:4" ht="15.75" customHeight="1" x14ac:dyDescent="0.2">
      <c r="C731" s="1"/>
      <c r="D731" s="1"/>
    </row>
    <row r="732" spans="3:4" ht="15.75" customHeight="1" x14ac:dyDescent="0.2">
      <c r="C732" s="1"/>
      <c r="D732" s="1"/>
    </row>
    <row r="733" spans="3:4" ht="15.75" customHeight="1" x14ac:dyDescent="0.2">
      <c r="C733" s="1"/>
      <c r="D733" s="1"/>
    </row>
    <row r="734" spans="3:4" ht="15.75" customHeight="1" x14ac:dyDescent="0.2">
      <c r="C734" s="1"/>
      <c r="D734" s="1"/>
    </row>
    <row r="735" spans="3:4" ht="15.75" customHeight="1" x14ac:dyDescent="0.2">
      <c r="C735" s="1"/>
      <c r="D735" s="1"/>
    </row>
    <row r="736" spans="3:4" ht="15.75" customHeight="1" x14ac:dyDescent="0.2">
      <c r="C736" s="1"/>
      <c r="D736" s="1"/>
    </row>
    <row r="737" spans="3:4" ht="15.75" customHeight="1" x14ac:dyDescent="0.2">
      <c r="C737" s="1"/>
      <c r="D737" s="1"/>
    </row>
    <row r="738" spans="3:4" ht="15.75" customHeight="1" x14ac:dyDescent="0.2">
      <c r="C738" s="1"/>
      <c r="D738" s="1"/>
    </row>
    <row r="739" spans="3:4" ht="15.75" customHeight="1" x14ac:dyDescent="0.2">
      <c r="C739" s="1"/>
      <c r="D739" s="1"/>
    </row>
    <row r="740" spans="3:4" ht="15.75" customHeight="1" x14ac:dyDescent="0.2">
      <c r="C740" s="1"/>
      <c r="D740" s="1"/>
    </row>
    <row r="741" spans="3:4" ht="15.75" customHeight="1" x14ac:dyDescent="0.2">
      <c r="C741" s="1"/>
      <c r="D741" s="1"/>
    </row>
    <row r="742" spans="3:4" ht="15.75" customHeight="1" x14ac:dyDescent="0.2">
      <c r="C742" s="1"/>
      <c r="D742" s="1"/>
    </row>
    <row r="743" spans="3:4" ht="15.75" customHeight="1" x14ac:dyDescent="0.2">
      <c r="C743" s="1"/>
      <c r="D743" s="1"/>
    </row>
    <row r="744" spans="3:4" ht="15.75" customHeight="1" x14ac:dyDescent="0.2">
      <c r="C744" s="1"/>
      <c r="D744" s="1"/>
    </row>
    <row r="745" spans="3:4" ht="15.75" customHeight="1" x14ac:dyDescent="0.2">
      <c r="C745" s="1"/>
      <c r="D745" s="1"/>
    </row>
    <row r="746" spans="3:4" ht="15.75" customHeight="1" x14ac:dyDescent="0.2">
      <c r="C746" s="1"/>
      <c r="D746" s="1"/>
    </row>
    <row r="747" spans="3:4" ht="15.75" customHeight="1" x14ac:dyDescent="0.2">
      <c r="C747" s="1"/>
      <c r="D747" s="1"/>
    </row>
    <row r="748" spans="3:4" ht="15.75" customHeight="1" x14ac:dyDescent="0.2">
      <c r="C748" s="1"/>
      <c r="D748" s="1"/>
    </row>
    <row r="749" spans="3:4" ht="15.75" customHeight="1" x14ac:dyDescent="0.2">
      <c r="C749" s="1"/>
      <c r="D749" s="1"/>
    </row>
    <row r="750" spans="3:4" ht="15.75" customHeight="1" x14ac:dyDescent="0.2">
      <c r="C750" s="1"/>
      <c r="D750" s="1"/>
    </row>
    <row r="751" spans="3:4" ht="15.75" customHeight="1" x14ac:dyDescent="0.2">
      <c r="C751" s="1"/>
      <c r="D751" s="1"/>
    </row>
    <row r="752" spans="3:4" ht="15.75" customHeight="1" x14ac:dyDescent="0.2">
      <c r="C752" s="1"/>
      <c r="D752" s="1"/>
    </row>
    <row r="753" spans="3:4" ht="15.75" customHeight="1" x14ac:dyDescent="0.2">
      <c r="C753" s="1"/>
      <c r="D753" s="1"/>
    </row>
    <row r="754" spans="3:4" ht="15.75" customHeight="1" x14ac:dyDescent="0.2">
      <c r="C754" s="1"/>
      <c r="D754" s="1"/>
    </row>
    <row r="755" spans="3:4" ht="15.75" customHeight="1" x14ac:dyDescent="0.2">
      <c r="C755" s="1"/>
      <c r="D755" s="1"/>
    </row>
    <row r="756" spans="3:4" ht="15.75" customHeight="1" x14ac:dyDescent="0.2">
      <c r="C756" s="1"/>
      <c r="D756" s="1"/>
    </row>
    <row r="757" spans="3:4" ht="15.75" customHeight="1" x14ac:dyDescent="0.2">
      <c r="C757" s="1"/>
      <c r="D757" s="1"/>
    </row>
    <row r="758" spans="3:4" ht="15.75" customHeight="1" x14ac:dyDescent="0.2">
      <c r="C758" s="1"/>
      <c r="D758" s="1"/>
    </row>
    <row r="759" spans="3:4" ht="15.75" customHeight="1" x14ac:dyDescent="0.2">
      <c r="C759" s="1"/>
      <c r="D759" s="1"/>
    </row>
    <row r="760" spans="3:4" ht="15.75" customHeight="1" x14ac:dyDescent="0.2">
      <c r="C760" s="1"/>
      <c r="D760" s="1"/>
    </row>
    <row r="761" spans="3:4" ht="15.75" customHeight="1" x14ac:dyDescent="0.2">
      <c r="C761" s="1"/>
      <c r="D761" s="1"/>
    </row>
    <row r="762" spans="3:4" ht="15.75" customHeight="1" x14ac:dyDescent="0.2">
      <c r="C762" s="1"/>
      <c r="D762" s="1"/>
    </row>
    <row r="763" spans="3:4" ht="15.75" customHeight="1" x14ac:dyDescent="0.2">
      <c r="C763" s="1"/>
      <c r="D763" s="1"/>
    </row>
    <row r="764" spans="3:4" ht="15.75" customHeight="1" x14ac:dyDescent="0.2">
      <c r="C764" s="1"/>
      <c r="D764" s="1"/>
    </row>
    <row r="765" spans="3:4" ht="15.75" customHeight="1" x14ac:dyDescent="0.2">
      <c r="C765" s="1"/>
      <c r="D765" s="1"/>
    </row>
    <row r="766" spans="3:4" ht="15.75" customHeight="1" x14ac:dyDescent="0.2">
      <c r="C766" s="1"/>
      <c r="D766" s="1"/>
    </row>
    <row r="767" spans="3:4" ht="15.75" customHeight="1" x14ac:dyDescent="0.2">
      <c r="C767" s="1"/>
      <c r="D767" s="1"/>
    </row>
    <row r="768" spans="3:4" ht="15.75" customHeight="1" x14ac:dyDescent="0.2">
      <c r="C768" s="1"/>
      <c r="D768" s="1"/>
    </row>
    <row r="769" spans="3:4" ht="15.75" customHeight="1" x14ac:dyDescent="0.2">
      <c r="C769" s="1"/>
      <c r="D769" s="1"/>
    </row>
    <row r="770" spans="3:4" ht="15.75" customHeight="1" x14ac:dyDescent="0.2">
      <c r="C770" s="1"/>
      <c r="D770" s="1"/>
    </row>
    <row r="771" spans="3:4" ht="15.75" customHeight="1" x14ac:dyDescent="0.2">
      <c r="C771" s="1"/>
      <c r="D771" s="1"/>
    </row>
    <row r="772" spans="3:4" ht="15.75" customHeight="1" x14ac:dyDescent="0.2">
      <c r="C772" s="1"/>
      <c r="D772" s="1"/>
    </row>
    <row r="773" spans="3:4" ht="15.75" customHeight="1" x14ac:dyDescent="0.2">
      <c r="C773" s="1"/>
      <c r="D773" s="1"/>
    </row>
    <row r="774" spans="3:4" ht="15.75" customHeight="1" x14ac:dyDescent="0.2">
      <c r="C774" s="1"/>
      <c r="D774" s="1"/>
    </row>
    <row r="775" spans="3:4" ht="15.75" customHeight="1" x14ac:dyDescent="0.2">
      <c r="C775" s="1"/>
      <c r="D775" s="1"/>
    </row>
    <row r="776" spans="3:4" ht="15.75" customHeight="1" x14ac:dyDescent="0.2">
      <c r="C776" s="1"/>
      <c r="D776" s="1"/>
    </row>
    <row r="777" spans="3:4" ht="15.75" customHeight="1" x14ac:dyDescent="0.2">
      <c r="C777" s="1"/>
      <c r="D777" s="1"/>
    </row>
    <row r="778" spans="3:4" ht="15.75" customHeight="1" x14ac:dyDescent="0.2">
      <c r="C778" s="1"/>
      <c r="D778" s="1"/>
    </row>
    <row r="779" spans="3:4" ht="15.75" customHeight="1" x14ac:dyDescent="0.2">
      <c r="C779" s="1"/>
      <c r="D779" s="1"/>
    </row>
    <row r="780" spans="3:4" ht="15.75" customHeight="1" x14ac:dyDescent="0.2">
      <c r="C780" s="1"/>
      <c r="D780" s="1"/>
    </row>
    <row r="781" spans="3:4" ht="15.75" customHeight="1" x14ac:dyDescent="0.2">
      <c r="C781" s="1"/>
      <c r="D781" s="1"/>
    </row>
    <row r="782" spans="3:4" ht="15.75" customHeight="1" x14ac:dyDescent="0.2">
      <c r="C782" s="1"/>
      <c r="D782" s="1"/>
    </row>
    <row r="783" spans="3:4" ht="15.75" customHeight="1" x14ac:dyDescent="0.2">
      <c r="C783" s="1"/>
      <c r="D783" s="1"/>
    </row>
    <row r="784" spans="3:4" ht="15.75" customHeight="1" x14ac:dyDescent="0.2">
      <c r="C784" s="1"/>
      <c r="D784" s="1"/>
    </row>
    <row r="785" spans="3:4" ht="15.75" customHeight="1" x14ac:dyDescent="0.2">
      <c r="C785" s="1"/>
      <c r="D785" s="1"/>
    </row>
    <row r="786" spans="3:4" ht="15.75" customHeight="1" x14ac:dyDescent="0.2">
      <c r="C786" s="1"/>
      <c r="D786" s="1"/>
    </row>
    <row r="787" spans="3:4" ht="15.75" customHeight="1" x14ac:dyDescent="0.2">
      <c r="C787" s="1"/>
      <c r="D787" s="1"/>
    </row>
    <row r="788" spans="3:4" ht="15.75" customHeight="1" x14ac:dyDescent="0.2">
      <c r="C788" s="1"/>
      <c r="D788" s="1"/>
    </row>
    <row r="789" spans="3:4" ht="15.75" customHeight="1" x14ac:dyDescent="0.2">
      <c r="C789" s="1"/>
      <c r="D789" s="1"/>
    </row>
    <row r="790" spans="3:4" ht="15.75" customHeight="1" x14ac:dyDescent="0.2">
      <c r="C790" s="1"/>
      <c r="D790" s="1"/>
    </row>
    <row r="791" spans="3:4" ht="15.75" customHeight="1" x14ac:dyDescent="0.2">
      <c r="C791" s="1"/>
      <c r="D791" s="1"/>
    </row>
    <row r="792" spans="3:4" ht="15.75" customHeight="1" x14ac:dyDescent="0.2">
      <c r="C792" s="1"/>
      <c r="D792" s="1"/>
    </row>
    <row r="793" spans="3:4" ht="15.75" customHeight="1" x14ac:dyDescent="0.2">
      <c r="C793" s="1"/>
      <c r="D793" s="1"/>
    </row>
    <row r="794" spans="3:4" ht="15.75" customHeight="1" x14ac:dyDescent="0.2">
      <c r="C794" s="1"/>
      <c r="D794" s="1"/>
    </row>
    <row r="795" spans="3:4" ht="15.75" customHeight="1" x14ac:dyDescent="0.2">
      <c r="C795" s="1"/>
      <c r="D795" s="1"/>
    </row>
    <row r="796" spans="3:4" ht="15.75" customHeight="1" x14ac:dyDescent="0.2">
      <c r="C796" s="1"/>
      <c r="D796" s="1"/>
    </row>
    <row r="797" spans="3:4" ht="15.75" customHeight="1" x14ac:dyDescent="0.2">
      <c r="C797" s="1"/>
      <c r="D797" s="1"/>
    </row>
    <row r="798" spans="3:4" ht="15.75" customHeight="1" x14ac:dyDescent="0.2">
      <c r="C798" s="1"/>
      <c r="D798" s="1"/>
    </row>
    <row r="799" spans="3:4" ht="15.75" customHeight="1" x14ac:dyDescent="0.2">
      <c r="C799" s="1"/>
      <c r="D799" s="1"/>
    </row>
    <row r="800" spans="3:4" ht="15.75" customHeight="1" x14ac:dyDescent="0.2">
      <c r="C800" s="1"/>
      <c r="D800" s="1"/>
    </row>
    <row r="801" spans="3:4" ht="15.75" customHeight="1" x14ac:dyDescent="0.2">
      <c r="C801" s="1"/>
      <c r="D801" s="1"/>
    </row>
    <row r="802" spans="3:4" ht="15.75" customHeight="1" x14ac:dyDescent="0.2">
      <c r="C802" s="1"/>
      <c r="D802" s="1"/>
    </row>
    <row r="803" spans="3:4" ht="15.75" customHeight="1" x14ac:dyDescent="0.2">
      <c r="C803" s="1"/>
      <c r="D803" s="1"/>
    </row>
    <row r="804" spans="3:4" ht="15.75" customHeight="1" x14ac:dyDescent="0.2">
      <c r="C804" s="1"/>
      <c r="D804" s="1"/>
    </row>
    <row r="805" spans="3:4" ht="15.75" customHeight="1" x14ac:dyDescent="0.2">
      <c r="C805" s="1"/>
      <c r="D805" s="1"/>
    </row>
    <row r="806" spans="3:4" ht="15.75" customHeight="1" x14ac:dyDescent="0.2">
      <c r="C806" s="1"/>
      <c r="D806" s="1"/>
    </row>
    <row r="807" spans="3:4" ht="15.75" customHeight="1" x14ac:dyDescent="0.2">
      <c r="C807" s="1"/>
      <c r="D807" s="1"/>
    </row>
    <row r="808" spans="3:4" ht="15.75" customHeight="1" x14ac:dyDescent="0.2">
      <c r="C808" s="1"/>
      <c r="D808" s="1"/>
    </row>
    <row r="809" spans="3:4" ht="15.75" customHeight="1" x14ac:dyDescent="0.2">
      <c r="C809" s="1"/>
      <c r="D809" s="1"/>
    </row>
    <row r="810" spans="3:4" ht="15.75" customHeight="1" x14ac:dyDescent="0.2">
      <c r="C810" s="1"/>
      <c r="D810" s="1"/>
    </row>
    <row r="811" spans="3:4" ht="15.75" customHeight="1" x14ac:dyDescent="0.2">
      <c r="C811" s="1"/>
      <c r="D811" s="1"/>
    </row>
    <row r="812" spans="3:4" ht="15.75" customHeight="1" x14ac:dyDescent="0.2">
      <c r="C812" s="1"/>
      <c r="D812" s="1"/>
    </row>
    <row r="813" spans="3:4" ht="15.75" customHeight="1" x14ac:dyDescent="0.2">
      <c r="C813" s="1"/>
      <c r="D813" s="1"/>
    </row>
    <row r="814" spans="3:4" ht="15.75" customHeight="1" x14ac:dyDescent="0.2">
      <c r="C814" s="1"/>
      <c r="D814" s="1"/>
    </row>
    <row r="815" spans="3:4" ht="15.75" customHeight="1" x14ac:dyDescent="0.2">
      <c r="C815" s="1"/>
      <c r="D815" s="1"/>
    </row>
    <row r="816" spans="3:4" ht="15.75" customHeight="1" x14ac:dyDescent="0.2">
      <c r="C816" s="1"/>
      <c r="D816" s="1"/>
    </row>
    <row r="817" spans="3:4" ht="15.75" customHeight="1" x14ac:dyDescent="0.2">
      <c r="C817" s="1"/>
      <c r="D817" s="1"/>
    </row>
    <row r="818" spans="3:4" ht="15.75" customHeight="1" x14ac:dyDescent="0.2">
      <c r="C818" s="1"/>
      <c r="D818" s="1"/>
    </row>
    <row r="819" spans="3:4" ht="15.75" customHeight="1" x14ac:dyDescent="0.2">
      <c r="C819" s="1"/>
      <c r="D819" s="1"/>
    </row>
    <row r="820" spans="3:4" ht="15.75" customHeight="1" x14ac:dyDescent="0.2">
      <c r="C820" s="1"/>
      <c r="D820" s="1"/>
    </row>
    <row r="821" spans="3:4" ht="15.75" customHeight="1" x14ac:dyDescent="0.2">
      <c r="C821" s="1"/>
      <c r="D821" s="1"/>
    </row>
    <row r="822" spans="3:4" ht="15.75" customHeight="1" x14ac:dyDescent="0.2">
      <c r="C822" s="1"/>
      <c r="D822" s="1"/>
    </row>
    <row r="823" spans="3:4" ht="15.75" customHeight="1" x14ac:dyDescent="0.2">
      <c r="C823" s="1"/>
      <c r="D823" s="1"/>
    </row>
    <row r="824" spans="3:4" ht="15.75" customHeight="1" x14ac:dyDescent="0.2">
      <c r="C824" s="1"/>
      <c r="D824" s="1"/>
    </row>
    <row r="825" spans="3:4" ht="15.75" customHeight="1" x14ac:dyDescent="0.2">
      <c r="C825" s="1"/>
      <c r="D825" s="1"/>
    </row>
    <row r="826" spans="3:4" ht="15.75" customHeight="1" x14ac:dyDescent="0.2">
      <c r="C826" s="1"/>
      <c r="D826" s="1"/>
    </row>
    <row r="827" spans="3:4" ht="15.75" customHeight="1" x14ac:dyDescent="0.2">
      <c r="C827" s="1"/>
      <c r="D827" s="1"/>
    </row>
    <row r="828" spans="3:4" ht="15.75" customHeight="1" x14ac:dyDescent="0.2">
      <c r="C828" s="1"/>
      <c r="D828" s="1"/>
    </row>
    <row r="829" spans="3:4" ht="15.75" customHeight="1" x14ac:dyDescent="0.2">
      <c r="C829" s="1"/>
      <c r="D829" s="1"/>
    </row>
    <row r="830" spans="3:4" ht="15.75" customHeight="1" x14ac:dyDescent="0.2">
      <c r="C830" s="1"/>
      <c r="D830" s="1"/>
    </row>
    <row r="831" spans="3:4" ht="15.75" customHeight="1" x14ac:dyDescent="0.2">
      <c r="C831" s="1"/>
      <c r="D831" s="1"/>
    </row>
    <row r="832" spans="3:4" ht="15.75" customHeight="1" x14ac:dyDescent="0.2">
      <c r="C832" s="1"/>
      <c r="D832" s="1"/>
    </row>
    <row r="833" spans="3:4" ht="15.75" customHeight="1" x14ac:dyDescent="0.2">
      <c r="C833" s="1"/>
      <c r="D833" s="1"/>
    </row>
    <row r="834" spans="3:4" ht="15.75" customHeight="1" x14ac:dyDescent="0.2">
      <c r="C834" s="1"/>
      <c r="D834" s="1"/>
    </row>
    <row r="835" spans="3:4" ht="15.75" customHeight="1" x14ac:dyDescent="0.2">
      <c r="C835" s="1"/>
      <c r="D835" s="1"/>
    </row>
    <row r="836" spans="3:4" ht="15.75" customHeight="1" x14ac:dyDescent="0.2">
      <c r="C836" s="1"/>
      <c r="D836" s="1"/>
    </row>
    <row r="837" spans="3:4" ht="15.75" customHeight="1" x14ac:dyDescent="0.2">
      <c r="C837" s="1"/>
      <c r="D837" s="1"/>
    </row>
    <row r="838" spans="3:4" ht="15.75" customHeight="1" x14ac:dyDescent="0.2">
      <c r="C838" s="1"/>
      <c r="D838" s="1"/>
    </row>
    <row r="839" spans="3:4" ht="15.75" customHeight="1" x14ac:dyDescent="0.2">
      <c r="C839" s="1"/>
      <c r="D839" s="1"/>
    </row>
    <row r="840" spans="3:4" ht="15.75" customHeight="1" x14ac:dyDescent="0.2">
      <c r="C840" s="1"/>
      <c r="D840" s="1"/>
    </row>
    <row r="841" spans="3:4" ht="15.75" customHeight="1" x14ac:dyDescent="0.2">
      <c r="C841" s="1"/>
      <c r="D841" s="1"/>
    </row>
    <row r="842" spans="3:4" ht="15.75" customHeight="1" x14ac:dyDescent="0.2">
      <c r="C842" s="1"/>
      <c r="D842" s="1"/>
    </row>
    <row r="843" spans="3:4" ht="15.75" customHeight="1" x14ac:dyDescent="0.2">
      <c r="C843" s="1"/>
      <c r="D843" s="1"/>
    </row>
    <row r="844" spans="3:4" ht="15.75" customHeight="1" x14ac:dyDescent="0.2">
      <c r="C844" s="1"/>
      <c r="D844" s="1"/>
    </row>
    <row r="845" spans="3:4" ht="15.75" customHeight="1" x14ac:dyDescent="0.2">
      <c r="C845" s="1"/>
      <c r="D845" s="1"/>
    </row>
    <row r="846" spans="3:4" ht="15.75" customHeight="1" x14ac:dyDescent="0.2">
      <c r="C846" s="1"/>
      <c r="D846" s="1"/>
    </row>
    <row r="847" spans="3:4" ht="15.75" customHeight="1" x14ac:dyDescent="0.2">
      <c r="C847" s="1"/>
      <c r="D847" s="1"/>
    </row>
    <row r="848" spans="3:4" ht="15.75" customHeight="1" x14ac:dyDescent="0.2">
      <c r="C848" s="1"/>
      <c r="D848" s="1"/>
    </row>
    <row r="849" spans="3:4" ht="15.75" customHeight="1" x14ac:dyDescent="0.2">
      <c r="C849" s="1"/>
      <c r="D849" s="1"/>
    </row>
    <row r="850" spans="3:4" ht="15.75" customHeight="1" x14ac:dyDescent="0.2">
      <c r="C850" s="1"/>
      <c r="D850" s="1"/>
    </row>
    <row r="851" spans="3:4" ht="15.75" customHeight="1" x14ac:dyDescent="0.2">
      <c r="C851" s="1"/>
      <c r="D851" s="1"/>
    </row>
    <row r="852" spans="3:4" ht="15.75" customHeight="1" x14ac:dyDescent="0.2">
      <c r="C852" s="1"/>
      <c r="D852" s="1"/>
    </row>
    <row r="853" spans="3:4" ht="15.75" customHeight="1" x14ac:dyDescent="0.2">
      <c r="C853" s="1"/>
      <c r="D853" s="1"/>
    </row>
    <row r="854" spans="3:4" ht="15.75" customHeight="1" x14ac:dyDescent="0.2">
      <c r="C854" s="1"/>
      <c r="D854" s="1"/>
    </row>
    <row r="855" spans="3:4" ht="15.75" customHeight="1" x14ac:dyDescent="0.2">
      <c r="C855" s="1"/>
      <c r="D855" s="1"/>
    </row>
    <row r="856" spans="3:4" ht="15.75" customHeight="1" x14ac:dyDescent="0.2">
      <c r="C856" s="1"/>
      <c r="D856" s="1"/>
    </row>
    <row r="857" spans="3:4" ht="15.75" customHeight="1" x14ac:dyDescent="0.2">
      <c r="C857" s="1"/>
      <c r="D857" s="1"/>
    </row>
    <row r="858" spans="3:4" ht="15.75" customHeight="1" x14ac:dyDescent="0.2">
      <c r="C858" s="1"/>
      <c r="D858" s="1"/>
    </row>
    <row r="859" spans="3:4" ht="15.75" customHeight="1" x14ac:dyDescent="0.2">
      <c r="C859" s="1"/>
      <c r="D859" s="1"/>
    </row>
    <row r="860" spans="3:4" ht="15.75" customHeight="1" x14ac:dyDescent="0.2">
      <c r="C860" s="1"/>
      <c r="D860" s="1"/>
    </row>
    <row r="861" spans="3:4" ht="15.75" customHeight="1" x14ac:dyDescent="0.2">
      <c r="C861" s="1"/>
      <c r="D861" s="1"/>
    </row>
    <row r="862" spans="3:4" ht="15.75" customHeight="1" x14ac:dyDescent="0.2">
      <c r="C862" s="1"/>
      <c r="D862" s="1"/>
    </row>
    <row r="863" spans="3:4" ht="15.75" customHeight="1" x14ac:dyDescent="0.2">
      <c r="C863" s="1"/>
      <c r="D863" s="1"/>
    </row>
    <row r="864" spans="3:4" ht="15.75" customHeight="1" x14ac:dyDescent="0.2">
      <c r="C864" s="1"/>
      <c r="D864" s="1"/>
    </row>
    <row r="865" spans="3:4" ht="15.75" customHeight="1" x14ac:dyDescent="0.2">
      <c r="C865" s="1"/>
      <c r="D865" s="1"/>
    </row>
    <row r="866" spans="3:4" ht="15.75" customHeight="1" x14ac:dyDescent="0.2">
      <c r="C866" s="1"/>
      <c r="D866" s="1"/>
    </row>
    <row r="867" spans="3:4" ht="15.75" customHeight="1" x14ac:dyDescent="0.2">
      <c r="C867" s="1"/>
      <c r="D867" s="1"/>
    </row>
    <row r="868" spans="3:4" ht="15.75" customHeight="1" x14ac:dyDescent="0.2">
      <c r="C868" s="1"/>
      <c r="D868" s="1"/>
    </row>
    <row r="869" spans="3:4" ht="15.75" customHeight="1" x14ac:dyDescent="0.2">
      <c r="C869" s="1"/>
      <c r="D869" s="1"/>
    </row>
    <row r="870" spans="3:4" ht="15.75" customHeight="1" x14ac:dyDescent="0.2">
      <c r="C870" s="1"/>
      <c r="D870" s="1"/>
    </row>
    <row r="871" spans="3:4" ht="15.75" customHeight="1" x14ac:dyDescent="0.2">
      <c r="C871" s="1"/>
      <c r="D871" s="1"/>
    </row>
    <row r="872" spans="3:4" ht="15.75" customHeight="1" x14ac:dyDescent="0.2">
      <c r="C872" s="1"/>
      <c r="D872" s="1"/>
    </row>
    <row r="873" spans="3:4" ht="15.75" customHeight="1" x14ac:dyDescent="0.2">
      <c r="C873" s="1"/>
      <c r="D873" s="1"/>
    </row>
    <row r="874" spans="3:4" ht="15.75" customHeight="1" x14ac:dyDescent="0.2">
      <c r="C874" s="1"/>
      <c r="D874" s="1"/>
    </row>
    <row r="875" spans="3:4" ht="15.75" customHeight="1" x14ac:dyDescent="0.2">
      <c r="C875" s="1"/>
      <c r="D875" s="1"/>
    </row>
    <row r="876" spans="3:4" ht="15.75" customHeight="1" x14ac:dyDescent="0.2">
      <c r="C876" s="1"/>
      <c r="D876" s="1"/>
    </row>
    <row r="877" spans="3:4" ht="15.75" customHeight="1" x14ac:dyDescent="0.2">
      <c r="C877" s="1"/>
      <c r="D877" s="1"/>
    </row>
    <row r="878" spans="3:4" ht="15.75" customHeight="1" x14ac:dyDescent="0.2">
      <c r="C878" s="1"/>
      <c r="D878" s="1"/>
    </row>
    <row r="879" spans="3:4" ht="15.75" customHeight="1" x14ac:dyDescent="0.2">
      <c r="C879" s="1"/>
      <c r="D879" s="1"/>
    </row>
    <row r="880" spans="3:4" ht="15.75" customHeight="1" x14ac:dyDescent="0.2">
      <c r="C880" s="1"/>
      <c r="D880" s="1"/>
    </row>
    <row r="881" spans="3:4" ht="15.75" customHeight="1" x14ac:dyDescent="0.2">
      <c r="C881" s="1"/>
      <c r="D881" s="1"/>
    </row>
    <row r="882" spans="3:4" ht="15.75" customHeight="1" x14ac:dyDescent="0.2">
      <c r="C882" s="1"/>
      <c r="D882" s="1"/>
    </row>
    <row r="883" spans="3:4" ht="15.75" customHeight="1" x14ac:dyDescent="0.2">
      <c r="C883" s="1"/>
      <c r="D883" s="1"/>
    </row>
    <row r="884" spans="3:4" ht="15.75" customHeight="1" x14ac:dyDescent="0.2">
      <c r="C884" s="1"/>
      <c r="D884" s="1"/>
    </row>
    <row r="885" spans="3:4" ht="15.75" customHeight="1" x14ac:dyDescent="0.2">
      <c r="C885" s="1"/>
      <c r="D885" s="1"/>
    </row>
    <row r="886" spans="3:4" ht="15.75" customHeight="1" x14ac:dyDescent="0.2">
      <c r="C886" s="1"/>
      <c r="D886" s="1"/>
    </row>
    <row r="887" spans="3:4" ht="15.75" customHeight="1" x14ac:dyDescent="0.2">
      <c r="C887" s="1"/>
      <c r="D887" s="1"/>
    </row>
    <row r="888" spans="3:4" ht="15.75" customHeight="1" x14ac:dyDescent="0.2">
      <c r="C888" s="1"/>
      <c r="D888" s="1"/>
    </row>
    <row r="889" spans="3:4" ht="15.75" customHeight="1" x14ac:dyDescent="0.2">
      <c r="C889" s="1"/>
      <c r="D889" s="1"/>
    </row>
    <row r="890" spans="3:4" ht="15.75" customHeight="1" x14ac:dyDescent="0.2">
      <c r="C890" s="1"/>
      <c r="D890" s="1"/>
    </row>
    <row r="891" spans="3:4" ht="15.75" customHeight="1" x14ac:dyDescent="0.2">
      <c r="C891" s="1"/>
      <c r="D891" s="1"/>
    </row>
    <row r="892" spans="3:4" ht="15.75" customHeight="1" x14ac:dyDescent="0.2">
      <c r="C892" s="1"/>
      <c r="D892" s="1"/>
    </row>
    <row r="893" spans="3:4" ht="15.75" customHeight="1" x14ac:dyDescent="0.2">
      <c r="C893" s="1"/>
      <c r="D893" s="1"/>
    </row>
    <row r="894" spans="3:4" ht="15.75" customHeight="1" x14ac:dyDescent="0.2">
      <c r="C894" s="1"/>
      <c r="D894" s="1"/>
    </row>
    <row r="895" spans="3:4" ht="15.75" customHeight="1" x14ac:dyDescent="0.2">
      <c r="C895" s="1"/>
      <c r="D895" s="1"/>
    </row>
    <row r="896" spans="3:4" ht="15.75" customHeight="1" x14ac:dyDescent="0.2">
      <c r="C896" s="1"/>
      <c r="D896" s="1"/>
    </row>
    <row r="897" spans="3:4" ht="15.75" customHeight="1" x14ac:dyDescent="0.2">
      <c r="C897" s="1"/>
      <c r="D897" s="1"/>
    </row>
    <row r="898" spans="3:4" ht="15.75" customHeight="1" x14ac:dyDescent="0.2">
      <c r="C898" s="1"/>
      <c r="D898" s="1"/>
    </row>
    <row r="899" spans="3:4" ht="15.75" customHeight="1" x14ac:dyDescent="0.2">
      <c r="C899" s="1"/>
      <c r="D899" s="1"/>
    </row>
    <row r="900" spans="3:4" ht="15.75" customHeight="1" x14ac:dyDescent="0.2">
      <c r="C900" s="1"/>
      <c r="D900" s="1"/>
    </row>
    <row r="901" spans="3:4" ht="15.75" customHeight="1" x14ac:dyDescent="0.2">
      <c r="C901" s="1"/>
      <c r="D901" s="1"/>
    </row>
    <row r="902" spans="3:4" ht="15.75" customHeight="1" x14ac:dyDescent="0.2">
      <c r="C902" s="1"/>
      <c r="D902" s="1"/>
    </row>
    <row r="903" spans="3:4" ht="15.75" customHeight="1" x14ac:dyDescent="0.2">
      <c r="C903" s="1"/>
      <c r="D903" s="1"/>
    </row>
    <row r="904" spans="3:4" ht="15.75" customHeight="1" x14ac:dyDescent="0.2">
      <c r="C904" s="1"/>
      <c r="D904" s="1"/>
    </row>
    <row r="905" spans="3:4" ht="15.75" customHeight="1" x14ac:dyDescent="0.2">
      <c r="C905" s="1"/>
      <c r="D905" s="1"/>
    </row>
    <row r="906" spans="3:4" ht="15.75" customHeight="1" x14ac:dyDescent="0.2">
      <c r="C906" s="1"/>
      <c r="D906" s="1"/>
    </row>
    <row r="907" spans="3:4" ht="15.75" customHeight="1" x14ac:dyDescent="0.2">
      <c r="C907" s="1"/>
      <c r="D907" s="1"/>
    </row>
    <row r="908" spans="3:4" ht="15.75" customHeight="1" x14ac:dyDescent="0.2">
      <c r="C908" s="1"/>
      <c r="D908" s="1"/>
    </row>
    <row r="909" spans="3:4" ht="15.75" customHeight="1" x14ac:dyDescent="0.2">
      <c r="C909" s="1"/>
      <c r="D909" s="1"/>
    </row>
    <row r="910" spans="3:4" ht="15.75" customHeight="1" x14ac:dyDescent="0.2">
      <c r="C910" s="1"/>
      <c r="D910" s="1"/>
    </row>
    <row r="911" spans="3:4" ht="15.75" customHeight="1" x14ac:dyDescent="0.2">
      <c r="C911" s="1"/>
      <c r="D911" s="1"/>
    </row>
    <row r="912" spans="3:4" ht="15.75" customHeight="1" x14ac:dyDescent="0.2">
      <c r="C912" s="1"/>
      <c r="D912" s="1"/>
    </row>
    <row r="913" spans="3:4" ht="15.75" customHeight="1" x14ac:dyDescent="0.2">
      <c r="C913" s="1"/>
      <c r="D913" s="1"/>
    </row>
    <row r="914" spans="3:4" ht="15.75" customHeight="1" x14ac:dyDescent="0.2">
      <c r="C914" s="1"/>
      <c r="D914" s="1"/>
    </row>
    <row r="915" spans="3:4" ht="15.75" customHeight="1" x14ac:dyDescent="0.2">
      <c r="C915" s="1"/>
      <c r="D915" s="1"/>
    </row>
    <row r="916" spans="3:4" ht="15.75" customHeight="1" x14ac:dyDescent="0.2">
      <c r="C916" s="1"/>
      <c r="D916" s="1"/>
    </row>
    <row r="917" spans="3:4" ht="15.75" customHeight="1" x14ac:dyDescent="0.2">
      <c r="C917" s="1"/>
      <c r="D917" s="1"/>
    </row>
    <row r="918" spans="3:4" ht="15.75" customHeight="1" x14ac:dyDescent="0.2">
      <c r="C918" s="1"/>
      <c r="D918" s="1"/>
    </row>
    <row r="919" spans="3:4" ht="15.75" customHeight="1" x14ac:dyDescent="0.2">
      <c r="C919" s="1"/>
      <c r="D919" s="1"/>
    </row>
    <row r="920" spans="3:4" ht="15.75" customHeight="1" x14ac:dyDescent="0.2">
      <c r="C920" s="1"/>
      <c r="D920" s="1"/>
    </row>
    <row r="921" spans="3:4" ht="15.75" customHeight="1" x14ac:dyDescent="0.2">
      <c r="C921" s="1"/>
      <c r="D921" s="1"/>
    </row>
    <row r="922" spans="3:4" ht="15.75" customHeight="1" x14ac:dyDescent="0.2">
      <c r="C922" s="1"/>
      <c r="D922" s="1"/>
    </row>
    <row r="923" spans="3:4" ht="15.75" customHeight="1" x14ac:dyDescent="0.2">
      <c r="C923" s="1"/>
      <c r="D923" s="1"/>
    </row>
    <row r="924" spans="3:4" ht="15.75" customHeight="1" x14ac:dyDescent="0.2">
      <c r="C924" s="1"/>
      <c r="D924" s="1"/>
    </row>
    <row r="925" spans="3:4" ht="15.75" customHeight="1" x14ac:dyDescent="0.2">
      <c r="C925" s="1"/>
      <c r="D925" s="1"/>
    </row>
    <row r="926" spans="3:4" ht="15.75" customHeight="1" x14ac:dyDescent="0.2">
      <c r="C926" s="1"/>
      <c r="D926" s="1"/>
    </row>
    <row r="927" spans="3:4" ht="15.75" customHeight="1" x14ac:dyDescent="0.2">
      <c r="C927" s="1"/>
      <c r="D927" s="1"/>
    </row>
    <row r="928" spans="3:4" ht="15.75" customHeight="1" x14ac:dyDescent="0.2">
      <c r="C928" s="1"/>
      <c r="D928" s="1"/>
    </row>
    <row r="929" spans="3:4" ht="15.75" customHeight="1" x14ac:dyDescent="0.2">
      <c r="C929" s="1"/>
      <c r="D929" s="1"/>
    </row>
    <row r="930" spans="3:4" ht="15.75" customHeight="1" x14ac:dyDescent="0.2">
      <c r="C930" s="1"/>
      <c r="D930" s="1"/>
    </row>
    <row r="931" spans="3:4" ht="15.75" customHeight="1" x14ac:dyDescent="0.2">
      <c r="C931" s="1"/>
      <c r="D931" s="1"/>
    </row>
    <row r="932" spans="3:4" ht="15.75" customHeight="1" x14ac:dyDescent="0.2">
      <c r="C932" s="1"/>
      <c r="D932" s="1"/>
    </row>
    <row r="933" spans="3:4" ht="15.75" customHeight="1" x14ac:dyDescent="0.2">
      <c r="C933" s="1"/>
      <c r="D933" s="1"/>
    </row>
    <row r="934" spans="3:4" ht="15.75" customHeight="1" x14ac:dyDescent="0.2">
      <c r="C934" s="1"/>
      <c r="D934" s="1"/>
    </row>
    <row r="935" spans="3:4" ht="15.75" customHeight="1" x14ac:dyDescent="0.2">
      <c r="C935" s="1"/>
      <c r="D935" s="1"/>
    </row>
    <row r="936" spans="3:4" ht="15.75" customHeight="1" x14ac:dyDescent="0.2">
      <c r="C936" s="1"/>
      <c r="D936" s="1"/>
    </row>
    <row r="937" spans="3:4" ht="15.75" customHeight="1" x14ac:dyDescent="0.2">
      <c r="C937" s="1"/>
      <c r="D937" s="1"/>
    </row>
    <row r="938" spans="3:4" ht="15.75" customHeight="1" x14ac:dyDescent="0.2">
      <c r="C938" s="1"/>
      <c r="D938" s="1"/>
    </row>
    <row r="939" spans="3:4" ht="15.75" customHeight="1" x14ac:dyDescent="0.2">
      <c r="C939" s="1"/>
      <c r="D939" s="1"/>
    </row>
    <row r="940" spans="3:4" ht="15.75" customHeight="1" x14ac:dyDescent="0.2">
      <c r="C940" s="1"/>
      <c r="D940" s="1"/>
    </row>
    <row r="941" spans="3:4" ht="15.75" customHeight="1" x14ac:dyDescent="0.2">
      <c r="C941" s="1"/>
      <c r="D941" s="1"/>
    </row>
    <row r="942" spans="3:4" ht="15.75" customHeight="1" x14ac:dyDescent="0.2">
      <c r="C942" s="1"/>
      <c r="D942" s="1"/>
    </row>
    <row r="943" spans="3:4" ht="15.75" customHeight="1" x14ac:dyDescent="0.2">
      <c r="C943" s="1"/>
      <c r="D943" s="1"/>
    </row>
    <row r="944" spans="3:4" ht="15.75" customHeight="1" x14ac:dyDescent="0.2">
      <c r="C944" s="1"/>
      <c r="D944" s="1"/>
    </row>
    <row r="945" spans="3:4" ht="15.75" customHeight="1" x14ac:dyDescent="0.2">
      <c r="C945" s="1"/>
      <c r="D945" s="1"/>
    </row>
    <row r="946" spans="3:4" ht="15.75" customHeight="1" x14ac:dyDescent="0.2">
      <c r="C946" s="1"/>
      <c r="D946" s="1"/>
    </row>
    <row r="947" spans="3:4" ht="15.75" customHeight="1" x14ac:dyDescent="0.2">
      <c r="C947" s="1"/>
      <c r="D947" s="1"/>
    </row>
    <row r="948" spans="3:4" ht="15.75" customHeight="1" x14ac:dyDescent="0.2">
      <c r="C948" s="1"/>
      <c r="D948" s="1"/>
    </row>
    <row r="949" spans="3:4" ht="15.75" customHeight="1" x14ac:dyDescent="0.2">
      <c r="C949" s="1"/>
      <c r="D949" s="1"/>
    </row>
    <row r="950" spans="3:4" ht="15.75" customHeight="1" x14ac:dyDescent="0.2">
      <c r="C950" s="1"/>
      <c r="D950" s="1"/>
    </row>
    <row r="951" spans="3:4" ht="15.75" customHeight="1" x14ac:dyDescent="0.2">
      <c r="C951" s="1"/>
      <c r="D951" s="1"/>
    </row>
    <row r="952" spans="3:4" ht="15.75" customHeight="1" x14ac:dyDescent="0.2">
      <c r="C952" s="1"/>
      <c r="D952" s="1"/>
    </row>
    <row r="953" spans="3:4" ht="15.75" customHeight="1" x14ac:dyDescent="0.2">
      <c r="C953" s="1"/>
      <c r="D953" s="1"/>
    </row>
    <row r="954" spans="3:4" ht="15.75" customHeight="1" x14ac:dyDescent="0.2">
      <c r="C954" s="1"/>
      <c r="D954" s="1"/>
    </row>
    <row r="955" spans="3:4" ht="15.75" customHeight="1" x14ac:dyDescent="0.2">
      <c r="C955" s="1"/>
      <c r="D955" s="1"/>
    </row>
    <row r="956" spans="3:4" ht="15.75" customHeight="1" x14ac:dyDescent="0.2">
      <c r="C956" s="1"/>
      <c r="D956" s="1"/>
    </row>
    <row r="957" spans="3:4" ht="15.75" customHeight="1" x14ac:dyDescent="0.2">
      <c r="C957" s="1"/>
      <c r="D957" s="1"/>
    </row>
    <row r="958" spans="3:4" ht="15.75" customHeight="1" x14ac:dyDescent="0.2">
      <c r="C958" s="1"/>
      <c r="D958" s="1"/>
    </row>
    <row r="959" spans="3:4" ht="15.75" customHeight="1" x14ac:dyDescent="0.2">
      <c r="C959" s="1"/>
      <c r="D959" s="1"/>
    </row>
    <row r="960" spans="3:4" ht="15.75" customHeight="1" x14ac:dyDescent="0.2">
      <c r="C960" s="1"/>
      <c r="D960" s="1"/>
    </row>
    <row r="961" spans="3:4" ht="15.75" customHeight="1" x14ac:dyDescent="0.2">
      <c r="C961" s="1"/>
      <c r="D961" s="1"/>
    </row>
    <row r="962" spans="3:4" ht="15.75" customHeight="1" x14ac:dyDescent="0.2">
      <c r="C962" s="1"/>
      <c r="D962" s="1"/>
    </row>
    <row r="963" spans="3:4" ht="15.75" customHeight="1" x14ac:dyDescent="0.2">
      <c r="C963" s="1"/>
      <c r="D963" s="1"/>
    </row>
    <row r="964" spans="3:4" ht="15.75" customHeight="1" x14ac:dyDescent="0.2">
      <c r="C964" s="1"/>
      <c r="D964" s="1"/>
    </row>
    <row r="965" spans="3:4" ht="15.75" customHeight="1" x14ac:dyDescent="0.2">
      <c r="C965" s="1"/>
      <c r="D965" s="1"/>
    </row>
    <row r="966" spans="3:4" ht="15.75" customHeight="1" x14ac:dyDescent="0.2">
      <c r="C966" s="1"/>
      <c r="D966" s="1"/>
    </row>
    <row r="967" spans="3:4" ht="15.75" customHeight="1" x14ac:dyDescent="0.2">
      <c r="C967" s="1"/>
      <c r="D967" s="1"/>
    </row>
    <row r="968" spans="3:4" ht="15.75" customHeight="1" x14ac:dyDescent="0.2">
      <c r="C968" s="1"/>
      <c r="D968" s="1"/>
    </row>
    <row r="969" spans="3:4" ht="15.75" customHeight="1" x14ac:dyDescent="0.2">
      <c r="C969" s="1"/>
      <c r="D969" s="1"/>
    </row>
    <row r="970" spans="3:4" ht="15.75" customHeight="1" x14ac:dyDescent="0.2">
      <c r="C970" s="1"/>
      <c r="D970" s="1"/>
    </row>
    <row r="971" spans="3:4" ht="15.75" customHeight="1" x14ac:dyDescent="0.2">
      <c r="C971" s="1"/>
      <c r="D971" s="1"/>
    </row>
    <row r="972" spans="3:4" ht="15.75" customHeight="1" x14ac:dyDescent="0.2">
      <c r="C972" s="1"/>
      <c r="D972" s="1"/>
    </row>
    <row r="973" spans="3:4" ht="15.75" customHeight="1" x14ac:dyDescent="0.2">
      <c r="C973" s="1"/>
      <c r="D973" s="1"/>
    </row>
    <row r="974" spans="3:4" ht="15.75" customHeight="1" x14ac:dyDescent="0.2">
      <c r="C974" s="1"/>
      <c r="D974" s="1"/>
    </row>
    <row r="975" spans="3:4" ht="15.75" customHeight="1" x14ac:dyDescent="0.2">
      <c r="C975" s="1"/>
      <c r="D975" s="1"/>
    </row>
    <row r="976" spans="3:4" ht="15.75" customHeight="1" x14ac:dyDescent="0.2">
      <c r="C976" s="1"/>
      <c r="D976" s="1"/>
    </row>
    <row r="977" spans="3:4" ht="15.75" customHeight="1" x14ac:dyDescent="0.2">
      <c r="C977" s="1"/>
      <c r="D977" s="1"/>
    </row>
    <row r="978" spans="3:4" ht="15.75" customHeight="1" x14ac:dyDescent="0.2">
      <c r="C978" s="1"/>
      <c r="D978" s="1"/>
    </row>
    <row r="979" spans="3:4" ht="15.75" customHeight="1" x14ac:dyDescent="0.2">
      <c r="C979" s="1"/>
      <c r="D979" s="1"/>
    </row>
    <row r="980" spans="3:4" ht="15.75" customHeight="1" x14ac:dyDescent="0.2">
      <c r="C980" s="1"/>
      <c r="D980" s="1"/>
    </row>
    <row r="981" spans="3:4" ht="15.75" customHeight="1" x14ac:dyDescent="0.2">
      <c r="C981" s="1"/>
      <c r="D981" s="1"/>
    </row>
    <row r="982" spans="3:4" ht="15.75" customHeight="1" x14ac:dyDescent="0.2">
      <c r="C982" s="1"/>
      <c r="D982" s="1"/>
    </row>
    <row r="983" spans="3:4" ht="15.75" customHeight="1" x14ac:dyDescent="0.2">
      <c r="C983" s="1"/>
      <c r="D983" s="1"/>
    </row>
    <row r="984" spans="3:4" ht="15.75" customHeight="1" x14ac:dyDescent="0.2">
      <c r="C984" s="1"/>
      <c r="D984" s="1"/>
    </row>
    <row r="985" spans="3:4" ht="15.75" customHeight="1" x14ac:dyDescent="0.2">
      <c r="C985" s="1"/>
      <c r="D985" s="1"/>
    </row>
    <row r="986" spans="3:4" ht="15.75" customHeight="1" x14ac:dyDescent="0.2">
      <c r="C986" s="1"/>
      <c r="D986" s="1"/>
    </row>
    <row r="987" spans="3:4" ht="15.75" customHeight="1" x14ac:dyDescent="0.2">
      <c r="C987" s="1"/>
      <c r="D987" s="1"/>
    </row>
    <row r="988" spans="3:4" ht="15.75" customHeight="1" x14ac:dyDescent="0.2">
      <c r="C988" s="1"/>
      <c r="D988" s="1"/>
    </row>
    <row r="989" spans="3:4" ht="15.75" customHeight="1" x14ac:dyDescent="0.2">
      <c r="C989" s="1"/>
      <c r="D989" s="1"/>
    </row>
    <row r="990" spans="3:4" ht="15.75" customHeight="1" x14ac:dyDescent="0.2">
      <c r="C990" s="1"/>
      <c r="D990" s="1"/>
    </row>
    <row r="991" spans="3:4" ht="15.75" customHeight="1" x14ac:dyDescent="0.2">
      <c r="C991" s="1"/>
      <c r="D991" s="1"/>
    </row>
    <row r="992" spans="3:4" ht="15.75" customHeight="1" x14ac:dyDescent="0.2">
      <c r="C992" s="1"/>
      <c r="D992" s="1"/>
    </row>
    <row r="993" spans="3:4" ht="15.75" customHeight="1" x14ac:dyDescent="0.2">
      <c r="C993" s="1"/>
      <c r="D993" s="1"/>
    </row>
    <row r="994" spans="3:4" ht="15.75" customHeight="1" x14ac:dyDescent="0.2">
      <c r="C994" s="1"/>
      <c r="D994" s="1"/>
    </row>
    <row r="995" spans="3:4" ht="15.75" customHeight="1" x14ac:dyDescent="0.2">
      <c r="C995" s="1"/>
      <c r="D995" s="1"/>
    </row>
    <row r="996" spans="3:4" ht="15.75" customHeight="1" x14ac:dyDescent="0.2">
      <c r="C996" s="1"/>
      <c r="D996" s="1"/>
    </row>
    <row r="997" spans="3:4" ht="15.75" customHeight="1" x14ac:dyDescent="0.2">
      <c r="C997" s="1"/>
      <c r="D997" s="1"/>
    </row>
    <row r="998" spans="3:4" ht="15.75" customHeight="1" x14ac:dyDescent="0.2">
      <c r="C998" s="1"/>
      <c r="D998" s="1"/>
    </row>
    <row r="999" spans="3:4" ht="15.75" customHeight="1" x14ac:dyDescent="0.2">
      <c r="C999" s="1"/>
      <c r="D999" s="1"/>
    </row>
    <row r="1000" spans="3:4" ht="15.75" customHeight="1" x14ac:dyDescent="0.2">
      <c r="C1000" s="1"/>
      <c r="D1000" s="1"/>
    </row>
    <row r="1001" spans="3:4" ht="15.75" customHeight="1" x14ac:dyDescent="0.2">
      <c r="C1001" s="1"/>
      <c r="D1001" s="1"/>
    </row>
    <row r="1002" spans="3:4" ht="15.75" customHeight="1" x14ac:dyDescent="0.2">
      <c r="C1002" s="1"/>
      <c r="D1002" s="1"/>
    </row>
    <row r="1003" spans="3:4" ht="15.75" customHeight="1" x14ac:dyDescent="0.2">
      <c r="C1003" s="1"/>
      <c r="D1003" s="1"/>
    </row>
    <row r="1004" spans="3:4" ht="15.75" customHeight="1" x14ac:dyDescent="0.2">
      <c r="C1004" s="1"/>
      <c r="D1004" s="1"/>
    </row>
    <row r="1005" spans="3:4" ht="15.75" customHeight="1" x14ac:dyDescent="0.2">
      <c r="C1005" s="1"/>
      <c r="D1005" s="1"/>
    </row>
    <row r="1006" spans="3:4" ht="15.75" customHeight="1" x14ac:dyDescent="0.2">
      <c r="C1006" s="1"/>
      <c r="D1006" s="1"/>
    </row>
    <row r="1007" spans="3:4" ht="15.75" customHeight="1" x14ac:dyDescent="0.2">
      <c r="C1007" s="1"/>
      <c r="D1007" s="1"/>
    </row>
    <row r="1008" spans="3:4" ht="15.75" customHeight="1" x14ac:dyDescent="0.2">
      <c r="C1008" s="1"/>
      <c r="D1008" s="1"/>
    </row>
  </sheetData>
  <autoFilter ref="B2:DR29" xr:uid="{D6501A76-58AC-B247-83DC-358B46C63781}"/>
  <mergeCells count="1">
    <mergeCell ref="E1:J1"/>
  </mergeCells>
  <conditionalFormatting sqref="AD29:DQ29">
    <cfRule type="cellIs" dxfId="2" priority="3" operator="greaterThan">
      <formula>5</formula>
    </cfRule>
  </conditionalFormatting>
  <conditionalFormatting sqref="AD36:DQ36">
    <cfRule type="cellIs" dxfId="1" priority="2" operator="lessThan">
      <formula>5</formula>
    </cfRule>
  </conditionalFormatting>
  <conditionalFormatting sqref="AD31:DR35">
    <cfRule type="cellIs" dxfId="0" priority="1" operator="greaterThan">
      <formula>1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FEF43-D19B-9A42-B07A-069837B6B05A}">
  <dimension ref="A1:AD42"/>
  <sheetViews>
    <sheetView zoomScale="120" zoomScaleNormal="120" workbookViewId="0">
      <pane xSplit="4" topLeftCell="K1" activePane="topRight" state="frozen"/>
      <selection pane="topRight" activeCell="D11" sqref="D11"/>
    </sheetView>
  </sheetViews>
  <sheetFormatPr baseColWidth="10" defaultColWidth="11" defaultRowHeight="16" x14ac:dyDescent="0.2"/>
  <cols>
    <col min="1" max="1" width="20.5" customWidth="1"/>
    <col min="2" max="2" width="17.33203125" style="157" customWidth="1"/>
    <col min="3" max="3" width="28.33203125" customWidth="1"/>
    <col min="4" max="4" width="47.33203125" customWidth="1"/>
    <col min="5" max="30" width="10.83203125" customWidth="1"/>
  </cols>
  <sheetData>
    <row r="1" spans="1:30" ht="111" customHeight="1" thickBot="1" x14ac:dyDescent="0.25">
      <c r="A1" s="160" t="s">
        <v>196</v>
      </c>
      <c r="B1" s="161" t="s">
        <v>2</v>
      </c>
      <c r="C1" s="160" t="s">
        <v>197</v>
      </c>
      <c r="D1" s="160" t="s">
        <v>198</v>
      </c>
      <c r="E1" s="201" t="s">
        <v>23</v>
      </c>
      <c r="F1" s="201" t="s">
        <v>28</v>
      </c>
      <c r="G1" s="201" t="s">
        <v>31</v>
      </c>
      <c r="H1" s="201" t="s">
        <v>33</v>
      </c>
      <c r="I1" s="201" t="s">
        <v>35</v>
      </c>
      <c r="J1" s="201" t="s">
        <v>36</v>
      </c>
      <c r="K1" s="201" t="s">
        <v>37</v>
      </c>
      <c r="L1" s="201" t="s">
        <v>38</v>
      </c>
      <c r="M1" s="202" t="s">
        <v>42</v>
      </c>
      <c r="N1" s="202" t="s">
        <v>45</v>
      </c>
      <c r="O1" s="202" t="s">
        <v>50</v>
      </c>
      <c r="P1" s="202" t="s">
        <v>55</v>
      </c>
      <c r="Q1" s="202" t="s">
        <v>60</v>
      </c>
      <c r="R1" s="202" t="s">
        <v>62</v>
      </c>
      <c r="S1" s="202" t="s">
        <v>66</v>
      </c>
      <c r="T1" s="202" t="s">
        <v>71</v>
      </c>
      <c r="U1" s="202" t="s">
        <v>73</v>
      </c>
      <c r="V1" s="202" t="s">
        <v>75</v>
      </c>
      <c r="W1" s="202" t="s">
        <v>79</v>
      </c>
      <c r="X1" s="202" t="s">
        <v>81</v>
      </c>
      <c r="Y1" s="202" t="s">
        <v>82</v>
      </c>
      <c r="Z1" s="202" t="s">
        <v>84</v>
      </c>
      <c r="AA1" s="202" t="s">
        <v>88</v>
      </c>
      <c r="AB1" s="202" t="s">
        <v>90</v>
      </c>
      <c r="AC1" s="202" t="s">
        <v>92</v>
      </c>
      <c r="AD1" s="202" t="s">
        <v>94</v>
      </c>
    </row>
    <row r="2" spans="1:30" ht="17" thickBot="1" x14ac:dyDescent="0.25">
      <c r="A2" s="224" t="s">
        <v>199</v>
      </c>
      <c r="B2" s="225" t="s">
        <v>63</v>
      </c>
      <c r="C2" s="226" t="s">
        <v>200</v>
      </c>
      <c r="D2" s="159" t="s">
        <v>201</v>
      </c>
      <c r="E2" s="250">
        <v>46015</v>
      </c>
      <c r="F2" s="250">
        <v>46015</v>
      </c>
      <c r="G2" s="250">
        <v>46015</v>
      </c>
      <c r="H2" s="250">
        <v>46015</v>
      </c>
      <c r="I2" s="250">
        <v>46015</v>
      </c>
      <c r="J2" s="250">
        <v>46015</v>
      </c>
      <c r="K2" s="250">
        <v>46015</v>
      </c>
      <c r="L2" s="203">
        <v>46038</v>
      </c>
      <c r="M2" s="203">
        <v>46031</v>
      </c>
      <c r="N2" s="248">
        <v>46003</v>
      </c>
      <c r="O2" s="248">
        <v>46003</v>
      </c>
      <c r="P2" s="249">
        <v>46008</v>
      </c>
      <c r="Q2" s="249">
        <v>46003</v>
      </c>
      <c r="R2" s="249">
        <v>46009</v>
      </c>
      <c r="S2" s="203">
        <v>46045</v>
      </c>
      <c r="T2" s="204">
        <v>46059</v>
      </c>
      <c r="U2" s="203">
        <v>46052</v>
      </c>
      <c r="V2" s="205">
        <v>46031</v>
      </c>
      <c r="W2" s="205">
        <v>46052</v>
      </c>
      <c r="X2" s="205">
        <v>46059</v>
      </c>
      <c r="Y2" s="205">
        <v>46031</v>
      </c>
      <c r="Z2" s="206"/>
      <c r="AA2" s="206"/>
      <c r="AB2" s="206"/>
      <c r="AC2" s="206"/>
      <c r="AD2" s="206"/>
    </row>
    <row r="3" spans="1:30" ht="17" thickBot="1" x14ac:dyDescent="0.25">
      <c r="A3" s="224"/>
      <c r="B3" s="225"/>
      <c r="C3" s="226"/>
      <c r="D3" s="159" t="s">
        <v>202</v>
      </c>
      <c r="E3" s="250">
        <v>46015</v>
      </c>
      <c r="F3" s="250">
        <v>46015</v>
      </c>
      <c r="G3" s="250">
        <v>46015</v>
      </c>
      <c r="H3" s="250">
        <v>46015</v>
      </c>
      <c r="I3" s="250">
        <v>46015</v>
      </c>
      <c r="J3" s="250">
        <v>46015</v>
      </c>
      <c r="K3" s="250">
        <v>46015</v>
      </c>
      <c r="L3" s="203">
        <v>46038</v>
      </c>
      <c r="M3" s="203">
        <v>46031</v>
      </c>
      <c r="N3" s="248">
        <v>46003</v>
      </c>
      <c r="O3" s="248">
        <v>46003</v>
      </c>
      <c r="P3" s="249">
        <v>46008</v>
      </c>
      <c r="Q3" s="249">
        <v>46003</v>
      </c>
      <c r="R3" s="249">
        <v>46009</v>
      </c>
      <c r="S3" s="203">
        <v>46045</v>
      </c>
      <c r="T3" s="204">
        <v>46059</v>
      </c>
      <c r="U3" s="203">
        <v>46052</v>
      </c>
      <c r="V3" s="205">
        <v>46031</v>
      </c>
      <c r="W3" s="205">
        <v>46052</v>
      </c>
      <c r="X3" s="205">
        <v>46059</v>
      </c>
      <c r="Y3" s="205">
        <v>46031</v>
      </c>
      <c r="Z3" s="206"/>
      <c r="AA3" s="206"/>
      <c r="AB3" s="206"/>
      <c r="AC3" s="206"/>
      <c r="AD3" s="206"/>
    </row>
    <row r="4" spans="1:30" ht="17" thickBot="1" x14ac:dyDescent="0.25">
      <c r="A4" s="224"/>
      <c r="B4" s="225"/>
      <c r="C4" s="226"/>
      <c r="D4" s="159" t="s">
        <v>203</v>
      </c>
      <c r="E4" s="250">
        <v>46015</v>
      </c>
      <c r="F4" s="250">
        <v>46015</v>
      </c>
      <c r="G4" s="250">
        <v>46015</v>
      </c>
      <c r="H4" s="250">
        <v>46015</v>
      </c>
      <c r="I4" s="250">
        <v>46015</v>
      </c>
      <c r="J4" s="250">
        <v>46015</v>
      </c>
      <c r="K4" s="250">
        <v>46015</v>
      </c>
      <c r="L4" s="203">
        <v>46038</v>
      </c>
      <c r="M4" s="203">
        <v>46031</v>
      </c>
      <c r="N4" s="248">
        <v>46003</v>
      </c>
      <c r="O4" s="248">
        <v>46003</v>
      </c>
      <c r="P4" s="249">
        <v>46008</v>
      </c>
      <c r="Q4" s="249">
        <v>46003</v>
      </c>
      <c r="R4" s="249">
        <v>46009</v>
      </c>
      <c r="S4" s="203">
        <v>46045</v>
      </c>
      <c r="T4" s="204">
        <v>46059</v>
      </c>
      <c r="U4" s="203">
        <v>46052</v>
      </c>
      <c r="V4" s="205">
        <v>46031</v>
      </c>
      <c r="W4" s="205">
        <v>46052</v>
      </c>
      <c r="X4" s="205">
        <v>46059</v>
      </c>
      <c r="Y4" s="205">
        <v>46031</v>
      </c>
      <c r="Z4" s="206"/>
      <c r="AA4" s="206"/>
      <c r="AB4" s="206"/>
      <c r="AC4" s="206"/>
      <c r="AD4" s="206"/>
    </row>
    <row r="5" spans="1:30" s="163" customFormat="1" ht="17" thickBot="1" x14ac:dyDescent="0.25">
      <c r="A5" s="224"/>
      <c r="B5" s="225"/>
      <c r="C5" s="226"/>
      <c r="D5" s="162" t="s">
        <v>204</v>
      </c>
      <c r="E5" s="250">
        <v>46015</v>
      </c>
      <c r="F5" s="250">
        <v>46015</v>
      </c>
      <c r="G5" s="250">
        <v>46015</v>
      </c>
      <c r="H5" s="250">
        <v>46015</v>
      </c>
      <c r="I5" s="250">
        <v>46015</v>
      </c>
      <c r="J5" s="250">
        <v>46015</v>
      </c>
      <c r="K5" s="250">
        <v>46015</v>
      </c>
      <c r="L5" s="203">
        <v>46038</v>
      </c>
      <c r="M5" s="203">
        <v>46031</v>
      </c>
      <c r="N5" s="248">
        <v>46003</v>
      </c>
      <c r="O5" s="248">
        <v>46003</v>
      </c>
      <c r="P5" s="249">
        <v>46008</v>
      </c>
      <c r="Q5" s="249">
        <v>46003</v>
      </c>
      <c r="R5" s="249">
        <v>46009</v>
      </c>
      <c r="S5" s="203">
        <v>46045</v>
      </c>
      <c r="T5" s="204">
        <v>46059</v>
      </c>
      <c r="U5" s="203">
        <v>46052</v>
      </c>
      <c r="V5" s="205">
        <v>46031</v>
      </c>
      <c r="W5" s="205">
        <v>46052</v>
      </c>
      <c r="X5" s="205">
        <v>46059</v>
      </c>
      <c r="Y5" s="205">
        <v>46031</v>
      </c>
      <c r="Z5" s="207"/>
      <c r="AA5" s="207"/>
      <c r="AB5" s="207"/>
      <c r="AC5" s="207"/>
      <c r="AD5" s="207"/>
    </row>
    <row r="6" spans="1:30" x14ac:dyDescent="0.2">
      <c r="A6" s="224" t="s">
        <v>205</v>
      </c>
      <c r="B6" s="225" t="s">
        <v>206</v>
      </c>
      <c r="C6" s="226" t="s">
        <v>207</v>
      </c>
      <c r="D6" s="159" t="s">
        <v>208</v>
      </c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</row>
    <row r="7" spans="1:30" x14ac:dyDescent="0.2">
      <c r="A7" s="224"/>
      <c r="B7" s="225"/>
      <c r="C7" s="226"/>
      <c r="D7" s="159" t="s">
        <v>209</v>
      </c>
      <c r="E7" s="206"/>
      <c r="F7" s="206"/>
      <c r="G7" s="206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  <c r="AA7" s="206"/>
      <c r="AB7" s="206"/>
      <c r="AC7" s="206"/>
      <c r="AD7" s="206"/>
    </row>
    <row r="8" spans="1:30" x14ac:dyDescent="0.2">
      <c r="A8" s="224"/>
      <c r="B8" s="225"/>
      <c r="C8" s="226"/>
      <c r="D8" s="159" t="s">
        <v>210</v>
      </c>
      <c r="E8" s="206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</row>
    <row r="9" spans="1:30" x14ac:dyDescent="0.2">
      <c r="A9" s="224"/>
      <c r="B9" s="225"/>
      <c r="C9" s="226"/>
      <c r="D9" s="159" t="s">
        <v>211</v>
      </c>
      <c r="E9" s="206"/>
      <c r="F9" s="206"/>
      <c r="G9" s="206"/>
      <c r="H9" s="206"/>
      <c r="I9" s="206"/>
      <c r="J9" s="206"/>
      <c r="K9" s="206"/>
      <c r="L9" s="206"/>
      <c r="M9" s="206"/>
      <c r="N9" s="206"/>
      <c r="O9" s="206"/>
      <c r="P9" s="206"/>
      <c r="Q9" s="206"/>
      <c r="R9" s="206"/>
      <c r="S9" s="206"/>
      <c r="T9" s="206"/>
      <c r="U9" s="206"/>
      <c r="V9" s="206"/>
      <c r="W9" s="206"/>
      <c r="X9" s="206"/>
      <c r="Y9" s="206"/>
      <c r="Z9" s="206"/>
      <c r="AA9" s="206"/>
      <c r="AB9" s="206"/>
      <c r="AC9" s="206"/>
      <c r="AD9" s="206"/>
    </row>
    <row r="10" spans="1:30" x14ac:dyDescent="0.2">
      <c r="A10" s="224" t="s">
        <v>212</v>
      </c>
      <c r="B10" s="225" t="s">
        <v>213</v>
      </c>
      <c r="C10" s="226" t="s">
        <v>214</v>
      </c>
      <c r="D10" s="159" t="s">
        <v>215</v>
      </c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</row>
    <row r="11" spans="1:30" x14ac:dyDescent="0.2">
      <c r="A11" s="224"/>
      <c r="B11" s="225"/>
      <c r="C11" s="226"/>
      <c r="D11" s="159" t="s">
        <v>216</v>
      </c>
      <c r="E11" s="206"/>
      <c r="F11" s="206"/>
      <c r="G11" s="206"/>
      <c r="H11" s="206"/>
      <c r="I11" s="206"/>
      <c r="J11" s="206"/>
      <c r="K11" s="206"/>
      <c r="L11" s="206"/>
      <c r="M11" s="206"/>
      <c r="N11" s="206"/>
      <c r="O11" s="206"/>
      <c r="P11" s="206"/>
      <c r="Q11" s="206"/>
      <c r="R11" s="206"/>
      <c r="S11" s="206"/>
      <c r="T11" s="206"/>
      <c r="U11" s="206"/>
      <c r="V11" s="206"/>
      <c r="W11" s="206"/>
      <c r="X11" s="206"/>
      <c r="Y11" s="206"/>
      <c r="Z11" s="206"/>
      <c r="AA11" s="206"/>
      <c r="AB11" s="206"/>
      <c r="AC11" s="206"/>
      <c r="AD11" s="206"/>
    </row>
    <row r="12" spans="1:30" x14ac:dyDescent="0.2">
      <c r="A12" s="224"/>
      <c r="B12" s="225"/>
      <c r="C12" s="226"/>
      <c r="D12" s="159" t="s">
        <v>217</v>
      </c>
      <c r="E12" s="206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6"/>
      <c r="S12" s="206"/>
      <c r="T12" s="206"/>
      <c r="U12" s="206"/>
      <c r="V12" s="206"/>
      <c r="W12" s="206"/>
      <c r="X12" s="206"/>
      <c r="Y12" s="206"/>
      <c r="Z12" s="206"/>
      <c r="AA12" s="206"/>
      <c r="AB12" s="206"/>
      <c r="AC12" s="206"/>
      <c r="AD12" s="206"/>
    </row>
    <row r="13" spans="1:30" x14ac:dyDescent="0.2">
      <c r="A13" s="224"/>
      <c r="B13" s="225"/>
      <c r="C13" s="226"/>
      <c r="D13" s="159" t="s">
        <v>218</v>
      </c>
      <c r="E13" s="206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</row>
    <row r="14" spans="1:30" x14ac:dyDescent="0.2">
      <c r="A14" s="224" t="s">
        <v>219</v>
      </c>
      <c r="B14" s="225" t="s">
        <v>213</v>
      </c>
      <c r="C14" s="226" t="s">
        <v>220</v>
      </c>
      <c r="D14" s="159" t="s">
        <v>221</v>
      </c>
      <c r="E14" s="206"/>
      <c r="F14" s="206"/>
      <c r="G14" s="206"/>
      <c r="H14" s="206"/>
      <c r="I14" s="206"/>
      <c r="J14" s="206"/>
      <c r="K14" s="206"/>
      <c r="L14" s="206"/>
      <c r="M14" s="206"/>
      <c r="N14" s="206"/>
      <c r="O14" s="206"/>
      <c r="P14" s="206"/>
      <c r="Q14" s="206"/>
      <c r="R14" s="206"/>
      <c r="S14" s="206"/>
      <c r="T14" s="206"/>
      <c r="U14" s="206"/>
      <c r="V14" s="206"/>
      <c r="W14" s="206"/>
      <c r="X14" s="206"/>
      <c r="Y14" s="206"/>
      <c r="Z14" s="206"/>
      <c r="AA14" s="206"/>
      <c r="AB14" s="206"/>
      <c r="AC14" s="206"/>
      <c r="AD14" s="206"/>
    </row>
    <row r="15" spans="1:30" x14ac:dyDescent="0.2">
      <c r="A15" s="224"/>
      <c r="B15" s="225"/>
      <c r="C15" s="226"/>
      <c r="D15" s="159" t="s">
        <v>222</v>
      </c>
      <c r="E15" s="206"/>
      <c r="F15" s="206"/>
      <c r="G15" s="206"/>
      <c r="H15" s="206"/>
      <c r="I15" s="206"/>
      <c r="J15" s="206"/>
      <c r="K15" s="206"/>
      <c r="L15" s="206"/>
      <c r="M15" s="206"/>
      <c r="N15" s="206"/>
      <c r="O15" s="206"/>
      <c r="P15" s="206"/>
      <c r="Q15" s="206"/>
      <c r="R15" s="206"/>
      <c r="S15" s="206"/>
      <c r="T15" s="206"/>
      <c r="U15" s="206"/>
      <c r="V15" s="206"/>
      <c r="W15" s="206"/>
      <c r="X15" s="206"/>
      <c r="Y15" s="206"/>
      <c r="Z15" s="206"/>
      <c r="AA15" s="206"/>
      <c r="AB15" s="206"/>
      <c r="AC15" s="206"/>
      <c r="AD15" s="206"/>
    </row>
    <row r="16" spans="1:30" x14ac:dyDescent="0.2">
      <c r="A16" s="224"/>
      <c r="B16" s="225"/>
      <c r="C16" s="226"/>
      <c r="D16" s="159" t="s">
        <v>223</v>
      </c>
      <c r="E16" s="206"/>
      <c r="F16" s="206"/>
      <c r="G16" s="206"/>
      <c r="H16" s="206"/>
      <c r="I16" s="206"/>
      <c r="J16" s="206"/>
      <c r="K16" s="206"/>
      <c r="L16" s="206"/>
      <c r="M16" s="206"/>
      <c r="N16" s="206"/>
      <c r="O16" s="206"/>
      <c r="P16" s="206"/>
      <c r="Q16" s="206"/>
      <c r="R16" s="206"/>
      <c r="S16" s="206"/>
      <c r="T16" s="206"/>
      <c r="U16" s="206"/>
      <c r="V16" s="206"/>
      <c r="W16" s="206"/>
      <c r="X16" s="206"/>
      <c r="Y16" s="206"/>
      <c r="Z16" s="206"/>
      <c r="AA16" s="206"/>
      <c r="AB16" s="206"/>
      <c r="AC16" s="206"/>
      <c r="AD16" s="206"/>
    </row>
    <row r="17" spans="1:30" x14ac:dyDescent="0.2">
      <c r="A17" s="224"/>
      <c r="B17" s="225"/>
      <c r="C17" s="226"/>
      <c r="D17" s="159" t="s">
        <v>224</v>
      </c>
      <c r="E17" s="206"/>
      <c r="F17" s="206"/>
      <c r="G17" s="206"/>
      <c r="H17" s="206"/>
      <c r="I17" s="206"/>
      <c r="J17" s="206"/>
      <c r="K17" s="206"/>
      <c r="L17" s="206"/>
      <c r="M17" s="206"/>
      <c r="N17" s="206"/>
      <c r="O17" s="206"/>
      <c r="P17" s="206"/>
      <c r="Q17" s="206"/>
      <c r="R17" s="206"/>
      <c r="S17" s="206"/>
      <c r="T17" s="206"/>
      <c r="U17" s="206"/>
      <c r="V17" s="206"/>
      <c r="W17" s="206"/>
      <c r="X17" s="206"/>
      <c r="Y17" s="206"/>
      <c r="Z17" s="206"/>
      <c r="AA17" s="206"/>
      <c r="AB17" s="206"/>
      <c r="AC17" s="206"/>
      <c r="AD17" s="206"/>
    </row>
    <row r="18" spans="1:30" x14ac:dyDescent="0.2">
      <c r="A18" s="224" t="s">
        <v>225</v>
      </c>
      <c r="B18" s="225" t="s">
        <v>226</v>
      </c>
      <c r="C18" s="226" t="s">
        <v>227</v>
      </c>
      <c r="D18" s="159" t="s">
        <v>228</v>
      </c>
      <c r="E18" s="206"/>
      <c r="F18" s="206"/>
      <c r="G18" s="206"/>
      <c r="H18" s="206"/>
      <c r="I18" s="206"/>
      <c r="J18" s="206"/>
      <c r="K18" s="206"/>
      <c r="L18" s="206"/>
      <c r="M18" s="206"/>
      <c r="N18" s="206"/>
      <c r="O18" s="206"/>
      <c r="P18" s="206"/>
      <c r="Q18" s="206"/>
      <c r="R18" s="206"/>
      <c r="S18" s="206"/>
      <c r="T18" s="206"/>
      <c r="U18" s="206"/>
      <c r="V18" s="206"/>
      <c r="W18" s="206"/>
      <c r="X18" s="206"/>
      <c r="Y18" s="206"/>
      <c r="Z18" s="206"/>
      <c r="AA18" s="206"/>
      <c r="AB18" s="206"/>
      <c r="AC18" s="206"/>
      <c r="AD18" s="206"/>
    </row>
    <row r="19" spans="1:30" x14ac:dyDescent="0.2">
      <c r="A19" s="224"/>
      <c r="B19" s="225"/>
      <c r="C19" s="226"/>
      <c r="D19" s="159" t="s">
        <v>229</v>
      </c>
      <c r="E19" s="206"/>
      <c r="F19" s="206"/>
      <c r="G19" s="206"/>
      <c r="H19" s="206"/>
      <c r="I19" s="206"/>
      <c r="J19" s="206"/>
      <c r="K19" s="206"/>
      <c r="L19" s="206"/>
      <c r="M19" s="206"/>
      <c r="N19" s="206"/>
      <c r="O19" s="206"/>
      <c r="P19" s="206"/>
      <c r="Q19" s="206"/>
      <c r="R19" s="206"/>
      <c r="S19" s="206"/>
      <c r="T19" s="206"/>
      <c r="U19" s="206"/>
      <c r="V19" s="206"/>
      <c r="W19" s="206"/>
      <c r="X19" s="206"/>
      <c r="Y19" s="206"/>
      <c r="Z19" s="206"/>
      <c r="AA19" s="206"/>
      <c r="AB19" s="206"/>
      <c r="AC19" s="206"/>
      <c r="AD19" s="206"/>
    </row>
    <row r="20" spans="1:30" x14ac:dyDescent="0.2">
      <c r="A20" s="224"/>
      <c r="B20" s="225"/>
      <c r="C20" s="226"/>
      <c r="D20" s="159" t="s">
        <v>230</v>
      </c>
      <c r="E20" s="206"/>
      <c r="F20" s="206"/>
      <c r="G20" s="206"/>
      <c r="H20" s="206"/>
      <c r="I20" s="206"/>
      <c r="J20" s="206"/>
      <c r="K20" s="206"/>
      <c r="L20" s="206"/>
      <c r="M20" s="206"/>
      <c r="N20" s="206"/>
      <c r="O20" s="206"/>
      <c r="P20" s="206"/>
      <c r="Q20" s="206"/>
      <c r="R20" s="206"/>
      <c r="S20" s="206"/>
      <c r="T20" s="206"/>
      <c r="U20" s="206"/>
      <c r="V20" s="206"/>
      <c r="W20" s="206"/>
      <c r="X20" s="206"/>
      <c r="Y20" s="206"/>
      <c r="Z20" s="206"/>
      <c r="AA20" s="206"/>
      <c r="AB20" s="206"/>
      <c r="AC20" s="206"/>
      <c r="AD20" s="206"/>
    </row>
    <row r="21" spans="1:30" x14ac:dyDescent="0.2">
      <c r="A21" s="224"/>
      <c r="B21" s="225"/>
      <c r="C21" s="226"/>
      <c r="D21" s="159" t="s">
        <v>231</v>
      </c>
      <c r="E21" s="206"/>
      <c r="F21" s="206"/>
      <c r="G21" s="206"/>
      <c r="H21" s="206"/>
      <c r="I21" s="206"/>
      <c r="J21" s="206"/>
      <c r="K21" s="206"/>
      <c r="L21" s="206"/>
      <c r="M21" s="206"/>
      <c r="N21" s="206"/>
      <c r="O21" s="206"/>
      <c r="P21" s="206"/>
      <c r="Q21" s="206"/>
      <c r="R21" s="206"/>
      <c r="S21" s="206"/>
      <c r="T21" s="206"/>
      <c r="U21" s="206"/>
      <c r="V21" s="206"/>
      <c r="W21" s="206"/>
      <c r="X21" s="206"/>
      <c r="Y21" s="206"/>
      <c r="Z21" s="206"/>
      <c r="AA21" s="206"/>
      <c r="AB21" s="206"/>
      <c r="AC21" s="206"/>
      <c r="AD21" s="206"/>
    </row>
    <row r="22" spans="1:30" x14ac:dyDescent="0.2">
      <c r="A22" s="224" t="s">
        <v>232</v>
      </c>
      <c r="B22" s="225" t="s">
        <v>206</v>
      </c>
      <c r="C22" s="226" t="s">
        <v>233</v>
      </c>
      <c r="D22" s="159" t="s">
        <v>234</v>
      </c>
      <c r="E22" s="206"/>
      <c r="F22" s="206"/>
      <c r="G22" s="206"/>
      <c r="H22" s="206"/>
      <c r="I22" s="206"/>
      <c r="J22" s="206"/>
      <c r="K22" s="206"/>
      <c r="L22" s="206"/>
      <c r="M22" s="206"/>
      <c r="N22" s="206"/>
      <c r="O22" s="206"/>
      <c r="P22" s="206"/>
      <c r="Q22" s="206"/>
      <c r="R22" s="206"/>
      <c r="S22" s="206"/>
      <c r="T22" s="206"/>
      <c r="U22" s="206"/>
      <c r="V22" s="206"/>
      <c r="W22" s="206"/>
      <c r="X22" s="206"/>
      <c r="Y22" s="206"/>
      <c r="Z22" s="206"/>
      <c r="AA22" s="206"/>
      <c r="AB22" s="206"/>
      <c r="AC22" s="206"/>
      <c r="AD22" s="206"/>
    </row>
    <row r="23" spans="1:30" x14ac:dyDescent="0.2">
      <c r="A23" s="224"/>
      <c r="B23" s="225"/>
      <c r="C23" s="226"/>
      <c r="D23" s="159" t="s">
        <v>235</v>
      </c>
      <c r="E23" s="206"/>
      <c r="F23" s="206"/>
      <c r="G23" s="206"/>
      <c r="H23" s="206"/>
      <c r="I23" s="206"/>
      <c r="J23" s="206"/>
      <c r="K23" s="206"/>
      <c r="L23" s="206"/>
      <c r="M23" s="206"/>
      <c r="N23" s="206"/>
      <c r="O23" s="206"/>
      <c r="P23" s="206"/>
      <c r="Q23" s="206"/>
      <c r="R23" s="206"/>
      <c r="S23" s="206"/>
      <c r="T23" s="206"/>
      <c r="U23" s="206"/>
      <c r="V23" s="206"/>
      <c r="W23" s="206"/>
      <c r="X23" s="206"/>
      <c r="Y23" s="206"/>
      <c r="Z23" s="206"/>
      <c r="AA23" s="206"/>
      <c r="AB23" s="206"/>
      <c r="AC23" s="206"/>
      <c r="AD23" s="206"/>
    </row>
    <row r="24" spans="1:30" x14ac:dyDescent="0.2">
      <c r="A24" s="224"/>
      <c r="B24" s="225"/>
      <c r="C24" s="226"/>
      <c r="D24" s="159" t="s">
        <v>236</v>
      </c>
      <c r="E24" s="206"/>
      <c r="F24" s="206"/>
      <c r="G24" s="206"/>
      <c r="H24" s="206"/>
      <c r="I24" s="206"/>
      <c r="J24" s="206"/>
      <c r="K24" s="206"/>
      <c r="L24" s="206"/>
      <c r="M24" s="206"/>
      <c r="N24" s="206"/>
      <c r="O24" s="206"/>
      <c r="P24" s="206"/>
      <c r="Q24" s="206"/>
      <c r="R24" s="206"/>
      <c r="S24" s="206"/>
      <c r="T24" s="206"/>
      <c r="U24" s="206"/>
      <c r="V24" s="206"/>
      <c r="W24" s="206"/>
      <c r="X24" s="206"/>
      <c r="Y24" s="206"/>
      <c r="Z24" s="206"/>
      <c r="AA24" s="206"/>
      <c r="AB24" s="206"/>
      <c r="AC24" s="206"/>
      <c r="AD24" s="206"/>
    </row>
    <row r="25" spans="1:30" x14ac:dyDescent="0.2">
      <c r="A25" s="224"/>
      <c r="B25" s="225"/>
      <c r="C25" s="226"/>
      <c r="D25" s="159" t="s">
        <v>237</v>
      </c>
      <c r="E25" s="206"/>
      <c r="F25" s="206"/>
      <c r="G25" s="206"/>
      <c r="H25" s="206"/>
      <c r="I25" s="206"/>
      <c r="J25" s="206"/>
      <c r="K25" s="206"/>
      <c r="L25" s="206"/>
      <c r="M25" s="206"/>
      <c r="N25" s="206"/>
      <c r="O25" s="206"/>
      <c r="P25" s="206"/>
      <c r="Q25" s="206"/>
      <c r="R25" s="206"/>
      <c r="S25" s="206"/>
      <c r="T25" s="206"/>
      <c r="U25" s="206"/>
      <c r="V25" s="206"/>
      <c r="W25" s="206"/>
      <c r="X25" s="206"/>
      <c r="Y25" s="206"/>
      <c r="Z25" s="206"/>
      <c r="AA25" s="206"/>
      <c r="AB25" s="206"/>
      <c r="AC25" s="206"/>
      <c r="AD25" s="206"/>
    </row>
    <row r="26" spans="1:30" x14ac:dyDescent="0.2">
      <c r="A26" s="227" t="s">
        <v>238</v>
      </c>
      <c r="B26" s="228" t="s">
        <v>206</v>
      </c>
      <c r="C26" s="229" t="s">
        <v>239</v>
      </c>
      <c r="D26" s="158" t="s">
        <v>240</v>
      </c>
      <c r="E26" s="206"/>
      <c r="F26" s="206"/>
      <c r="G26" s="206"/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206"/>
      <c r="S26" s="206"/>
      <c r="T26" s="206"/>
      <c r="U26" s="206"/>
      <c r="V26" s="206"/>
      <c r="W26" s="206"/>
      <c r="X26" s="206"/>
      <c r="Y26" s="206"/>
      <c r="Z26" s="206"/>
      <c r="AA26" s="206"/>
      <c r="AB26" s="206"/>
      <c r="AC26" s="206"/>
      <c r="AD26" s="206"/>
    </row>
    <row r="27" spans="1:30" x14ac:dyDescent="0.2">
      <c r="A27" s="227"/>
      <c r="B27" s="228"/>
      <c r="C27" s="229"/>
      <c r="D27" s="158" t="s">
        <v>241</v>
      </c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6"/>
      <c r="Q27" s="206"/>
      <c r="R27" s="206"/>
      <c r="S27" s="206"/>
      <c r="T27" s="206"/>
      <c r="U27" s="206"/>
      <c r="V27" s="206"/>
      <c r="W27" s="206"/>
      <c r="X27" s="206"/>
      <c r="Y27" s="206"/>
      <c r="Z27" s="206"/>
      <c r="AA27" s="206"/>
      <c r="AB27" s="206"/>
      <c r="AC27" s="206"/>
      <c r="AD27" s="206"/>
    </row>
    <row r="28" spans="1:30" x14ac:dyDescent="0.2">
      <c r="A28" s="227"/>
      <c r="B28" s="228"/>
      <c r="C28" s="229"/>
      <c r="D28" s="158" t="s">
        <v>242</v>
      </c>
      <c r="E28" s="206"/>
      <c r="F28" s="206"/>
      <c r="G28" s="206"/>
      <c r="H28" s="206"/>
      <c r="I28" s="206"/>
      <c r="J28" s="206"/>
      <c r="K28" s="206"/>
      <c r="L28" s="206"/>
      <c r="M28" s="206"/>
      <c r="N28" s="206"/>
      <c r="O28" s="206"/>
      <c r="P28" s="206"/>
      <c r="Q28" s="206"/>
      <c r="R28" s="206"/>
      <c r="S28" s="206"/>
      <c r="T28" s="206"/>
      <c r="U28" s="206"/>
      <c r="V28" s="206"/>
      <c r="W28" s="206"/>
      <c r="X28" s="206"/>
      <c r="Y28" s="206"/>
      <c r="Z28" s="206"/>
      <c r="AA28" s="206"/>
      <c r="AB28" s="206"/>
      <c r="AC28" s="206"/>
      <c r="AD28" s="206"/>
    </row>
    <row r="29" spans="1:30" x14ac:dyDescent="0.2">
      <c r="A29" s="227"/>
      <c r="B29" s="228"/>
      <c r="C29" s="229"/>
      <c r="D29" s="158" t="s">
        <v>243</v>
      </c>
      <c r="E29" s="206"/>
      <c r="F29" s="206"/>
      <c r="G29" s="206"/>
      <c r="H29" s="206"/>
      <c r="I29" s="206"/>
      <c r="J29" s="206"/>
      <c r="K29" s="206"/>
      <c r="L29" s="206"/>
      <c r="M29" s="206"/>
      <c r="N29" s="206"/>
      <c r="O29" s="206"/>
      <c r="P29" s="206"/>
      <c r="Q29" s="206"/>
      <c r="R29" s="206"/>
      <c r="S29" s="206"/>
      <c r="T29" s="206"/>
      <c r="U29" s="206"/>
      <c r="V29" s="206"/>
      <c r="W29" s="206"/>
      <c r="X29" s="206"/>
      <c r="Y29" s="206"/>
      <c r="Z29" s="206"/>
      <c r="AA29" s="206"/>
      <c r="AB29" s="206"/>
      <c r="AC29" s="206"/>
      <c r="AD29" s="206"/>
    </row>
    <row r="30" spans="1:30" x14ac:dyDescent="0.2">
      <c r="A30" s="227" t="s">
        <v>244</v>
      </c>
      <c r="B30" s="228" t="s">
        <v>245</v>
      </c>
      <c r="C30" s="229" t="s">
        <v>246</v>
      </c>
      <c r="D30" s="158" t="s">
        <v>247</v>
      </c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</row>
    <row r="31" spans="1:30" x14ac:dyDescent="0.2">
      <c r="A31" s="227"/>
      <c r="B31" s="228"/>
      <c r="C31" s="229"/>
      <c r="D31" s="158" t="s">
        <v>248</v>
      </c>
      <c r="E31" s="206"/>
      <c r="F31" s="206"/>
      <c r="G31" s="206"/>
      <c r="H31" s="206"/>
      <c r="I31" s="206"/>
      <c r="J31" s="206"/>
      <c r="K31" s="206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206"/>
      <c r="AA31" s="206"/>
      <c r="AB31" s="206"/>
      <c r="AC31" s="206"/>
      <c r="AD31" s="206"/>
    </row>
    <row r="32" spans="1:30" x14ac:dyDescent="0.2">
      <c r="A32" s="227"/>
      <c r="B32" s="228"/>
      <c r="C32" s="229"/>
      <c r="D32" s="158" t="s">
        <v>249</v>
      </c>
      <c r="E32" s="206"/>
      <c r="F32" s="206"/>
      <c r="G32" s="206"/>
      <c r="H32" s="206"/>
      <c r="I32" s="206"/>
      <c r="J32" s="206"/>
      <c r="K32" s="206"/>
      <c r="L32" s="206"/>
      <c r="M32" s="206"/>
      <c r="N32" s="206"/>
      <c r="O32" s="206"/>
      <c r="P32" s="206"/>
      <c r="Q32" s="206"/>
      <c r="R32" s="206"/>
      <c r="S32" s="206"/>
      <c r="T32" s="206"/>
      <c r="U32" s="206"/>
      <c r="V32" s="206"/>
      <c r="W32" s="206"/>
      <c r="X32" s="206"/>
      <c r="Y32" s="206"/>
      <c r="Z32" s="206"/>
      <c r="AA32" s="206"/>
      <c r="AB32" s="206"/>
      <c r="AC32" s="206"/>
      <c r="AD32" s="206"/>
    </row>
    <row r="33" spans="1:30" x14ac:dyDescent="0.2">
      <c r="A33" s="227"/>
      <c r="B33" s="228"/>
      <c r="C33" s="229"/>
      <c r="D33" s="158" t="s">
        <v>250</v>
      </c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6"/>
      <c r="X33" s="206"/>
      <c r="Y33" s="206"/>
      <c r="Z33" s="206"/>
      <c r="AA33" s="206"/>
      <c r="AB33" s="206"/>
      <c r="AC33" s="206"/>
      <c r="AD33" s="206"/>
    </row>
    <row r="34" spans="1:30" x14ac:dyDescent="0.2">
      <c r="A34" s="227" t="s">
        <v>251</v>
      </c>
      <c r="B34" s="228" t="s">
        <v>226</v>
      </c>
      <c r="C34" s="229" t="s">
        <v>252</v>
      </c>
      <c r="D34" s="158" t="s">
        <v>253</v>
      </c>
      <c r="E34" s="206"/>
      <c r="F34" s="206"/>
      <c r="G34" s="206"/>
      <c r="H34" s="206"/>
      <c r="I34" s="206"/>
      <c r="J34" s="206"/>
      <c r="K34" s="206"/>
      <c r="L34" s="206"/>
      <c r="M34" s="206"/>
      <c r="N34" s="206"/>
      <c r="O34" s="206"/>
      <c r="P34" s="206"/>
      <c r="Q34" s="206"/>
      <c r="R34" s="206"/>
      <c r="S34" s="206"/>
      <c r="T34" s="206"/>
      <c r="U34" s="206"/>
      <c r="V34" s="206"/>
      <c r="W34" s="206"/>
      <c r="X34" s="206"/>
      <c r="Y34" s="206"/>
      <c r="Z34" s="206"/>
      <c r="AA34" s="206"/>
      <c r="AB34" s="206"/>
      <c r="AC34" s="206"/>
      <c r="AD34" s="206"/>
    </row>
    <row r="35" spans="1:30" x14ac:dyDescent="0.2">
      <c r="A35" s="227"/>
      <c r="B35" s="228"/>
      <c r="C35" s="229"/>
      <c r="D35" s="158" t="s">
        <v>254</v>
      </c>
      <c r="E35" s="206"/>
      <c r="F35" s="206"/>
      <c r="G35" s="206"/>
      <c r="H35" s="206"/>
      <c r="I35" s="206"/>
      <c r="J35" s="206"/>
      <c r="K35" s="206"/>
      <c r="L35" s="206"/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Y35" s="206"/>
      <c r="Z35" s="206"/>
      <c r="AA35" s="206"/>
      <c r="AB35" s="206"/>
      <c r="AC35" s="206"/>
      <c r="AD35" s="206"/>
    </row>
    <row r="36" spans="1:30" x14ac:dyDescent="0.2">
      <c r="A36" s="227"/>
      <c r="B36" s="228"/>
      <c r="C36" s="229"/>
      <c r="D36" s="158" t="s">
        <v>255</v>
      </c>
      <c r="E36" s="206"/>
      <c r="F36" s="206"/>
      <c r="G36" s="206"/>
      <c r="H36" s="206"/>
      <c r="I36" s="206"/>
      <c r="J36" s="206"/>
      <c r="K36" s="206"/>
      <c r="L36" s="206"/>
      <c r="M36" s="206"/>
      <c r="N36" s="206"/>
      <c r="O36" s="206"/>
      <c r="P36" s="206"/>
      <c r="Q36" s="206"/>
      <c r="R36" s="206"/>
      <c r="S36" s="206"/>
      <c r="T36" s="206"/>
      <c r="U36" s="206"/>
      <c r="V36" s="206"/>
      <c r="W36" s="206"/>
      <c r="X36" s="206"/>
      <c r="Y36" s="206"/>
      <c r="Z36" s="206"/>
      <c r="AA36" s="206"/>
      <c r="AB36" s="206"/>
      <c r="AC36" s="206"/>
      <c r="AD36" s="206"/>
    </row>
    <row r="37" spans="1:30" x14ac:dyDescent="0.2">
      <c r="A37" s="227"/>
      <c r="B37" s="228"/>
      <c r="C37" s="229"/>
      <c r="D37" s="158" t="s">
        <v>256</v>
      </c>
      <c r="E37" s="206"/>
      <c r="F37" s="20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206"/>
      <c r="R37" s="206"/>
      <c r="S37" s="206"/>
      <c r="T37" s="206"/>
      <c r="U37" s="206"/>
      <c r="V37" s="206"/>
      <c r="W37" s="206"/>
      <c r="X37" s="206"/>
      <c r="Y37" s="206"/>
      <c r="Z37" s="206"/>
      <c r="AA37" s="206"/>
      <c r="AB37" s="206"/>
      <c r="AC37" s="206"/>
      <c r="AD37" s="206"/>
    </row>
    <row r="38" spans="1:30" x14ac:dyDescent="0.2">
      <c r="A38" s="227" t="s">
        <v>257</v>
      </c>
      <c r="B38" s="228" t="s">
        <v>245</v>
      </c>
      <c r="C38" s="229" t="s">
        <v>258</v>
      </c>
      <c r="D38" s="158" t="s">
        <v>259</v>
      </c>
      <c r="E38" s="206"/>
      <c r="F38" s="206"/>
      <c r="G38" s="206"/>
      <c r="H38" s="206"/>
      <c r="I38" s="206"/>
      <c r="J38" s="206"/>
      <c r="K38" s="206"/>
      <c r="L38" s="206"/>
      <c r="M38" s="206"/>
      <c r="N38" s="206"/>
      <c r="O38" s="206"/>
      <c r="P38" s="206"/>
      <c r="Q38" s="206"/>
      <c r="R38" s="206"/>
      <c r="S38" s="206"/>
      <c r="T38" s="206"/>
      <c r="U38" s="206"/>
      <c r="V38" s="206"/>
      <c r="W38" s="206"/>
      <c r="X38" s="206"/>
      <c r="Y38" s="206"/>
      <c r="Z38" s="206"/>
      <c r="AA38" s="206"/>
      <c r="AB38" s="206"/>
      <c r="AC38" s="206"/>
      <c r="AD38" s="206"/>
    </row>
    <row r="39" spans="1:30" x14ac:dyDescent="0.2">
      <c r="A39" s="227"/>
      <c r="B39" s="228"/>
      <c r="C39" s="229"/>
      <c r="D39" s="158" t="s">
        <v>260</v>
      </c>
      <c r="E39" s="206"/>
      <c r="F39" s="206"/>
      <c r="G39" s="206"/>
      <c r="H39" s="206"/>
      <c r="I39" s="206"/>
      <c r="J39" s="206"/>
      <c r="K39" s="206"/>
      <c r="L39" s="206"/>
      <c r="M39" s="206"/>
      <c r="N39" s="206"/>
      <c r="O39" s="206"/>
      <c r="P39" s="206"/>
      <c r="Q39" s="206"/>
      <c r="R39" s="206"/>
      <c r="S39" s="206"/>
      <c r="T39" s="206"/>
      <c r="U39" s="206"/>
      <c r="V39" s="206"/>
      <c r="W39" s="206"/>
      <c r="X39" s="206"/>
      <c r="Y39" s="206"/>
      <c r="Z39" s="206"/>
      <c r="AA39" s="206"/>
      <c r="AB39" s="206"/>
      <c r="AC39" s="206"/>
      <c r="AD39" s="206"/>
    </row>
    <row r="40" spans="1:30" x14ac:dyDescent="0.2">
      <c r="A40" s="227"/>
      <c r="B40" s="228"/>
      <c r="C40" s="229"/>
      <c r="D40" s="158" t="s">
        <v>261</v>
      </c>
      <c r="E40" s="206"/>
      <c r="F40" s="206"/>
      <c r="G40" s="206"/>
      <c r="H40" s="206"/>
      <c r="I40" s="206"/>
      <c r="J40" s="206"/>
      <c r="K40" s="206"/>
      <c r="L40" s="206"/>
      <c r="M40" s="206"/>
      <c r="N40" s="206"/>
      <c r="O40" s="206"/>
      <c r="P40" s="206"/>
      <c r="Q40" s="206"/>
      <c r="R40" s="206"/>
      <c r="S40" s="206"/>
      <c r="T40" s="206"/>
      <c r="U40" s="206"/>
      <c r="V40" s="206"/>
      <c r="W40" s="206"/>
      <c r="X40" s="206"/>
      <c r="Y40" s="206"/>
      <c r="Z40" s="206"/>
      <c r="AA40" s="206"/>
      <c r="AB40" s="206"/>
      <c r="AC40" s="206"/>
      <c r="AD40" s="206"/>
    </row>
    <row r="41" spans="1:30" x14ac:dyDescent="0.2">
      <c r="A41" s="227"/>
      <c r="B41" s="228"/>
      <c r="C41" s="229"/>
      <c r="D41" s="158" t="s">
        <v>262</v>
      </c>
      <c r="E41" s="206"/>
      <c r="F41" s="206"/>
      <c r="G41" s="206"/>
      <c r="H41" s="206"/>
      <c r="I41" s="206"/>
      <c r="J41" s="206"/>
      <c r="K41" s="206"/>
      <c r="L41" s="206"/>
      <c r="M41" s="206"/>
      <c r="N41" s="206"/>
      <c r="O41" s="206"/>
      <c r="P41" s="206"/>
      <c r="Q41" s="206"/>
      <c r="R41" s="206"/>
      <c r="S41" s="206"/>
      <c r="T41" s="206"/>
      <c r="U41" s="206"/>
      <c r="V41" s="206"/>
      <c r="W41" s="206"/>
      <c r="X41" s="206"/>
      <c r="Y41" s="206"/>
      <c r="Z41" s="206"/>
      <c r="AA41" s="206"/>
      <c r="AB41" s="206"/>
      <c r="AC41" s="206"/>
      <c r="AD41" s="206"/>
    </row>
    <row r="42" spans="1:30" x14ac:dyDescent="0.2">
      <c r="A42" s="159"/>
    </row>
  </sheetData>
  <mergeCells count="30">
    <mergeCell ref="A26:A29"/>
    <mergeCell ref="B26:B29"/>
    <mergeCell ref="C26:C29"/>
    <mergeCell ref="A30:A33"/>
    <mergeCell ref="B30:B33"/>
    <mergeCell ref="C30:C33"/>
    <mergeCell ref="A34:A37"/>
    <mergeCell ref="B34:B37"/>
    <mergeCell ref="C34:C37"/>
    <mergeCell ref="A38:A41"/>
    <mergeCell ref="B38:B41"/>
    <mergeCell ref="C38:C41"/>
    <mergeCell ref="A2:A5"/>
    <mergeCell ref="B2:B5"/>
    <mergeCell ref="C2:C5"/>
    <mergeCell ref="A6:A9"/>
    <mergeCell ref="B6:B9"/>
    <mergeCell ref="C6:C9"/>
    <mergeCell ref="A10:A13"/>
    <mergeCell ref="B10:B13"/>
    <mergeCell ref="C10:C13"/>
    <mergeCell ref="A14:A17"/>
    <mergeCell ref="B14:B17"/>
    <mergeCell ref="C14:C17"/>
    <mergeCell ref="A18:A21"/>
    <mergeCell ref="B18:B21"/>
    <mergeCell ref="C18:C21"/>
    <mergeCell ref="A22:A25"/>
    <mergeCell ref="B22:B25"/>
    <mergeCell ref="C22:C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4AF21-08AC-B44A-B41E-16E2F1EBACD0}">
  <dimension ref="A1:F27"/>
  <sheetViews>
    <sheetView zoomScale="120" zoomScaleNormal="120" workbookViewId="0">
      <selection activeCell="E10" sqref="E10"/>
    </sheetView>
  </sheetViews>
  <sheetFormatPr baseColWidth="10" defaultColWidth="11" defaultRowHeight="16" x14ac:dyDescent="0.2"/>
  <cols>
    <col min="1" max="1" width="14.1640625" style="157" customWidth="1"/>
    <col min="2" max="2" width="40.83203125" customWidth="1"/>
    <col min="3" max="3" width="14.5" style="157" customWidth="1"/>
    <col min="4" max="4" width="17.33203125" style="157" customWidth="1"/>
    <col min="5" max="5" width="10.83203125" style="157"/>
    <col min="6" max="6" width="85.5" customWidth="1"/>
  </cols>
  <sheetData>
    <row r="1" spans="1:6" ht="17" thickBot="1" x14ac:dyDescent="0.25">
      <c r="A1" s="156" t="s">
        <v>263</v>
      </c>
      <c r="B1" s="173" t="s">
        <v>264</v>
      </c>
      <c r="C1" s="178" t="s">
        <v>2</v>
      </c>
      <c r="D1" s="178" t="s">
        <v>265</v>
      </c>
      <c r="E1" s="178" t="s">
        <v>266</v>
      </c>
      <c r="F1" s="172" t="s">
        <v>267</v>
      </c>
    </row>
    <row r="2" spans="1:6" x14ac:dyDescent="0.2">
      <c r="A2" s="164" t="s">
        <v>268</v>
      </c>
      <c r="B2" s="174" t="s">
        <v>269</v>
      </c>
      <c r="C2" s="179" t="s">
        <v>226</v>
      </c>
      <c r="D2" s="179" t="s">
        <v>270</v>
      </c>
      <c r="E2" s="194" t="s">
        <v>85</v>
      </c>
      <c r="F2" s="165"/>
    </row>
    <row r="3" spans="1:6" x14ac:dyDescent="0.2">
      <c r="A3" s="166"/>
      <c r="B3" s="175" t="s">
        <v>271</v>
      </c>
      <c r="C3" s="180" t="s">
        <v>226</v>
      </c>
      <c r="D3" s="180" t="s">
        <v>270</v>
      </c>
      <c r="E3" s="194" t="s">
        <v>85</v>
      </c>
      <c r="F3" s="167"/>
    </row>
    <row r="4" spans="1:6" x14ac:dyDescent="0.2">
      <c r="A4" s="166"/>
      <c r="B4" s="175" t="s">
        <v>272</v>
      </c>
      <c r="C4" s="180" t="s">
        <v>206</v>
      </c>
      <c r="D4" s="180" t="s">
        <v>270</v>
      </c>
      <c r="E4" s="183" t="s">
        <v>85</v>
      </c>
      <c r="F4" s="167"/>
    </row>
    <row r="5" spans="1:6" ht="17" thickBot="1" x14ac:dyDescent="0.25">
      <c r="A5" s="168"/>
      <c r="B5" s="176" t="s">
        <v>273</v>
      </c>
      <c r="C5" s="181" t="s">
        <v>245</v>
      </c>
      <c r="D5" s="181" t="s">
        <v>274</v>
      </c>
      <c r="E5" s="183" t="s">
        <v>85</v>
      </c>
      <c r="F5" s="169"/>
    </row>
    <row r="6" spans="1:6" ht="17" thickBot="1" x14ac:dyDescent="0.25">
      <c r="B6" s="175"/>
      <c r="C6" s="180"/>
      <c r="D6" s="180"/>
      <c r="E6" s="180"/>
      <c r="F6" s="167"/>
    </row>
    <row r="7" spans="1:6" x14ac:dyDescent="0.2">
      <c r="A7" s="164" t="s">
        <v>275</v>
      </c>
      <c r="B7" s="174" t="s">
        <v>276</v>
      </c>
      <c r="C7" s="179" t="s">
        <v>206</v>
      </c>
      <c r="D7" s="179" t="s">
        <v>282</v>
      </c>
      <c r="E7" s="184" t="s">
        <v>325</v>
      </c>
      <c r="F7" s="165"/>
    </row>
    <row r="8" spans="1:6" ht="17" thickBot="1" x14ac:dyDescent="0.25">
      <c r="A8" s="168"/>
      <c r="B8" s="176" t="s">
        <v>277</v>
      </c>
      <c r="C8" s="181" t="s">
        <v>245</v>
      </c>
      <c r="D8" s="181" t="s">
        <v>274</v>
      </c>
      <c r="E8" s="183" t="s">
        <v>85</v>
      </c>
      <c r="F8" s="169"/>
    </row>
    <row r="9" spans="1:6" ht="17" thickBot="1" x14ac:dyDescent="0.25">
      <c r="B9" s="175"/>
      <c r="C9" s="180"/>
      <c r="D9" s="180"/>
      <c r="E9" s="180"/>
      <c r="F9" s="167"/>
    </row>
    <row r="10" spans="1:6" ht="17" thickBot="1" x14ac:dyDescent="0.25">
      <c r="A10" s="170" t="s">
        <v>278</v>
      </c>
      <c r="B10" s="177" t="s">
        <v>279</v>
      </c>
      <c r="C10" s="182" t="s">
        <v>245</v>
      </c>
      <c r="D10" s="182" t="s">
        <v>274</v>
      </c>
      <c r="E10" s="208"/>
      <c r="F10" s="171" t="s">
        <v>326</v>
      </c>
    </row>
    <row r="11" spans="1:6" ht="17" thickBot="1" x14ac:dyDescent="0.25">
      <c r="B11" s="175"/>
      <c r="C11" s="180"/>
      <c r="D11" s="180"/>
      <c r="E11" s="180"/>
      <c r="F11" s="167"/>
    </row>
    <row r="12" spans="1:6" ht="17" thickBot="1" x14ac:dyDescent="0.25">
      <c r="A12" s="170" t="s">
        <v>280</v>
      </c>
      <c r="B12" s="177" t="s">
        <v>281</v>
      </c>
      <c r="C12" s="182" t="s">
        <v>206</v>
      </c>
      <c r="D12" s="182" t="s">
        <v>282</v>
      </c>
      <c r="E12" s="185"/>
      <c r="F12" s="171"/>
    </row>
    <row r="13" spans="1:6" ht="17" thickBot="1" x14ac:dyDescent="0.25">
      <c r="B13" s="175"/>
      <c r="C13" s="180"/>
      <c r="D13" s="180"/>
      <c r="E13" s="180"/>
      <c r="F13" s="167"/>
    </row>
    <row r="14" spans="1:6" x14ac:dyDescent="0.2">
      <c r="A14" s="164" t="s">
        <v>283</v>
      </c>
      <c r="B14" s="174" t="s">
        <v>284</v>
      </c>
      <c r="C14" s="179" t="s">
        <v>63</v>
      </c>
      <c r="D14" s="179" t="s">
        <v>285</v>
      </c>
      <c r="E14" s="183" t="s">
        <v>85</v>
      </c>
      <c r="F14" s="165"/>
    </row>
    <row r="15" spans="1:6" x14ac:dyDescent="0.2">
      <c r="A15" s="166"/>
      <c r="B15" s="175" t="s">
        <v>286</v>
      </c>
      <c r="C15" s="180" t="s">
        <v>63</v>
      </c>
      <c r="D15" s="180" t="s">
        <v>285</v>
      </c>
      <c r="E15" s="186"/>
      <c r="F15" s="167"/>
    </row>
    <row r="16" spans="1:6" x14ac:dyDescent="0.2">
      <c r="A16" s="166"/>
      <c r="B16" s="175" t="s">
        <v>287</v>
      </c>
      <c r="C16" s="180" t="s">
        <v>63</v>
      </c>
      <c r="D16" s="180" t="s">
        <v>285</v>
      </c>
      <c r="E16" s="209"/>
      <c r="F16" s="167" t="s">
        <v>327</v>
      </c>
    </row>
    <row r="17" spans="1:6" x14ac:dyDescent="0.2">
      <c r="A17" s="166"/>
      <c r="B17" s="175"/>
      <c r="C17" s="180"/>
      <c r="D17" s="180"/>
      <c r="E17" s="180"/>
      <c r="F17" s="167"/>
    </row>
    <row r="18" spans="1:6" x14ac:dyDescent="0.2">
      <c r="A18" s="166"/>
      <c r="B18" s="175" t="s">
        <v>23</v>
      </c>
      <c r="C18" s="180" t="s">
        <v>206</v>
      </c>
      <c r="D18" s="180" t="s">
        <v>288</v>
      </c>
      <c r="E18" s="186"/>
      <c r="F18" s="167"/>
    </row>
    <row r="19" spans="1:6" x14ac:dyDescent="0.2">
      <c r="A19" s="166"/>
      <c r="B19" s="175" t="s">
        <v>28</v>
      </c>
      <c r="C19" s="180" t="s">
        <v>206</v>
      </c>
      <c r="D19" s="180" t="s">
        <v>288</v>
      </c>
      <c r="E19" s="186"/>
      <c r="F19" s="167"/>
    </row>
    <row r="20" spans="1:6" x14ac:dyDescent="0.2">
      <c r="A20" s="166"/>
      <c r="B20" s="175" t="s">
        <v>289</v>
      </c>
      <c r="C20" s="180" t="s">
        <v>206</v>
      </c>
      <c r="D20" s="180" t="s">
        <v>288</v>
      </c>
      <c r="E20" s="186"/>
      <c r="F20" s="167"/>
    </row>
    <row r="21" spans="1:6" x14ac:dyDescent="0.2">
      <c r="A21" s="166"/>
      <c r="B21" s="175" t="s">
        <v>33</v>
      </c>
      <c r="C21" s="180" t="s">
        <v>206</v>
      </c>
      <c r="D21" s="180" t="s">
        <v>288</v>
      </c>
      <c r="E21" s="186"/>
      <c r="F21" s="167"/>
    </row>
    <row r="22" spans="1:6" x14ac:dyDescent="0.2">
      <c r="A22" s="166"/>
      <c r="B22" s="175" t="s">
        <v>290</v>
      </c>
      <c r="C22" s="180" t="s">
        <v>206</v>
      </c>
      <c r="D22" s="180" t="s">
        <v>288</v>
      </c>
      <c r="E22" s="186"/>
      <c r="F22" s="167"/>
    </row>
    <row r="23" spans="1:6" x14ac:dyDescent="0.2">
      <c r="A23" s="166"/>
      <c r="B23" s="175" t="s">
        <v>135</v>
      </c>
      <c r="C23" s="180" t="s">
        <v>206</v>
      </c>
      <c r="D23" s="180" t="s">
        <v>288</v>
      </c>
      <c r="E23" s="186"/>
      <c r="F23" s="167"/>
    </row>
    <row r="24" spans="1:6" x14ac:dyDescent="0.2">
      <c r="A24" s="166"/>
      <c r="B24" s="175" t="s">
        <v>35</v>
      </c>
      <c r="C24" s="180" t="s">
        <v>206</v>
      </c>
      <c r="D24" s="180" t="s">
        <v>288</v>
      </c>
      <c r="E24" s="186"/>
      <c r="F24" s="167"/>
    </row>
    <row r="25" spans="1:6" x14ac:dyDescent="0.2">
      <c r="A25" s="166"/>
      <c r="B25" s="175"/>
      <c r="C25" s="180"/>
      <c r="D25" s="180"/>
      <c r="E25" s="180"/>
      <c r="F25" s="167"/>
    </row>
    <row r="26" spans="1:6" x14ac:dyDescent="0.2">
      <c r="A26" s="166"/>
      <c r="B26" s="175" t="s">
        <v>23</v>
      </c>
      <c r="C26" s="180" t="s">
        <v>206</v>
      </c>
      <c r="D26" s="180" t="s">
        <v>291</v>
      </c>
      <c r="E26" s="183" t="s">
        <v>85</v>
      </c>
      <c r="F26" s="167"/>
    </row>
    <row r="27" spans="1:6" ht="17" thickBot="1" x14ac:dyDescent="0.25">
      <c r="A27" s="168"/>
      <c r="B27" s="176" t="s">
        <v>28</v>
      </c>
      <c r="C27" s="181" t="s">
        <v>206</v>
      </c>
      <c r="D27" s="181" t="s">
        <v>291</v>
      </c>
      <c r="E27" s="183" t="s">
        <v>85</v>
      </c>
      <c r="F27" s="16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9FF64-E65E-8541-BE43-2FDC27C3E44C}">
  <dimension ref="A1:F25"/>
  <sheetViews>
    <sheetView zoomScale="120" zoomScaleNormal="120" workbookViewId="0">
      <selection activeCell="B25" sqref="B25"/>
    </sheetView>
  </sheetViews>
  <sheetFormatPr baseColWidth="10" defaultColWidth="11.1640625" defaultRowHeight="16" x14ac:dyDescent="0.2"/>
  <cols>
    <col min="2" max="2" width="79.33203125" customWidth="1"/>
    <col min="3" max="3" width="18.1640625" customWidth="1"/>
    <col min="4" max="4" width="17.83203125" style="157" customWidth="1"/>
    <col min="5" max="5" width="19" style="157" customWidth="1"/>
    <col min="6" max="6" width="15" style="157" customWidth="1"/>
  </cols>
  <sheetData>
    <row r="1" spans="1:6" x14ac:dyDescent="0.2">
      <c r="A1" t="s">
        <v>295</v>
      </c>
      <c r="B1" t="s">
        <v>296</v>
      </c>
      <c r="C1" t="s">
        <v>2</v>
      </c>
      <c r="D1" s="157" t="s">
        <v>323</v>
      </c>
      <c r="E1" s="157" t="s">
        <v>324</v>
      </c>
      <c r="F1" s="157" t="s">
        <v>163</v>
      </c>
    </row>
    <row r="3" spans="1:6" x14ac:dyDescent="0.2">
      <c r="A3" t="s">
        <v>297</v>
      </c>
      <c r="B3" t="s">
        <v>298</v>
      </c>
      <c r="C3" t="s">
        <v>206</v>
      </c>
      <c r="D3" s="196">
        <v>46027</v>
      </c>
      <c r="E3" s="196">
        <v>46028</v>
      </c>
      <c r="F3" s="200" t="s">
        <v>85</v>
      </c>
    </row>
    <row r="5" spans="1:6" x14ac:dyDescent="0.2">
      <c r="A5" t="s">
        <v>300</v>
      </c>
      <c r="B5" t="s">
        <v>301</v>
      </c>
      <c r="C5" t="s">
        <v>206</v>
      </c>
      <c r="D5" s="196">
        <v>46027</v>
      </c>
      <c r="E5" s="196">
        <v>46028</v>
      </c>
      <c r="F5" s="200" t="s">
        <v>85</v>
      </c>
    </row>
    <row r="7" spans="1:6" x14ac:dyDescent="0.2">
      <c r="A7" t="s">
        <v>302</v>
      </c>
      <c r="B7" t="s">
        <v>303</v>
      </c>
      <c r="C7" t="s">
        <v>206</v>
      </c>
      <c r="D7" s="196">
        <v>46027</v>
      </c>
      <c r="E7" s="196">
        <v>46028</v>
      </c>
      <c r="F7" s="200" t="s">
        <v>85</v>
      </c>
    </row>
    <row r="9" spans="1:6" x14ac:dyDescent="0.2">
      <c r="A9" t="s">
        <v>304</v>
      </c>
      <c r="B9" t="s">
        <v>307</v>
      </c>
      <c r="C9" t="s">
        <v>226</v>
      </c>
      <c r="D9" s="196">
        <v>46027</v>
      </c>
      <c r="E9" s="196">
        <v>46028</v>
      </c>
      <c r="F9" s="200" t="s">
        <v>85</v>
      </c>
    </row>
    <row r="11" spans="1:6" x14ac:dyDescent="0.2">
      <c r="A11" t="s">
        <v>305</v>
      </c>
      <c r="B11" t="s">
        <v>309</v>
      </c>
      <c r="C11" t="s">
        <v>245</v>
      </c>
      <c r="D11" s="196">
        <v>46027</v>
      </c>
      <c r="E11" s="196">
        <v>46028</v>
      </c>
      <c r="F11" s="199" t="s">
        <v>299</v>
      </c>
    </row>
    <row r="13" spans="1:6" x14ac:dyDescent="0.2">
      <c r="A13" t="s">
        <v>306</v>
      </c>
      <c r="B13" t="s">
        <v>312</v>
      </c>
      <c r="C13" t="s">
        <v>226</v>
      </c>
      <c r="D13" s="196">
        <v>46027</v>
      </c>
      <c r="E13" s="196">
        <v>46031</v>
      </c>
      <c r="F13" s="157" t="s">
        <v>325</v>
      </c>
    </row>
    <row r="15" spans="1:6" x14ac:dyDescent="0.2">
      <c r="A15" t="s">
        <v>308</v>
      </c>
      <c r="B15" t="s">
        <v>314</v>
      </c>
      <c r="C15" t="s">
        <v>315</v>
      </c>
      <c r="D15" s="196">
        <v>46027</v>
      </c>
      <c r="E15" s="196">
        <v>46029</v>
      </c>
      <c r="F15" s="198" t="s">
        <v>325</v>
      </c>
    </row>
    <row r="17" spans="1:6" x14ac:dyDescent="0.2">
      <c r="A17" t="s">
        <v>310</v>
      </c>
      <c r="B17" t="s">
        <v>317</v>
      </c>
      <c r="C17" t="s">
        <v>206</v>
      </c>
      <c r="D17" s="196">
        <v>46027</v>
      </c>
      <c r="E17" s="196">
        <v>46029</v>
      </c>
      <c r="F17" s="198" t="s">
        <v>325</v>
      </c>
    </row>
    <row r="19" spans="1:6" x14ac:dyDescent="0.2">
      <c r="A19" t="s">
        <v>311</v>
      </c>
      <c r="B19" t="s">
        <v>319</v>
      </c>
      <c r="C19" t="s">
        <v>206</v>
      </c>
      <c r="D19" s="196">
        <v>46027</v>
      </c>
      <c r="E19" s="196">
        <v>46031</v>
      </c>
      <c r="F19" s="200" t="s">
        <v>85</v>
      </c>
    </row>
    <row r="21" spans="1:6" x14ac:dyDescent="0.2">
      <c r="A21" t="s">
        <v>313</v>
      </c>
      <c r="B21" t="s">
        <v>320</v>
      </c>
      <c r="C21" t="s">
        <v>24</v>
      </c>
      <c r="D21" s="196">
        <v>46027</v>
      </c>
      <c r="E21" s="197">
        <v>46029.333333333336</v>
      </c>
      <c r="F21" s="198" t="s">
        <v>325</v>
      </c>
    </row>
    <row r="23" spans="1:6" x14ac:dyDescent="0.2">
      <c r="A23" t="s">
        <v>316</v>
      </c>
      <c r="B23" t="s">
        <v>321</v>
      </c>
      <c r="C23" t="s">
        <v>322</v>
      </c>
      <c r="D23" s="196">
        <v>46027</v>
      </c>
      <c r="E23" s="196">
        <v>46030</v>
      </c>
      <c r="F23" s="198" t="s">
        <v>299</v>
      </c>
    </row>
    <row r="25" spans="1:6" x14ac:dyDescent="0.2">
      <c r="A25" t="s">
        <v>318</v>
      </c>
      <c r="B25" t="s">
        <v>328</v>
      </c>
      <c r="C25" t="s">
        <v>206</v>
      </c>
      <c r="D25" s="196">
        <v>46027</v>
      </c>
      <c r="E25" s="196">
        <v>46029</v>
      </c>
      <c r="F25" s="198" t="s">
        <v>299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59B486E6B28947BC3E4B73EB621F6B" ma:contentTypeVersion="15" ma:contentTypeDescription="Create a new document." ma:contentTypeScope="" ma:versionID="d46f5404b242b04204b39d04c6aed7f0">
  <xsd:schema xmlns:xsd="http://www.w3.org/2001/XMLSchema" xmlns:xs="http://www.w3.org/2001/XMLSchema" xmlns:p="http://schemas.microsoft.com/office/2006/metadata/properties" xmlns:ns2="28d59f71-9170-46b4-931a-5cbcb1fcbfcf" xmlns:ns3="838ae39c-5010-4f29-8146-956ce781b083" targetNamespace="http://schemas.microsoft.com/office/2006/metadata/properties" ma:root="true" ma:fieldsID="1bc24b71cb2679491e7d2f525b0641f1" ns2:_="" ns3:_="">
    <xsd:import namespace="28d59f71-9170-46b4-931a-5cbcb1fcbfcf"/>
    <xsd:import namespace="838ae39c-5010-4f29-8146-956ce781b08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Notes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d59f71-9170-46b4-931a-5cbcb1fcbfc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7204578-a21f-4c43-94aa-bf9e016e583d}" ma:internalName="TaxCatchAll" ma:showField="CatchAllData" ma:web="28d59f71-9170-46b4-931a-5cbcb1fcbf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8ae39c-5010-4f29-8146-956ce781b0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Notes" ma:index="18" nillable="true" ma:displayName="Notes" ma:format="Dropdown" ma:internalName="Notes">
      <xsd:simpleType>
        <xsd:union memberTypes="dms:Text">
          <xsd:simpleType>
            <xsd:restriction base="dms:Choice">
              <xsd:enumeration value="Working Draft"/>
              <xsd:enumeration value="Submitted NH"/>
            </xsd:restriction>
          </xsd:simpleType>
        </xsd:un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528a49c-346e-40f3-ab4c-d055d90fb1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d59f71-9170-46b4-931a-5cbcb1fcbfcf" xsi:nil="true"/>
    <Notes xmlns="838ae39c-5010-4f29-8146-956ce781b083" xsi:nil="true"/>
    <lcf76f155ced4ddcb4097134ff3c332f xmlns="838ae39c-5010-4f29-8146-956ce781b08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0D8C84-A162-4E58-9A39-77FDA09D9F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d59f71-9170-46b4-931a-5cbcb1fcbfcf"/>
    <ds:schemaRef ds:uri="838ae39c-5010-4f29-8146-956ce781b0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D6F674-3DE4-46BB-A063-CA9885979B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943CE6-669E-450C-95E1-9D92111D77EC}">
  <ds:schemaRefs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838ae39c-5010-4f29-8146-956ce781b083"/>
    <ds:schemaRef ds:uri="28d59f71-9170-46b4-931a-5cbcb1fcbfcf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Work Plan</vt:lpstr>
      <vt:lpstr>Capacity</vt:lpstr>
      <vt:lpstr>Work Plan - Review SP (WIP)</vt:lpstr>
      <vt:lpstr>Teams Allocation</vt:lpstr>
      <vt:lpstr>MVP Meetings</vt:lpstr>
      <vt:lpstr>Work Plan V2</vt:lpstr>
      <vt:lpstr>Stage Gate Tracker</vt:lpstr>
      <vt:lpstr>Weekly 05-Jan</vt:lpstr>
      <vt:lpstr>Action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Minas Kamel</dc:creator>
  <cp:keywords/>
  <dc:description/>
  <cp:lastModifiedBy>Richard Casey</cp:lastModifiedBy>
  <cp:revision/>
  <dcterms:created xsi:type="dcterms:W3CDTF">2025-12-11T00:37:51Z</dcterms:created>
  <dcterms:modified xsi:type="dcterms:W3CDTF">2026-01-07T15:16:15Z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0x010100D659B486E6B28947BC3E4B73EB621F6B</vt:lpwstr>
  </property>
  <property fmtid="{D5CDD505-2E9C-101B-9397-08002B2CF9AE}" pid="3" name="MediaServiceImageTags">
    <vt:lpwstr/>
  </property>
</Properties>
</file>