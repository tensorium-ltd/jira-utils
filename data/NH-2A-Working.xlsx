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ichardcasey/Desktop/development-projects/plan-refactor/data/"/>
    </mc:Choice>
  </mc:AlternateContent>
  <xr:revisionPtr revIDLastSave="0" documentId="13_ncr:1_{7D585CEF-94D0-E942-AF47-565511430DB6}" xr6:coauthVersionLast="47" xr6:coauthVersionMax="47" xr10:uidLastSave="{00000000-0000-0000-0000-000000000000}"/>
  <bookViews>
    <workbookView xWindow="-30160" yWindow="-20980" windowWidth="37180" windowHeight="20320" activeTab="1" xr2:uid="{00000000-000D-0000-FFFF-FFFF00000000}"/>
  </bookViews>
  <sheets>
    <sheet name="Work Plan" sheetId="1" r:id="rId1"/>
    <sheet name="Work Plan V2" sheetId="7" r:id="rId2"/>
    <sheet name="Capacity" sheetId="2" r:id="rId3"/>
    <sheet name="Work Plan - Review SP (WIP)" sheetId="3" r:id="rId4"/>
    <sheet name="Teams Allocation" sheetId="5" r:id="rId5"/>
    <sheet name="MVP Meetings" sheetId="6" r:id="rId6"/>
  </sheets>
  <definedNames>
    <definedName name="_xlnm._FilterDatabase" localSheetId="0" hidden="1">'Work Plan'!$B$2:$CM$33</definedName>
    <definedName name="_xlnm._FilterDatabase" localSheetId="1" hidden="1">'Work Plan V2'!$B$2:$DF$30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RULuOHk2hpsi4p+ZwsVVCRD8MCY1+rmQwHFS40oSmc="/>
    </ext>
  </extLst>
</workbook>
</file>

<file path=xl/calcChain.xml><?xml version="1.0" encoding="utf-8"?>
<calcChain xmlns="http://schemas.openxmlformats.org/spreadsheetml/2006/main">
  <c r="DC30" i="7" l="1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Q19" i="7"/>
  <c r="J23" i="7"/>
  <c r="F23" i="7"/>
  <c r="H23" i="7" s="1"/>
  <c r="H22" i="7"/>
  <c r="I22" i="7" s="1"/>
  <c r="J22" i="7" s="1"/>
  <c r="F20" i="7"/>
  <c r="G20" i="7" s="1"/>
  <c r="I20" i="7" s="1"/>
  <c r="J20" i="7" s="1"/>
  <c r="F19" i="7"/>
  <c r="G19" i="7" s="1"/>
  <c r="I19" i="7" s="1"/>
  <c r="J19" i="7" s="1"/>
  <c r="F17" i="7"/>
  <c r="G17" i="7" s="1"/>
  <c r="I17" i="7" s="1"/>
  <c r="J17" i="7" s="1"/>
  <c r="G15" i="7"/>
  <c r="I15" i="7" s="1"/>
  <c r="J15" i="7" s="1"/>
  <c r="G13" i="7"/>
  <c r="I13" i="7" s="1"/>
  <c r="J13" i="7" s="1"/>
  <c r="G12" i="7"/>
  <c r="I12" i="7" s="1"/>
  <c r="J12" i="7" s="1"/>
  <c r="G11" i="7"/>
  <c r="F10" i="7"/>
  <c r="G10" i="7" s="1"/>
  <c r="I10" i="7" s="1"/>
  <c r="J10" i="7" s="1"/>
  <c r="G9" i="7"/>
  <c r="I9" i="7" s="1"/>
  <c r="J9" i="7" s="1"/>
  <c r="G7" i="7"/>
  <c r="I7" i="7" s="1"/>
  <c r="J7" i="7" s="1"/>
  <c r="G4" i="7"/>
  <c r="I4" i="7" s="1"/>
  <c r="J4" i="7" s="1"/>
  <c r="G3" i="7"/>
  <c r="I3" i="7" s="1"/>
  <c r="J3" i="7" s="1"/>
  <c r="G5" i="7"/>
  <c r="I5" i="7" s="1"/>
  <c r="J5" i="7" s="1"/>
  <c r="G6" i="7"/>
  <c r="I6" i="7" s="1"/>
  <c r="J6" i="7" s="1"/>
  <c r="G8" i="7"/>
  <c r="I8" i="7" s="1"/>
  <c r="J8" i="7" s="1"/>
  <c r="DE30" i="7"/>
  <c r="DD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M30" i="7"/>
  <c r="L30" i="7"/>
  <c r="DF29" i="7"/>
  <c r="Q29" i="7"/>
  <c r="P29" i="7"/>
  <c r="DF28" i="7"/>
  <c r="Q28" i="7"/>
  <c r="P28" i="7"/>
  <c r="DF27" i="7"/>
  <c r="Q27" i="7"/>
  <c r="P27" i="7"/>
  <c r="DF26" i="7"/>
  <c r="Q26" i="7"/>
  <c r="P26" i="7"/>
  <c r="DF25" i="7"/>
  <c r="Q25" i="7"/>
  <c r="P25" i="7"/>
  <c r="DF24" i="7"/>
  <c r="Q24" i="7"/>
  <c r="P24" i="7"/>
  <c r="DF23" i="7"/>
  <c r="Q23" i="7"/>
  <c r="P23" i="7"/>
  <c r="DF22" i="7"/>
  <c r="Q22" i="7"/>
  <c r="P22" i="7"/>
  <c r="DF21" i="7"/>
  <c r="Q21" i="7"/>
  <c r="P21" i="7"/>
  <c r="I21" i="7"/>
  <c r="J21" i="7" s="1"/>
  <c r="DF20" i="7"/>
  <c r="Q20" i="7"/>
  <c r="P20" i="7"/>
  <c r="DF19" i="7"/>
  <c r="P19" i="7"/>
  <c r="DF18" i="7"/>
  <c r="Q18" i="7"/>
  <c r="P18" i="7"/>
  <c r="I18" i="7"/>
  <c r="J18" i="7" s="1"/>
  <c r="DF17" i="7"/>
  <c r="Q17" i="7"/>
  <c r="P17" i="7"/>
  <c r="DF16" i="7"/>
  <c r="Q16" i="7"/>
  <c r="P16" i="7"/>
  <c r="I16" i="7"/>
  <c r="J16" i="7" s="1"/>
  <c r="DF15" i="7"/>
  <c r="Q15" i="7"/>
  <c r="P15" i="7"/>
  <c r="DF14" i="7"/>
  <c r="Q14" i="7"/>
  <c r="P14" i="7"/>
  <c r="I14" i="7"/>
  <c r="J14" i="7" s="1"/>
  <c r="DF13" i="7"/>
  <c r="Q13" i="7"/>
  <c r="P13" i="7"/>
  <c r="DF12" i="7"/>
  <c r="Q12" i="7"/>
  <c r="P12" i="7"/>
  <c r="DF11" i="7"/>
  <c r="Q11" i="7"/>
  <c r="P11" i="7"/>
  <c r="I11" i="7"/>
  <c r="J11" i="7" s="1"/>
  <c r="DF10" i="7"/>
  <c r="Q10" i="7"/>
  <c r="P10" i="7"/>
  <c r="DF9" i="7"/>
  <c r="Q9" i="7"/>
  <c r="P9" i="7"/>
  <c r="DF8" i="7"/>
  <c r="Q8" i="7"/>
  <c r="P8" i="7"/>
  <c r="DF7" i="7"/>
  <c r="Q7" i="7"/>
  <c r="P7" i="7"/>
  <c r="DF6" i="7"/>
  <c r="Q6" i="7"/>
  <c r="P6" i="7"/>
  <c r="DF5" i="7"/>
  <c r="Q5" i="7"/>
  <c r="P5" i="7"/>
  <c r="DF4" i="7"/>
  <c r="Q4" i="7"/>
  <c r="P4" i="7"/>
  <c r="DF3" i="7"/>
  <c r="Q3" i="7"/>
  <c r="P3" i="7"/>
  <c r="S2" i="7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4" i="1"/>
  <c r="P10" i="1"/>
  <c r="Q10" i="1"/>
  <c r="P11" i="1"/>
  <c r="Q11" i="1"/>
  <c r="Q9" i="1"/>
  <c r="P9" i="1"/>
  <c r="Q8" i="1"/>
  <c r="P8" i="1"/>
  <c r="Q7" i="1"/>
  <c r="P7" i="1"/>
  <c r="Q6" i="1"/>
  <c r="P6" i="1"/>
  <c r="Q5" i="1"/>
  <c r="P5" i="1"/>
  <c r="Q4" i="1"/>
  <c r="P4" i="1"/>
  <c r="M33" i="1"/>
  <c r="M3" i="1"/>
  <c r="N33" i="1" s="1"/>
  <c r="J3" i="1"/>
  <c r="P3" i="1"/>
  <c r="Q3" i="1"/>
  <c r="CM3" i="1"/>
  <c r="L33" i="1"/>
  <c r="D3" i="2"/>
  <c r="D2" i="2"/>
  <c r="C3" i="2"/>
  <c r="C2" i="2"/>
  <c r="C10" i="5"/>
  <c r="C8" i="5"/>
  <c r="C9" i="5" s="1"/>
  <c r="Q13" i="1"/>
  <c r="DF30" i="7" l="1"/>
  <c r="CK2" i="7"/>
  <c r="CL2" i="7"/>
  <c r="CM2" i="7" s="1"/>
  <c r="CN2" i="7" s="1"/>
  <c r="CO2" i="7" s="1"/>
  <c r="CP2" i="7" s="1"/>
  <c r="CQ2" i="7" s="1"/>
  <c r="N30" i="7"/>
  <c r="P30" i="7"/>
  <c r="Q30" i="7"/>
  <c r="CM33" i="1"/>
  <c r="E20" i="5"/>
  <c r="E25" i="5"/>
  <c r="E19" i="5"/>
  <c r="E24" i="5"/>
  <c r="E15" i="5"/>
  <c r="E14" i="5"/>
  <c r="G14" i="5" s="1"/>
  <c r="E28" i="5"/>
  <c r="E33" i="5"/>
  <c r="E34" i="5"/>
  <c r="E17" i="5"/>
  <c r="E16" i="5"/>
  <c r="E32" i="5"/>
  <c r="E22" i="5"/>
  <c r="E21" i="5"/>
  <c r="E31" i="5"/>
  <c r="E30" i="5"/>
  <c r="E27" i="5"/>
  <c r="E12" i="5"/>
  <c r="G12" i="5" s="1"/>
  <c r="M25" i="3"/>
  <c r="L25" i="3"/>
  <c r="I3" i="3"/>
  <c r="J3" i="3"/>
  <c r="O3" i="3"/>
  <c r="I4" i="3"/>
  <c r="J4" i="3" s="1"/>
  <c r="O4" i="3"/>
  <c r="I5" i="3"/>
  <c r="J5" i="3" s="1"/>
  <c r="O5" i="3"/>
  <c r="I6" i="3"/>
  <c r="J6" i="3"/>
  <c r="O6" i="3"/>
  <c r="I7" i="3"/>
  <c r="J7" i="3" s="1"/>
  <c r="O7" i="3"/>
  <c r="I8" i="3"/>
  <c r="J8" i="3"/>
  <c r="O8" i="3"/>
  <c r="I9" i="3"/>
  <c r="J9" i="3"/>
  <c r="O9" i="3"/>
  <c r="O10" i="3"/>
  <c r="I11" i="3"/>
  <c r="J11" i="3"/>
  <c r="O11" i="3"/>
  <c r="I12" i="3"/>
  <c r="J12" i="3"/>
  <c r="O12" i="3"/>
  <c r="I13" i="3"/>
  <c r="J13" i="3"/>
  <c r="O13" i="3"/>
  <c r="I14" i="3"/>
  <c r="J14" i="3"/>
  <c r="O14" i="3"/>
  <c r="I15" i="3"/>
  <c r="J15" i="3"/>
  <c r="O15" i="3"/>
  <c r="I16" i="3"/>
  <c r="J16" i="3"/>
  <c r="O16" i="3"/>
  <c r="I17" i="3"/>
  <c r="J17" i="3"/>
  <c r="O17" i="3"/>
  <c r="O18" i="3"/>
  <c r="O19" i="3"/>
  <c r="O20" i="3"/>
  <c r="O21" i="3"/>
  <c r="O22" i="3"/>
  <c r="O23" i="3"/>
  <c r="O24" i="3"/>
  <c r="CR2" i="7" l="1"/>
  <c r="CS2" i="7"/>
  <c r="CT2" i="7" s="1"/>
  <c r="CU2" i="7" s="1"/>
  <c r="CV2" i="7" s="1"/>
  <c r="CW2" i="7" s="1"/>
  <c r="CX2" i="7" s="1"/>
  <c r="G19" i="5"/>
  <c r="G30" i="5"/>
  <c r="G27" i="5"/>
  <c r="O25" i="3"/>
  <c r="CY2" i="7" l="1"/>
  <c r="CZ2" i="7"/>
  <c r="DA2" i="7"/>
  <c r="DB2" i="7" s="1"/>
  <c r="DC2" i="7" s="1"/>
  <c r="DD2" i="7" s="1"/>
  <c r="DE2" i="7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I15" i="1"/>
  <c r="J15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6" i="1"/>
  <c r="J16" i="1" s="1"/>
  <c r="I17" i="1"/>
  <c r="J17" i="1" s="1"/>
  <c r="I12" i="1"/>
  <c r="J12" i="1" s="1"/>
  <c r="I13" i="1"/>
  <c r="J13" i="1" s="1"/>
  <c r="I14" i="1"/>
  <c r="J14" i="1" s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Q33" i="1" l="1"/>
  <c r="BX2" i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B3" authorId="0" shapeId="0" xr:uid="{69ED9F75-8944-49DF-AD02-AE13995FAC23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  <comment ref="C20" authorId="0" shapeId="0" xr:uid="{CCBA0613-C122-45B2-80C6-E11986160E81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7" authorId="0" shapeId="0" xr:uid="{E91A77FB-FA61-4745-A992-0BE6DE328920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" authorId="0" shapeId="0" xr:uid="{E46C1A49-31AB-49D9-B1D2-3367EA9211E7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Assumption: Teams do 25 points a day
</t>
        </r>
      </text>
    </comment>
    <comment ref="C12" authorId="0" shapeId="0" xr:uid="{5D602C8D-9078-4B88-B34B-FC4E44EAE43D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</commentList>
</comments>
</file>

<file path=xl/sharedStrings.xml><?xml version="1.0" encoding="utf-8"?>
<sst xmlns="http://schemas.openxmlformats.org/spreadsheetml/2006/main" count="1236" uniqueCount="180">
  <si>
    <t>Design Due Dates</t>
  </si>
  <si>
    <t xml:space="preserve">  Workstream</t>
  </si>
  <si>
    <t>Owner</t>
  </si>
  <si>
    <t>NH upfront clarifcation needed?</t>
  </si>
  <si>
    <t xml:space="preserve">PRD (sent to NH for review)   </t>
  </si>
  <si>
    <t>NH Sign Off</t>
  </si>
  <si>
    <t>VIGO: UI/UX Design</t>
  </si>
  <si>
    <t>Internal: UI/UX Design</t>
  </si>
  <si>
    <t>SA (Technical Solution Design)</t>
  </si>
  <si>
    <t>All Design Activities Due Date</t>
  </si>
  <si>
    <t>Epics</t>
  </si>
  <si>
    <t>Original Estimate</t>
  </si>
  <si>
    <t>Updated Estimate</t>
  </si>
  <si>
    <t>Priority</t>
  </si>
  <si>
    <t>Allocated Team</t>
  </si>
  <si>
    <t>Team Days  (current 25SP/d)</t>
  </si>
  <si>
    <t>Team Days (Uplifted 30SP/d)</t>
  </si>
  <si>
    <t>Total</t>
  </si>
  <si>
    <t>Estimate Build – Carbon (incl. EPD)</t>
  </si>
  <si>
    <t>Venkatesh &amp; Funsho</t>
  </si>
  <si>
    <t xml:space="preserve"> </t>
  </si>
  <si>
    <t>VER10-8954, VER10-9428, VER10-9464, VER10-9527, VER10-9523</t>
  </si>
  <si>
    <t>2 x Teams</t>
  </si>
  <si>
    <t>Carbon Resource Library</t>
  </si>
  <si>
    <t xml:space="preserve">Team 1  </t>
  </si>
  <si>
    <t>X</t>
  </si>
  <si>
    <t>F</t>
  </si>
  <si>
    <t>Carbon Item Library</t>
  </si>
  <si>
    <t>Team  4</t>
  </si>
  <si>
    <t>UnLk</t>
  </si>
  <si>
    <t>WBS Carbon &amp; Calc</t>
  </si>
  <si>
    <t>Team 4</t>
  </si>
  <si>
    <t>Baseline Assumption</t>
  </si>
  <si>
    <t>Team 1</t>
  </si>
  <si>
    <t>EPD</t>
  </si>
  <si>
    <t>Cost to Carbon Library</t>
  </si>
  <si>
    <t>Auto-Allocate</t>
  </si>
  <si>
    <t>Carbon Reports</t>
  </si>
  <si>
    <t>?</t>
  </si>
  <si>
    <t>Team 3</t>
  </si>
  <si>
    <t xml:space="preserve"> Interim Forecasting Tool (incl EPD)</t>
  </si>
  <si>
    <t>Venkatesh</t>
  </si>
  <si>
    <t>N/A</t>
  </si>
  <si>
    <t xml:space="preserve">VER10-8678, VER10-8680, VER10-8682, VER10-8858,, VER10-8679, VER10-8921, VER10-9049,, VER10-9128, </t>
  </si>
  <si>
    <t xml:space="preserve"> Long-Term Appraisal</t>
  </si>
  <si>
    <t>Funsho</t>
  </si>
  <si>
    <t>Fri 12 Dec 2025 (Done on time)</t>
  </si>
  <si>
    <t>VER10-8565</t>
  </si>
  <si>
    <t>Team 2</t>
  </si>
  <si>
    <t xml:space="preserve">Comparator </t>
  </si>
  <si>
    <t>Y</t>
  </si>
  <si>
    <t>19/12/2025 (Done on time)</t>
  </si>
  <si>
    <t>VER10-8953</t>
  </si>
  <si>
    <t>Team 5</t>
  </si>
  <si>
    <t>Workflow </t>
  </si>
  <si>
    <t>Wed 17 Dec 2025 (1 day delay)</t>
  </si>
  <si>
    <t>VER10-9028</t>
  </si>
  <si>
    <t>Tasks</t>
  </si>
  <si>
    <t>VER10-9027</t>
  </si>
  <si>
    <t>Portfolio/Programme Risk</t>
  </si>
  <si>
    <t>VER10-9494</t>
  </si>
  <si>
    <t>Calculators/Cost Models (Chapter 10)</t>
  </si>
  <si>
    <t>Minas</t>
  </si>
  <si>
    <t>Thu 18 Dec 2025 (Done on time)</t>
  </si>
  <si>
    <t>No Epic</t>
  </si>
  <si>
    <t>Scenario Analysis (Chapter 7)</t>
  </si>
  <si>
    <t>Venkatesh? (TBC)</t>
  </si>
  <si>
    <t>Fri, 13 Feb 2026</t>
  </si>
  <si>
    <t>Fri, 20 Feb 2026</t>
  </si>
  <si>
    <t>VER10-8958</t>
  </si>
  <si>
    <t>Star Rates</t>
  </si>
  <si>
    <t>Minas? (TBC)</t>
  </si>
  <si>
    <t>TPE</t>
  </si>
  <si>
    <t>VER10-9184</t>
  </si>
  <si>
    <t>Dashboards (Power BI)</t>
  </si>
  <si>
    <t>Fri, 16 Jan 2026 (Original 24/12/2025)</t>
  </si>
  <si>
    <t>Wed, 21 Jan 2026 (Original 31/12/2025)</t>
  </si>
  <si>
    <t>Dashboard Team</t>
  </si>
  <si>
    <t>Contractor Fee Library</t>
  </si>
  <si>
    <t>VER10-9271</t>
  </si>
  <si>
    <t>System Access</t>
  </si>
  <si>
    <t>Audit Log</t>
  </si>
  <si>
    <t>VER10-8955</t>
  </si>
  <si>
    <t>WBS Tags and Custom Fields</t>
  </si>
  <si>
    <t>Done</t>
  </si>
  <si>
    <t>VER10-8916, VER10-8268</t>
  </si>
  <si>
    <t>Need Estimate</t>
  </si>
  <si>
    <t>Reporting Foundation Admin</t>
  </si>
  <si>
    <t>VER10-8476</t>
  </si>
  <si>
    <t>Inflation</t>
  </si>
  <si>
    <t>VER10-8903, VER10-8570</t>
  </si>
  <si>
    <t>AR and O&amp;M fixed reports</t>
  </si>
  <si>
    <t>VER10-7878, VER10-7879</t>
  </si>
  <si>
    <t>CCESS</t>
  </si>
  <si>
    <t>VER10-6966</t>
  </si>
  <si>
    <t>per week</t>
  </si>
  <si>
    <t>whole team</t>
  </si>
  <si>
    <t>Required per team per day</t>
  </si>
  <si>
    <t>Ideal per team per day</t>
  </si>
  <si>
    <t>Story Point Estimate for Dev</t>
  </si>
  <si>
    <t>Assumed Estimate</t>
  </si>
  <si>
    <t>Estimate Build – Carbon</t>
  </si>
  <si>
    <t xml:space="preserve"> Interim Forecasting Tool</t>
  </si>
  <si>
    <t># points / week</t>
  </si>
  <si>
    <t>Team 1
Venkatesh &amp; Sunjeet (3 devs)</t>
  </si>
  <si>
    <t>Regression/UAT</t>
  </si>
  <si>
    <t>UAT</t>
  </si>
  <si>
    <t>Team 2
Minas &amp; Manish (3 devs)</t>
  </si>
  <si>
    <t>Team 3
Minas &amp; Vivek (2 devs)</t>
  </si>
  <si>
    <t>Team 4
Venkatesh &amp; Amit (4 devs)</t>
  </si>
  <si>
    <t>Team 5
Minas &amp; Laurence (2 devs)</t>
  </si>
  <si>
    <t>TOTAL</t>
  </si>
  <si>
    <t>To deliver 1500 points (weeks)</t>
  </si>
  <si>
    <t>To deliver 1500 points in 9 weeks (SP per week)</t>
  </si>
  <si>
    <t>Team</t>
  </si>
  <si>
    <t>Epic</t>
  </si>
  <si>
    <t>Reduced Estimate</t>
  </si>
  <si>
    <t># weeks</t>
  </si>
  <si>
    <t>Dependent On</t>
  </si>
  <si>
    <t>Extra Weeks</t>
  </si>
  <si>
    <t>Team 1
Venkatesh &amp; Sunjeet</t>
  </si>
  <si>
    <t>Carbon (incl EPD, Auto Allocate)</t>
  </si>
  <si>
    <t>Team 2
Minas &amp; Manish</t>
  </si>
  <si>
    <t>LTA</t>
  </si>
  <si>
    <t>Carbon</t>
  </si>
  <si>
    <t>IFT?</t>
  </si>
  <si>
    <t>Team 3
Minas &amp; Vivek</t>
  </si>
  <si>
    <t>Carbon &amp; Reporting Foundation Admin</t>
  </si>
  <si>
    <t>Carbon Report</t>
  </si>
  <si>
    <t>Workflow</t>
  </si>
  <si>
    <t>Team 4
Venkatesh &amp; Amit</t>
  </si>
  <si>
    <t>Supply Chain - Interim Forecasting Tool</t>
  </si>
  <si>
    <t>Team 5
Minas &amp; Laurence</t>
  </si>
  <si>
    <t>Calculators/Cost Models</t>
  </si>
  <si>
    <t>Scenario Analysis</t>
  </si>
  <si>
    <t>Comparator</t>
  </si>
  <si>
    <t>Work Streams</t>
  </si>
  <si>
    <t>Jonny?</t>
  </si>
  <si>
    <t>Topic</t>
  </si>
  <si>
    <t>Meeting (UK timezone)</t>
  </si>
  <si>
    <t>Meeting (AU timezone)</t>
  </si>
  <si>
    <t>Notes</t>
  </si>
  <si>
    <t>EPD/Cost to Carbon Factor</t>
  </si>
  <si>
    <t>Tue 23rd Dec 10PM-11PM</t>
  </si>
  <si>
    <t>Wed 24th Dec 9AM-10AM</t>
  </si>
  <si>
    <t>Meeting done</t>
  </si>
  <si>
    <t>Wed 24th Dec 8AM-9:30AM</t>
  </si>
  <si>
    <t>Wed24th Dec 7PM-8:30PM</t>
  </si>
  <si>
    <t>TPE &amp; Auto Allocate (Cost &amp; Carbon)</t>
  </si>
  <si>
    <t>Sun 28th Dec 10PM-11:30PM</t>
  </si>
  <si>
    <t>Mon 29th Dec 9AM-10:30AM</t>
  </si>
  <si>
    <t>Mon 29th Dec 7AM-8:30AM</t>
  </si>
  <si>
    <t>Mon 29th Dec 6PM-7:30PM</t>
  </si>
  <si>
    <t>Supply Chain - Interim Forecasting Tool (incl EPD)</t>
  </si>
  <si>
    <t>Venkatesh needs meeting with NH</t>
  </si>
  <si>
    <t>UK</t>
  </si>
  <si>
    <t>AU</t>
  </si>
  <si>
    <t>Status</t>
  </si>
  <si>
    <t>Mark's avail.</t>
  </si>
  <si>
    <t>Wed 24th Dec UK morning</t>
  </si>
  <si>
    <t>Wed 24th AU evening</t>
  </si>
  <si>
    <t>Taken</t>
  </si>
  <si>
    <t>Sat 27th Dec 7AM-9AM</t>
  </si>
  <si>
    <t>Sat 27th Dec 6PM-8PM</t>
  </si>
  <si>
    <t>Sun 28th Dec 7AM-9AM</t>
  </si>
  <si>
    <t>Sun 28th Dec 6PM-8PM</t>
  </si>
  <si>
    <t>Mon 29th Dec 7AM-9AM</t>
  </si>
  <si>
    <t>Mon 29th Dec 6PM-8PM</t>
  </si>
  <si>
    <t>Mon 29th Dec 10PM-11:30PM</t>
  </si>
  <si>
    <t>Tue 30th Dec 9AM-10:30AM</t>
  </si>
  <si>
    <t>After MVP deadline (Mon 29th)</t>
  </si>
  <si>
    <t>Fri 2nd Jan UK morning</t>
  </si>
  <si>
    <t>Fri 2nd Jan AU evening</t>
  </si>
  <si>
    <t>Team Work Days (8 SP pd)</t>
  </si>
  <si>
    <t xml:space="preserve">Fri 12 Dec 2025 </t>
  </si>
  <si>
    <t>Wed 17 Dec 2025</t>
  </si>
  <si>
    <t>Fri 12 Dec 2025</t>
  </si>
  <si>
    <t xml:space="preserve">Thu 18 Dec 2025 </t>
  </si>
  <si>
    <t>Team 1 and 4</t>
  </si>
  <si>
    <t>Team Work Days (7 SP 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</si>
</sst>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d\,\ d\ mmm\ yyyy"/>
    <numFmt numFmtId="165" formatCode="0.0"/>
  </numFmts>
  <fonts count="47"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</font>
    <font>
      <b/>
      <sz val="9"/>
      <color theme="1"/>
      <name val="Aptos"/>
    </font>
    <font>
      <sz val="12"/>
      <name val="Aptos Narrow"/>
    </font>
    <font>
      <b/>
      <sz val="8"/>
      <color rgb="FFFFFFFF"/>
      <name val="Aptos"/>
    </font>
    <font>
      <sz val="8"/>
      <color theme="1"/>
      <name val="Aptos"/>
    </font>
    <font>
      <sz val="8"/>
      <color rgb="FF000000"/>
      <name val="Aptos"/>
    </font>
    <font>
      <sz val="8"/>
      <color rgb="FF000000"/>
      <name val="Arial"/>
      <family val="2"/>
    </font>
    <font>
      <sz val="8"/>
      <color rgb="FF006100"/>
      <name val="Aptos"/>
    </font>
    <font>
      <sz val="8"/>
      <color theme="9"/>
      <name val="Arial"/>
      <family val="2"/>
    </font>
    <font>
      <b/>
      <sz val="8"/>
      <color rgb="FF000000"/>
      <name val="Aptos"/>
    </font>
    <font>
      <b/>
      <sz val="6"/>
      <color rgb="FFFFFFFF"/>
      <name val="Aptos"/>
    </font>
    <font>
      <sz val="8"/>
      <color rgb="FFFF0000"/>
      <name val="Arial"/>
      <family val="2"/>
    </font>
    <font>
      <sz val="8"/>
      <color rgb="FFFF0000"/>
      <name val="Aptos"/>
      <family val="2"/>
    </font>
    <font>
      <sz val="8"/>
      <color theme="1"/>
      <name val="Arial"/>
      <family val="2"/>
    </font>
    <font>
      <sz val="12"/>
      <color theme="1"/>
      <name val="Aptos Narrow"/>
      <family val="2"/>
    </font>
    <font>
      <b/>
      <sz val="9"/>
      <color theme="1"/>
      <name val="Aptos"/>
      <family val="2"/>
    </font>
    <font>
      <sz val="12"/>
      <name val="Aptos Narrow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  <font>
      <b/>
      <sz val="8"/>
      <color rgb="FF000000"/>
      <name val="Aptos"/>
      <family val="2"/>
    </font>
    <font>
      <sz val="8"/>
      <color rgb="FF0061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scheme val="minor"/>
    </font>
    <font>
      <sz val="11"/>
      <color theme="1"/>
      <name val="Aptos"/>
    </font>
    <font>
      <sz val="11"/>
      <color rgb="FFE8E8E8"/>
      <name val="Aptos Narrow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trike/>
      <sz val="8"/>
      <color rgb="FF000000"/>
      <name val="Aptos"/>
      <family val="2"/>
    </font>
    <font>
      <sz val="8"/>
      <color rgb="FFFF0000"/>
      <name val="Aptos"/>
    </font>
    <font>
      <sz val="8"/>
      <color theme="1"/>
      <name val="Aptos Narrow"/>
      <scheme val="minor"/>
    </font>
    <font>
      <i/>
      <sz val="8"/>
      <color rgb="FFFF0000"/>
      <name val="Aptos"/>
      <family val="2"/>
    </font>
    <font>
      <b/>
      <sz val="8"/>
      <color theme="1"/>
      <name val="Aptos"/>
    </font>
    <font>
      <b/>
      <sz val="8"/>
      <color theme="1"/>
      <name val="Aptos Narrow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B8BCD2"/>
        <bgColor rgb="FFB8BCD2"/>
      </patternFill>
    </fill>
    <fill>
      <patternFill patternType="solid">
        <fgColor rgb="FF4F577A"/>
        <bgColor rgb="FF4F577A"/>
      </patternFill>
    </fill>
    <fill>
      <patternFill patternType="solid">
        <fgColor rgb="FFE9EAEC"/>
        <bgColor rgb="FFE9EAEC"/>
      </patternFill>
    </fill>
    <fill>
      <patternFill patternType="solid">
        <fgColor theme="0"/>
        <bgColor theme="0"/>
      </patternFill>
    </fill>
    <fill>
      <patternFill patternType="solid">
        <fgColor rgb="FF83DFB6"/>
        <bgColor rgb="FF83DFB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4F577A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F2F2"/>
        <bgColor indexed="64"/>
      </patternFill>
    </fill>
    <fill>
      <patternFill patternType="solid">
        <fgColor rgb="FFFFC000"/>
        <bgColor rgb="FFE9EAEC"/>
      </patternFill>
    </fill>
    <fill>
      <patternFill patternType="solid">
        <fgColor theme="9"/>
        <bgColor rgb="FFE9EAEC"/>
      </patternFill>
    </fill>
    <fill>
      <patternFill patternType="solid">
        <fgColor theme="9"/>
        <bgColor rgb="FF83DFB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83DFB6"/>
      </patternFill>
    </fill>
    <fill>
      <patternFill patternType="solid">
        <fgColor theme="9" tint="0.59999389629810485"/>
        <bgColor rgb="FFE9EAEC"/>
      </patternFill>
    </fill>
  </fills>
  <borders count="15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164" fontId="7" fillId="4" borderId="5" xfId="0" applyNumberFormat="1" applyFont="1" applyFill="1" applyBorder="1" applyAlignment="1">
      <alignment horizontal="center" wrapText="1" readingOrder="1"/>
    </xf>
    <xf numFmtId="164" fontId="8" fillId="4" borderId="5" xfId="0" applyNumberFormat="1" applyFont="1" applyFill="1" applyBorder="1" applyAlignment="1">
      <alignment horizont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left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164" fontId="7" fillId="5" borderId="5" xfId="0" applyNumberFormat="1" applyFont="1" applyFill="1" applyBorder="1" applyAlignment="1">
      <alignment horizont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wrapText="1" readingOrder="1"/>
    </xf>
    <xf numFmtId="0" fontId="4" fillId="0" borderId="2" xfId="0" applyFont="1" applyBorder="1"/>
    <xf numFmtId="1" fontId="7" fillId="4" borderId="5" xfId="0" applyNumberFormat="1" applyFont="1" applyFill="1" applyBorder="1" applyAlignment="1">
      <alignment horizontal="center" wrapText="1" readingOrder="1"/>
    </xf>
    <xf numFmtId="1" fontId="7" fillId="5" borderId="5" xfId="0" applyNumberFormat="1" applyFont="1" applyFill="1" applyBorder="1" applyAlignment="1">
      <alignment horizontal="center" wrapText="1" readingOrder="1"/>
    </xf>
    <xf numFmtId="164" fontId="6" fillId="4" borderId="5" xfId="0" applyNumberFormat="1" applyFont="1" applyFill="1" applyBorder="1" applyAlignment="1">
      <alignment horizontal="center" wrapText="1" readingOrder="1"/>
    </xf>
    <xf numFmtId="1" fontId="6" fillId="4" borderId="5" xfId="0" applyNumberFormat="1" applyFont="1" applyFill="1" applyBorder="1" applyAlignment="1">
      <alignment horizontal="center" wrapText="1" readingOrder="1"/>
    </xf>
    <xf numFmtId="0" fontId="6" fillId="4" borderId="6" xfId="0" applyFont="1" applyFill="1" applyBorder="1" applyAlignment="1">
      <alignment horizontal="left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1" fontId="7" fillId="4" borderId="7" xfId="0" applyNumberFormat="1" applyFont="1" applyFill="1" applyBorder="1" applyAlignment="1">
      <alignment horizontal="center" wrapText="1" readingOrder="1"/>
    </xf>
    <xf numFmtId="0" fontId="0" fillId="7" borderId="8" xfId="0" applyFill="1" applyBorder="1"/>
    <xf numFmtId="0" fontId="2" fillId="7" borderId="9" xfId="0" applyFont="1" applyFill="1" applyBorder="1" applyAlignment="1">
      <alignment horizontal="center" vertical="center"/>
    </xf>
    <xf numFmtId="0" fontId="0" fillId="7" borderId="9" xfId="0" applyFill="1" applyBorder="1"/>
    <xf numFmtId="1" fontId="0" fillId="7" borderId="10" xfId="0" applyNumberForma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 wrapText="1" readingOrder="1"/>
    </xf>
    <xf numFmtId="16" fontId="5" fillId="3" borderId="3" xfId="0" applyNumberFormat="1" applyFont="1" applyFill="1" applyBorder="1" applyAlignment="1">
      <alignment horizontal="center" vertical="center" wrapText="1" readingOrder="1"/>
    </xf>
    <xf numFmtId="16" fontId="12" fillId="3" borderId="3" xfId="0" applyNumberFormat="1" applyFont="1" applyFill="1" applyBorder="1" applyAlignment="1">
      <alignment horizontal="center" vertical="center" wrapText="1" readingOrder="1"/>
    </xf>
    <xf numFmtId="16" fontId="12" fillId="8" borderId="3" xfId="0" applyNumberFormat="1" applyFont="1" applyFill="1" applyBorder="1" applyAlignment="1">
      <alignment horizontal="center" vertical="center" wrapText="1" readingOrder="1"/>
    </xf>
    <xf numFmtId="164" fontId="13" fillId="4" borderId="5" xfId="0" applyNumberFormat="1" applyFont="1" applyFill="1" applyBorder="1" applyAlignment="1">
      <alignment horizontal="center" wrapText="1" readingOrder="1"/>
    </xf>
    <xf numFmtId="164" fontId="14" fillId="4" borderId="5" xfId="0" applyNumberFormat="1" applyFont="1" applyFill="1" applyBorder="1" applyAlignment="1">
      <alignment horizontal="center" wrapText="1" readingOrder="1"/>
    </xf>
    <xf numFmtId="164" fontId="7" fillId="9" borderId="5" xfId="0" applyNumberFormat="1" applyFont="1" applyFill="1" applyBorder="1" applyAlignment="1">
      <alignment horizontal="center" wrapText="1" readingOrder="1"/>
    </xf>
    <xf numFmtId="164" fontId="10" fillId="10" borderId="5" xfId="0" applyNumberFormat="1" applyFont="1" applyFill="1" applyBorder="1" applyAlignment="1">
      <alignment horizontal="center" wrapText="1" readingOrder="1"/>
    </xf>
    <xf numFmtId="164" fontId="15" fillId="4" borderId="5" xfId="0" applyNumberFormat="1" applyFont="1" applyFill="1" applyBorder="1" applyAlignment="1">
      <alignment horizontal="center" wrapText="1" readingOrder="1"/>
    </xf>
    <xf numFmtId="0" fontId="16" fillId="0" borderId="0" xfId="0" applyFont="1" applyAlignment="1">
      <alignment horizontal="center" vertical="center"/>
    </xf>
    <xf numFmtId="0" fontId="18" fillId="0" borderId="2" xfId="0" applyFont="1" applyBorder="1"/>
    <xf numFmtId="0" fontId="17" fillId="2" borderId="2" xfId="0" applyFont="1" applyFill="1" applyBorder="1" applyAlignment="1">
      <alignment horizontal="center" vertical="center" wrapText="1" readingOrder="1"/>
    </xf>
    <xf numFmtId="0" fontId="19" fillId="3" borderId="3" xfId="0" applyFont="1" applyFill="1" applyBorder="1" applyAlignment="1">
      <alignment horizontal="left" vertical="center" wrapText="1" readingOrder="1"/>
    </xf>
    <xf numFmtId="0" fontId="19" fillId="3" borderId="3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left" vertical="center" wrapText="1" readingOrder="1"/>
    </xf>
    <xf numFmtId="0" fontId="20" fillId="4" borderId="5" xfId="0" applyFont="1" applyFill="1" applyBorder="1" applyAlignment="1">
      <alignment horizontal="center" vertical="center" wrapText="1" readingOrder="1"/>
    </xf>
    <xf numFmtId="164" fontId="21" fillId="4" borderId="5" xfId="0" applyNumberFormat="1" applyFont="1" applyFill="1" applyBorder="1" applyAlignment="1">
      <alignment horizontal="center" wrapText="1" readingOrder="1"/>
    </xf>
    <xf numFmtId="164" fontId="22" fillId="4" borderId="5" xfId="0" applyNumberFormat="1" applyFont="1" applyFill="1" applyBorder="1" applyAlignment="1">
      <alignment horizontal="center" wrapText="1" readingOrder="1"/>
    </xf>
    <xf numFmtId="1" fontId="21" fillId="4" borderId="5" xfId="0" applyNumberFormat="1" applyFont="1" applyFill="1" applyBorder="1" applyAlignment="1">
      <alignment horizontal="center" wrapText="1" readingOrder="1"/>
    </xf>
    <xf numFmtId="0" fontId="23" fillId="6" borderId="4" xfId="0" applyFont="1" applyFill="1" applyBorder="1" applyAlignment="1">
      <alignment horizontal="center" vertical="center" wrapText="1" readingOrder="1"/>
    </xf>
    <xf numFmtId="164" fontId="21" fillId="9" borderId="5" xfId="0" applyNumberFormat="1" applyFont="1" applyFill="1" applyBorder="1" applyAlignment="1">
      <alignment horizontal="center" wrapText="1" readingOrder="1"/>
    </xf>
    <xf numFmtId="0" fontId="21" fillId="4" borderId="5" xfId="0" applyFont="1" applyFill="1" applyBorder="1" applyAlignment="1">
      <alignment horizontal="center" vertical="center" wrapText="1" readingOrder="1"/>
    </xf>
    <xf numFmtId="0" fontId="20" fillId="5" borderId="4" xfId="0" applyFont="1" applyFill="1" applyBorder="1" applyAlignment="1">
      <alignment horizontal="left" vertical="center" wrapText="1" readingOrder="1"/>
    </xf>
    <xf numFmtId="0" fontId="20" fillId="5" borderId="5" xfId="0" applyFont="1" applyFill="1" applyBorder="1" applyAlignment="1">
      <alignment horizontal="center" vertical="center" wrapText="1" readingOrder="1"/>
    </xf>
    <xf numFmtId="164" fontId="21" fillId="5" borderId="5" xfId="0" applyNumberFormat="1" applyFont="1" applyFill="1" applyBorder="1" applyAlignment="1">
      <alignment horizontal="center" wrapText="1" readingOrder="1"/>
    </xf>
    <xf numFmtId="1" fontId="21" fillId="5" borderId="5" xfId="0" applyNumberFormat="1" applyFont="1" applyFill="1" applyBorder="1" applyAlignment="1">
      <alignment horizontal="center" wrapText="1" readingOrder="1"/>
    </xf>
    <xf numFmtId="164" fontId="20" fillId="4" borderId="5" xfId="0" applyNumberFormat="1" applyFont="1" applyFill="1" applyBorder="1" applyAlignment="1">
      <alignment horizontal="center" wrapText="1" readingOrder="1"/>
    </xf>
    <xf numFmtId="1" fontId="20" fillId="4" borderId="5" xfId="0" applyNumberFormat="1" applyFont="1" applyFill="1" applyBorder="1" applyAlignment="1">
      <alignment horizontal="center" wrapText="1" readingOrder="1"/>
    </xf>
    <xf numFmtId="0" fontId="23" fillId="6" borderId="5" xfId="0" applyFont="1" applyFill="1" applyBorder="1" applyAlignment="1">
      <alignment horizont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0" fillId="4" borderId="6" xfId="0" applyFont="1" applyFill="1" applyBorder="1" applyAlignment="1">
      <alignment horizontal="left" vertical="center" wrapText="1" readingOrder="1"/>
    </xf>
    <xf numFmtId="0" fontId="20" fillId="4" borderId="6" xfId="0" applyFont="1" applyFill="1" applyBorder="1" applyAlignment="1">
      <alignment horizontal="center" vertical="center" wrapText="1" readingOrder="1"/>
    </xf>
    <xf numFmtId="0" fontId="23" fillId="6" borderId="6" xfId="0" applyFont="1" applyFill="1" applyBorder="1" applyAlignment="1">
      <alignment horizontal="center" vertical="center" wrapText="1" readingOrder="1"/>
    </xf>
    <xf numFmtId="0" fontId="23" fillId="6" borderId="7" xfId="0" applyFont="1" applyFill="1" applyBorder="1" applyAlignment="1">
      <alignment horizontal="center" wrapText="1" readingOrder="1"/>
    </xf>
    <xf numFmtId="1" fontId="21" fillId="4" borderId="7" xfId="0" applyNumberFormat="1" applyFont="1" applyFill="1" applyBorder="1" applyAlignment="1">
      <alignment horizontal="center" wrapText="1" readingOrder="1"/>
    </xf>
    <xf numFmtId="0" fontId="16" fillId="7" borderId="9" xfId="0" applyFont="1" applyFill="1" applyBorder="1" applyAlignment="1">
      <alignment horizontal="center" vertical="center"/>
    </xf>
    <xf numFmtId="1" fontId="0" fillId="7" borderId="9" xfId="0" applyNumberFormat="1" applyFill="1" applyBorder="1"/>
    <xf numFmtId="164" fontId="7" fillId="11" borderId="5" xfId="0" applyNumberFormat="1" applyFont="1" applyFill="1" applyBorder="1" applyAlignment="1">
      <alignment horizontal="center" wrapText="1" readingOrder="1"/>
    </xf>
    <xf numFmtId="164" fontId="21" fillId="11" borderId="5" xfId="0" applyNumberFormat="1" applyFont="1" applyFill="1" applyBorder="1" applyAlignment="1">
      <alignment horizontal="center" wrapText="1" readingOrder="1"/>
    </xf>
    <xf numFmtId="0" fontId="26" fillId="13" borderId="12" xfId="0" applyFont="1" applyFill="1" applyBorder="1" applyAlignment="1">
      <alignment horizontal="center" vertical="center" wrapText="1"/>
    </xf>
    <xf numFmtId="0" fontId="26" fillId="14" borderId="12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 applyAlignment="1">
      <alignment horizontal="left" vertical="center" wrapText="1" readingOrder="1"/>
    </xf>
    <xf numFmtId="0" fontId="0" fillId="15" borderId="0" xfId="0" applyFill="1"/>
    <xf numFmtId="16" fontId="31" fillId="16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left" vertical="center" wrapText="1" readingOrder="1"/>
    </xf>
    <xf numFmtId="0" fontId="26" fillId="0" borderId="0" xfId="0" applyFont="1"/>
    <xf numFmtId="0" fontId="33" fillId="0" borderId="0" xfId="0" applyFont="1" applyAlignment="1">
      <alignment horizontal="left" vertical="center" wrapText="1" readingOrder="1"/>
    </xf>
    <xf numFmtId="1" fontId="34" fillId="0" borderId="0" xfId="0" applyNumberFormat="1" applyFont="1" applyAlignment="1">
      <alignment horizontal="center" wrapText="1" readingOrder="1"/>
    </xf>
    <xf numFmtId="0" fontId="35" fillId="0" borderId="0" xfId="0" applyFont="1"/>
    <xf numFmtId="0" fontId="0" fillId="17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12" borderId="11" xfId="0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7" fillId="12" borderId="11" xfId="0" applyFont="1" applyFill="1" applyBorder="1" applyAlignment="1">
      <alignment horizontal="left" vertical="center" wrapText="1"/>
    </xf>
    <xf numFmtId="0" fontId="37" fillId="13" borderId="11" xfId="0" applyFont="1" applyFill="1" applyBorder="1" applyAlignment="1">
      <alignment horizontal="left" vertical="center" wrapText="1"/>
    </xf>
    <xf numFmtId="0" fontId="32" fillId="14" borderId="11" xfId="0" applyFont="1" applyFill="1" applyBorder="1" applyAlignment="1">
      <alignment horizontal="left" vertical="center" wrapText="1" readingOrder="1"/>
    </xf>
    <xf numFmtId="0" fontId="32" fillId="18" borderId="12" xfId="0" applyFont="1" applyFill="1" applyBorder="1" applyAlignment="1">
      <alignment horizontal="left" vertical="center" wrapText="1" readingOrder="1"/>
    </xf>
    <xf numFmtId="0" fontId="37" fillId="0" borderId="11" xfId="0" applyFont="1" applyBorder="1" applyAlignment="1">
      <alignment wrapText="1"/>
    </xf>
    <xf numFmtId="0" fontId="37" fillId="11" borderId="11" xfId="0" applyFont="1" applyFill="1" applyBorder="1" applyAlignment="1">
      <alignment horizontal="left" vertical="center" wrapText="1"/>
    </xf>
    <xf numFmtId="0" fontId="37" fillId="12" borderId="11" xfId="0" applyFont="1" applyFill="1" applyBorder="1" applyAlignment="1">
      <alignment horizontal="left" vertical="center"/>
    </xf>
    <xf numFmtId="0" fontId="37" fillId="13" borderId="11" xfId="0" applyFont="1" applyFill="1" applyBorder="1" applyAlignment="1">
      <alignment horizontal="left" vertical="center"/>
    </xf>
    <xf numFmtId="1" fontId="38" fillId="14" borderId="11" xfId="0" applyNumberFormat="1" applyFont="1" applyFill="1" applyBorder="1" applyAlignment="1">
      <alignment horizontal="left" vertical="center" wrapText="1" readingOrder="1"/>
    </xf>
    <xf numFmtId="1" fontId="38" fillId="18" borderId="12" xfId="0" applyNumberFormat="1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horizontal="left" vertical="center"/>
    </xf>
    <xf numFmtId="0" fontId="37" fillId="0" borderId="0" xfId="0" applyFont="1"/>
    <xf numFmtId="0" fontId="1" fillId="13" borderId="11" xfId="0" applyFont="1" applyFill="1" applyBorder="1" applyAlignment="1">
      <alignment horizontal="left" vertical="center" wrapText="1"/>
    </xf>
    <xf numFmtId="0" fontId="1" fillId="13" borderId="11" xfId="0" applyFont="1" applyFill="1" applyBorder="1" applyAlignment="1">
      <alignment horizontal="left" vertical="center"/>
    </xf>
    <xf numFmtId="0" fontId="39" fillId="12" borderId="11" xfId="0" applyFont="1" applyFill="1" applyBorder="1" applyAlignment="1">
      <alignment horizontal="left" vertical="center" wrapText="1" readingOrder="1"/>
    </xf>
    <xf numFmtId="1" fontId="40" fillId="12" borderId="11" xfId="0" applyNumberFormat="1" applyFont="1" applyFill="1" applyBorder="1" applyAlignment="1">
      <alignment horizontal="left" vertical="center" wrapText="1" readingOrder="1"/>
    </xf>
    <xf numFmtId="0" fontId="36" fillId="13" borderId="11" xfId="0" applyFont="1" applyFill="1" applyBorder="1" applyAlignment="1">
      <alignment horizontal="left" vertical="center" wrapText="1"/>
    </xf>
    <xf numFmtId="0" fontId="36" fillId="13" borderId="11" xfId="0" applyFont="1" applyFill="1" applyBorder="1" applyAlignment="1">
      <alignment horizontal="left" vertical="center"/>
    </xf>
    <xf numFmtId="0" fontId="39" fillId="18" borderId="12" xfId="0" applyFont="1" applyFill="1" applyBorder="1" applyAlignment="1">
      <alignment horizontal="left" vertical="center" wrapText="1" readingOrder="1"/>
    </xf>
    <xf numFmtId="1" fontId="40" fillId="18" borderId="12" xfId="0" applyNumberFormat="1" applyFont="1" applyFill="1" applyBorder="1" applyAlignment="1">
      <alignment horizontal="left" vertical="center" wrapText="1" readingOrder="1"/>
    </xf>
    <xf numFmtId="165" fontId="37" fillId="11" borderId="11" xfId="0" applyNumberFormat="1" applyFont="1" applyFill="1" applyBorder="1" applyAlignment="1">
      <alignment horizontal="left" vertical="center"/>
    </xf>
    <xf numFmtId="165" fontId="36" fillId="12" borderId="11" xfId="0" applyNumberFormat="1" applyFont="1" applyFill="1" applyBorder="1" applyAlignment="1">
      <alignment horizontal="left" vertical="center"/>
    </xf>
    <xf numFmtId="165" fontId="37" fillId="12" borderId="11" xfId="0" applyNumberFormat="1" applyFont="1" applyFill="1" applyBorder="1" applyAlignment="1">
      <alignment horizontal="left" vertical="center"/>
    </xf>
    <xf numFmtId="165" fontId="37" fillId="13" borderId="11" xfId="0" applyNumberFormat="1" applyFont="1" applyFill="1" applyBorder="1" applyAlignment="1">
      <alignment horizontal="left" vertical="center"/>
    </xf>
    <xf numFmtId="165" fontId="36" fillId="13" borderId="11" xfId="0" applyNumberFormat="1" applyFont="1" applyFill="1" applyBorder="1" applyAlignment="1">
      <alignment horizontal="left" vertical="center"/>
    </xf>
    <xf numFmtId="165" fontId="37" fillId="14" borderId="11" xfId="0" applyNumberFormat="1" applyFont="1" applyFill="1" applyBorder="1" applyAlignment="1">
      <alignment horizontal="left" vertical="center"/>
    </xf>
    <xf numFmtId="165" fontId="1" fillId="14" borderId="11" xfId="0" applyNumberFormat="1" applyFont="1" applyFill="1" applyBorder="1" applyAlignment="1">
      <alignment horizontal="left" vertical="center"/>
    </xf>
    <xf numFmtId="165" fontId="36" fillId="18" borderId="12" xfId="0" applyNumberFormat="1" applyFont="1" applyFill="1" applyBorder="1" applyAlignment="1">
      <alignment horizontal="left" vertical="center"/>
    </xf>
    <xf numFmtId="165" fontId="37" fillId="18" borderId="12" xfId="0" applyNumberFormat="1" applyFont="1" applyFill="1" applyBorder="1" applyAlignment="1">
      <alignment horizontal="left" vertical="center"/>
    </xf>
    <xf numFmtId="165" fontId="1" fillId="13" borderId="11" xfId="0" applyNumberFormat="1" applyFont="1" applyFill="1" applyBorder="1" applyAlignment="1">
      <alignment horizontal="left" vertical="center"/>
    </xf>
    <xf numFmtId="0" fontId="39" fillId="11" borderId="11" xfId="0" applyFont="1" applyFill="1" applyBorder="1" applyAlignment="1">
      <alignment horizontal="left" vertical="center" wrapText="1" readingOrder="1"/>
    </xf>
    <xf numFmtId="1" fontId="40" fillId="11" borderId="11" xfId="0" applyNumberFormat="1" applyFont="1" applyFill="1" applyBorder="1" applyAlignment="1">
      <alignment horizontal="left" vertical="center" wrapText="1" readingOrder="1"/>
    </xf>
    <xf numFmtId="165" fontId="36" fillId="11" borderId="11" xfId="0" applyNumberFormat="1" applyFont="1" applyFill="1" applyBorder="1" applyAlignment="1">
      <alignment horizontal="left" vertical="center"/>
    </xf>
    <xf numFmtId="0" fontId="36" fillId="11" borderId="0" xfId="0" applyFont="1" applyFill="1" applyAlignment="1">
      <alignment horizontal="left" vertical="center" wrapText="1"/>
    </xf>
    <xf numFmtId="0" fontId="36" fillId="11" borderId="11" xfId="0" applyFont="1" applyFill="1" applyBorder="1" applyAlignment="1">
      <alignment horizontal="left" vertical="center"/>
    </xf>
    <xf numFmtId="1" fontId="38" fillId="19" borderId="11" xfId="0" applyNumberFormat="1" applyFont="1" applyFill="1" applyBorder="1" applyAlignment="1">
      <alignment horizontal="left" vertical="center" wrapText="1" readingOrder="1"/>
    </xf>
    <xf numFmtId="1" fontId="14" fillId="4" borderId="5" xfId="0" applyNumberFormat="1" applyFont="1" applyFill="1" applyBorder="1" applyAlignment="1">
      <alignment horizontal="center" wrapText="1" readingOrder="1"/>
    </xf>
    <xf numFmtId="1" fontId="41" fillId="4" borderId="5" xfId="0" applyNumberFormat="1" applyFont="1" applyFill="1" applyBorder="1" applyAlignment="1">
      <alignment horizontal="center" wrapText="1" readingOrder="1"/>
    </xf>
    <xf numFmtId="164" fontId="42" fillId="9" borderId="5" xfId="0" applyNumberFormat="1" applyFont="1" applyFill="1" applyBorder="1" applyAlignment="1">
      <alignment horizontal="center" wrapText="1" readingOrder="1"/>
    </xf>
    <xf numFmtId="1" fontId="7" fillId="20" borderId="5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164" fontId="7" fillId="20" borderId="5" xfId="0" applyNumberFormat="1" applyFont="1" applyFill="1" applyBorder="1" applyAlignment="1">
      <alignment horizontal="center" wrapText="1" readingOrder="1"/>
    </xf>
    <xf numFmtId="0" fontId="43" fillId="21" borderId="0" xfId="0" applyFont="1" applyFill="1" applyAlignment="1">
      <alignment horizontal="left" indent="2"/>
    </xf>
    <xf numFmtId="0" fontId="43" fillId="0" borderId="0" xfId="0" applyFont="1" applyAlignment="1">
      <alignment horizontal="left" indent="2"/>
    </xf>
    <xf numFmtId="1" fontId="44" fillId="4" borderId="5" xfId="0" applyNumberFormat="1" applyFont="1" applyFill="1" applyBorder="1" applyAlignment="1">
      <alignment horizontal="center" wrapText="1" readingOrder="1"/>
    </xf>
    <xf numFmtId="1" fontId="42" fillId="4" borderId="5" xfId="0" applyNumberFormat="1" applyFont="1" applyFill="1" applyBorder="1" applyAlignment="1">
      <alignment horizontal="center" wrapText="1" readingOrder="1"/>
    </xf>
    <xf numFmtId="0" fontId="6" fillId="19" borderId="4" xfId="0" applyFont="1" applyFill="1" applyBorder="1" applyAlignment="1">
      <alignment horizontal="left" vertical="center" wrapText="1" readingOrder="1"/>
    </xf>
    <xf numFmtId="0" fontId="6" fillId="19" borderId="5" xfId="0" applyFont="1" applyFill="1" applyBorder="1" applyAlignment="1">
      <alignment horizontal="center" vertical="center" wrapText="1" readingOrder="1"/>
    </xf>
    <xf numFmtId="0" fontId="9" fillId="19" borderId="4" xfId="0" applyFont="1" applyFill="1" applyBorder="1" applyAlignment="1">
      <alignment horizontal="center" vertical="center" wrapText="1" readingOrder="1"/>
    </xf>
    <xf numFmtId="164" fontId="7" fillId="19" borderId="5" xfId="0" applyNumberFormat="1" applyFont="1" applyFill="1" applyBorder="1" applyAlignment="1">
      <alignment horizontal="center" wrapText="1" readingOrder="1"/>
    </xf>
    <xf numFmtId="164" fontId="8" fillId="19" borderId="5" xfId="0" applyNumberFormat="1" applyFont="1" applyFill="1" applyBorder="1" applyAlignment="1">
      <alignment horizontal="center" wrapText="1" readingOrder="1"/>
    </xf>
    <xf numFmtId="164" fontId="11" fillId="19" borderId="5" xfId="0" applyNumberFormat="1" applyFont="1" applyFill="1" applyBorder="1" applyAlignment="1">
      <alignment horizontal="center" wrapText="1" readingOrder="1"/>
    </xf>
    <xf numFmtId="1" fontId="21" fillId="19" borderId="5" xfId="0" applyNumberFormat="1" applyFont="1" applyFill="1" applyBorder="1" applyAlignment="1">
      <alignment horizontal="center" wrapText="1" readingOrder="1"/>
    </xf>
    <xf numFmtId="1" fontId="7" fillId="19" borderId="5" xfId="0" applyNumberFormat="1" applyFont="1" applyFill="1" applyBorder="1" applyAlignment="1">
      <alignment horizontal="center" wrapText="1" readingOrder="1"/>
    </xf>
    <xf numFmtId="0" fontId="0" fillId="19" borderId="0" xfId="0" applyFill="1"/>
    <xf numFmtId="1" fontId="41" fillId="19" borderId="5" xfId="0" applyNumberFormat="1" applyFont="1" applyFill="1" applyBorder="1" applyAlignment="1">
      <alignment horizontal="center" wrapText="1" readingOrder="1"/>
    </xf>
    <xf numFmtId="1" fontId="6" fillId="22" borderId="5" xfId="0" applyNumberFormat="1" applyFont="1" applyFill="1" applyBorder="1" applyAlignment="1">
      <alignment horizontal="center" wrapText="1" readingOrder="1"/>
    </xf>
    <xf numFmtId="1" fontId="7" fillId="23" borderId="5" xfId="0" applyNumberFormat="1" applyFont="1" applyFill="1" applyBorder="1" applyAlignment="1">
      <alignment horizontal="center" wrapText="1" readingOrder="1"/>
    </xf>
    <xf numFmtId="0" fontId="45" fillId="4" borderId="4" xfId="0" applyFont="1" applyFill="1" applyBorder="1" applyAlignment="1">
      <alignment horizontal="left" vertical="center" wrapText="1" readingOrder="1"/>
    </xf>
    <xf numFmtId="164" fontId="6" fillId="7" borderId="5" xfId="0" applyNumberFormat="1" applyFont="1" applyFill="1" applyBorder="1" applyAlignment="1">
      <alignment horizontal="center" wrapText="1" readingOrder="1"/>
    </xf>
    <xf numFmtId="164" fontId="7" fillId="7" borderId="5" xfId="0" applyNumberFormat="1" applyFont="1" applyFill="1" applyBorder="1" applyAlignment="1">
      <alignment horizontal="center" wrapText="1" readingOrder="1"/>
    </xf>
    <xf numFmtId="0" fontId="6" fillId="24" borderId="4" xfId="0" applyFont="1" applyFill="1" applyBorder="1" applyAlignment="1">
      <alignment horizontal="center" vertical="center" wrapText="1" readingOrder="1"/>
    </xf>
    <xf numFmtId="0" fontId="46" fillId="25" borderId="0" xfId="0" applyFont="1" applyFill="1" applyAlignment="1">
      <alignment horizontal="left"/>
    </xf>
    <xf numFmtId="0" fontId="6" fillId="22" borderId="4" xfId="0" applyFont="1" applyFill="1" applyBorder="1" applyAlignment="1">
      <alignment horizontal="left" vertical="center" wrapText="1" readingOrder="1"/>
    </xf>
    <xf numFmtId="0" fontId="6" fillId="22" borderId="5" xfId="0" applyFont="1" applyFill="1" applyBorder="1" applyAlignment="1">
      <alignment horizontal="center" vertical="center" wrapText="1" readingOrder="1"/>
    </xf>
    <xf numFmtId="0" fontId="6" fillId="26" borderId="4" xfId="0" applyFont="1" applyFill="1" applyBorder="1" applyAlignment="1">
      <alignment horizontal="center" vertical="center" wrapText="1" readingOrder="1"/>
    </xf>
    <xf numFmtId="164" fontId="8" fillId="22" borderId="5" xfId="0" applyNumberFormat="1" applyFont="1" applyFill="1" applyBorder="1" applyAlignment="1">
      <alignment horizontal="center" wrapText="1" readingOrder="1"/>
    </xf>
    <xf numFmtId="164" fontId="7" fillId="22" borderId="5" xfId="0" applyNumberFormat="1" applyFont="1" applyFill="1" applyBorder="1" applyAlignment="1">
      <alignment horizontal="center" wrapText="1" readingOrder="1"/>
    </xf>
    <xf numFmtId="164" fontId="11" fillId="22" borderId="5" xfId="0" applyNumberFormat="1" applyFont="1" applyFill="1" applyBorder="1" applyAlignment="1">
      <alignment horizontal="center" wrapText="1" readingOrder="1"/>
    </xf>
    <xf numFmtId="164" fontId="21" fillId="25" borderId="5" xfId="0" applyNumberFormat="1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2" xfId="0" applyFont="1" applyBorder="1"/>
    <xf numFmtId="0" fontId="17" fillId="2" borderId="1" xfId="0" applyFont="1" applyFill="1" applyBorder="1" applyAlignment="1">
      <alignment horizontal="center" vertical="center" wrapText="1" readingOrder="1"/>
    </xf>
    <xf numFmtId="0" fontId="18" fillId="0" borderId="2" xfId="0" applyFont="1" applyBorder="1"/>
    <xf numFmtId="0" fontId="37" fillId="12" borderId="11" xfId="0" applyFont="1" applyFill="1" applyBorder="1" applyAlignment="1">
      <alignment horizontal="center" vertical="center" wrapText="1"/>
    </xf>
    <xf numFmtId="0" fontId="37" fillId="13" borderId="11" xfId="0" applyFont="1" applyFill="1" applyBorder="1" applyAlignment="1">
      <alignment horizontal="center" vertical="center" wrapText="1"/>
    </xf>
    <xf numFmtId="0" fontId="37" fillId="14" borderId="12" xfId="0" applyFont="1" applyFill="1" applyBorder="1" applyAlignment="1">
      <alignment horizontal="center" vertical="center" wrapText="1"/>
    </xf>
    <xf numFmtId="0" fontId="37" fillId="14" borderId="13" xfId="0" applyFont="1" applyFill="1" applyBorder="1" applyAlignment="1">
      <alignment horizontal="center" vertical="center" wrapText="1"/>
    </xf>
    <xf numFmtId="0" fontId="37" fillId="14" borderId="14" xfId="0" applyFont="1" applyFill="1" applyBorder="1" applyAlignment="1">
      <alignment horizontal="center" vertical="center" wrapText="1"/>
    </xf>
    <xf numFmtId="0" fontId="37" fillId="11" borderId="12" xfId="0" applyFont="1" applyFill="1" applyBorder="1" applyAlignment="1">
      <alignment horizontal="center" vertical="center" wrapText="1"/>
    </xf>
    <xf numFmtId="0" fontId="37" fillId="11" borderId="13" xfId="0" applyFont="1" applyFill="1" applyBorder="1" applyAlignment="1">
      <alignment horizontal="center" vertical="center" wrapText="1"/>
    </xf>
    <xf numFmtId="0" fontId="37" fillId="18" borderId="12" xfId="0" applyFont="1" applyFill="1" applyBorder="1" applyAlignment="1">
      <alignment horizontal="center" vertical="center" wrapText="1"/>
    </xf>
    <xf numFmtId="0" fontId="37" fillId="18" borderId="13" xfId="0" applyFont="1" applyFill="1" applyBorder="1" applyAlignment="1">
      <alignment horizontal="center" vertical="center" wrapText="1"/>
    </xf>
    <xf numFmtId="0" fontId="37" fillId="18" borderId="1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 readingOrder="1"/>
    </xf>
    <xf numFmtId="1" fontId="7" fillId="27" borderId="5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M1011"/>
  <sheetViews>
    <sheetView zoomScale="182" zoomScaleNormal="100" workbookViewId="0">
      <selection sqref="A1:XFD1048576"/>
    </sheetView>
  </sheetViews>
  <sheetFormatPr baseColWidth="10" defaultColWidth="11.1640625" defaultRowHeight="15" customHeight="1"/>
  <cols>
    <col min="1" max="1" width="3" customWidth="1"/>
    <col min="2" max="2" width="26.1640625" customWidth="1"/>
    <col min="3" max="3" width="10.6640625" customWidth="1"/>
    <col min="4" max="4" width="10" hidden="1" customWidth="1"/>
    <col min="5" max="5" width="16.83203125" hidden="1" customWidth="1"/>
    <col min="6" max="6" width="14.33203125" hidden="1" customWidth="1"/>
    <col min="7" max="7" width="13.1640625" hidden="1" customWidth="1"/>
    <col min="8" max="8" width="12.5" hidden="1" customWidth="1"/>
    <col min="9" max="9" width="13.5" hidden="1" customWidth="1"/>
    <col min="10" max="10" width="12.6640625" hidden="1" customWidth="1"/>
    <col min="11" max="11" width="26" hidden="1" customWidth="1"/>
    <col min="12" max="12" width="15.1640625" customWidth="1"/>
    <col min="13" max="13" width="14.6640625" customWidth="1"/>
    <col min="14" max="17" width="10.6640625" customWidth="1"/>
    <col min="18" max="90" width="3.6640625" customWidth="1"/>
    <col min="91" max="91" width="7.1640625" customWidth="1"/>
  </cols>
  <sheetData>
    <row r="1" spans="2:91" ht="15.75" customHeight="1">
      <c r="C1" s="1"/>
      <c r="D1" s="1"/>
      <c r="E1" s="160" t="s">
        <v>0</v>
      </c>
      <c r="F1" s="161"/>
      <c r="G1" s="161"/>
      <c r="H1" s="161"/>
      <c r="I1" s="161"/>
      <c r="J1" s="161"/>
      <c r="K1" s="16"/>
      <c r="L1" s="41"/>
      <c r="M1" s="4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2:91" ht="36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3" t="s">
        <v>11</v>
      </c>
      <c r="M2" s="4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32">
        <v>46024</v>
      </c>
      <c r="S2" s="33">
        <f t="shared" ref="S2:AX2" si="0">R2+1</f>
        <v>46025</v>
      </c>
      <c r="T2" s="33">
        <f t="shared" si="0"/>
        <v>46026</v>
      </c>
      <c r="U2" s="32">
        <f t="shared" si="0"/>
        <v>46027</v>
      </c>
      <c r="V2" s="32">
        <f t="shared" si="0"/>
        <v>46028</v>
      </c>
      <c r="W2" s="32">
        <f t="shared" si="0"/>
        <v>46029</v>
      </c>
      <c r="X2" s="32">
        <f t="shared" si="0"/>
        <v>46030</v>
      </c>
      <c r="Y2" s="32">
        <f t="shared" si="0"/>
        <v>46031</v>
      </c>
      <c r="Z2" s="33">
        <f t="shared" si="0"/>
        <v>46032</v>
      </c>
      <c r="AA2" s="33">
        <f t="shared" si="0"/>
        <v>46033</v>
      </c>
      <c r="AB2" s="32">
        <f t="shared" si="0"/>
        <v>46034</v>
      </c>
      <c r="AC2" s="32">
        <f t="shared" si="0"/>
        <v>46035</v>
      </c>
      <c r="AD2" s="32">
        <f t="shared" si="0"/>
        <v>46036</v>
      </c>
      <c r="AE2" s="32">
        <f t="shared" si="0"/>
        <v>46037</v>
      </c>
      <c r="AF2" s="32">
        <f t="shared" si="0"/>
        <v>46038</v>
      </c>
      <c r="AG2" s="33">
        <f t="shared" si="0"/>
        <v>46039</v>
      </c>
      <c r="AH2" s="33">
        <f t="shared" si="0"/>
        <v>46040</v>
      </c>
      <c r="AI2" s="32">
        <f t="shared" si="0"/>
        <v>46041</v>
      </c>
      <c r="AJ2" s="32">
        <f t="shared" si="0"/>
        <v>46042</v>
      </c>
      <c r="AK2" s="32">
        <f t="shared" si="0"/>
        <v>46043</v>
      </c>
      <c r="AL2" s="32">
        <f t="shared" si="0"/>
        <v>46044</v>
      </c>
      <c r="AM2" s="32">
        <f t="shared" si="0"/>
        <v>46045</v>
      </c>
      <c r="AN2" s="33">
        <f t="shared" si="0"/>
        <v>46046</v>
      </c>
      <c r="AO2" s="33">
        <f t="shared" si="0"/>
        <v>46047</v>
      </c>
      <c r="AP2" s="32">
        <f t="shared" si="0"/>
        <v>46048</v>
      </c>
      <c r="AQ2" s="32">
        <f t="shared" si="0"/>
        <v>46049</v>
      </c>
      <c r="AR2" s="32">
        <f t="shared" si="0"/>
        <v>46050</v>
      </c>
      <c r="AS2" s="32">
        <f t="shared" si="0"/>
        <v>46051</v>
      </c>
      <c r="AT2" s="32">
        <f t="shared" si="0"/>
        <v>46052</v>
      </c>
      <c r="AU2" s="33">
        <f t="shared" si="0"/>
        <v>46053</v>
      </c>
      <c r="AV2" s="33">
        <f t="shared" si="0"/>
        <v>46054</v>
      </c>
      <c r="AW2" s="32">
        <f t="shared" si="0"/>
        <v>46055</v>
      </c>
      <c r="AX2" s="32">
        <f t="shared" si="0"/>
        <v>46056</v>
      </c>
      <c r="AY2" s="32">
        <f t="shared" ref="AY2:CC2" si="1">AX2+1</f>
        <v>46057</v>
      </c>
      <c r="AZ2" s="32">
        <f t="shared" si="1"/>
        <v>46058</v>
      </c>
      <c r="BA2" s="32">
        <f t="shared" si="1"/>
        <v>46059</v>
      </c>
      <c r="BB2" s="33">
        <f t="shared" si="1"/>
        <v>46060</v>
      </c>
      <c r="BC2" s="33">
        <f t="shared" si="1"/>
        <v>46061</v>
      </c>
      <c r="BD2" s="32">
        <f t="shared" si="1"/>
        <v>46062</v>
      </c>
      <c r="BE2" s="32">
        <f t="shared" si="1"/>
        <v>46063</v>
      </c>
      <c r="BF2" s="32">
        <f t="shared" si="1"/>
        <v>46064</v>
      </c>
      <c r="BG2" s="32">
        <f t="shared" si="1"/>
        <v>46065</v>
      </c>
      <c r="BH2" s="32">
        <f t="shared" si="1"/>
        <v>46066</v>
      </c>
      <c r="BI2" s="33">
        <f t="shared" si="1"/>
        <v>46067</v>
      </c>
      <c r="BJ2" s="33">
        <f t="shared" si="1"/>
        <v>46068</v>
      </c>
      <c r="BK2" s="32">
        <f t="shared" si="1"/>
        <v>46069</v>
      </c>
      <c r="BL2" s="32">
        <f t="shared" si="1"/>
        <v>46070</v>
      </c>
      <c r="BM2" s="32">
        <f t="shared" si="1"/>
        <v>46071</v>
      </c>
      <c r="BN2" s="32">
        <f t="shared" si="1"/>
        <v>46072</v>
      </c>
      <c r="BO2" s="32">
        <f t="shared" si="1"/>
        <v>46073</v>
      </c>
      <c r="BP2" s="33">
        <f t="shared" si="1"/>
        <v>46074</v>
      </c>
      <c r="BQ2" s="33">
        <f t="shared" si="1"/>
        <v>46075</v>
      </c>
      <c r="BR2" s="32">
        <f t="shared" si="1"/>
        <v>46076</v>
      </c>
      <c r="BS2" s="32">
        <f t="shared" si="1"/>
        <v>46077</v>
      </c>
      <c r="BT2" s="32">
        <f t="shared" si="1"/>
        <v>46078</v>
      </c>
      <c r="BU2" s="32">
        <f t="shared" si="1"/>
        <v>46079</v>
      </c>
      <c r="BV2" s="32">
        <f t="shared" si="1"/>
        <v>46080</v>
      </c>
      <c r="BW2" s="33">
        <f t="shared" si="1"/>
        <v>46081</v>
      </c>
      <c r="BX2" s="33">
        <f t="shared" si="1"/>
        <v>46082</v>
      </c>
      <c r="BY2" s="32">
        <f t="shared" si="1"/>
        <v>46083</v>
      </c>
      <c r="BZ2" s="32">
        <f t="shared" si="1"/>
        <v>46084</v>
      </c>
      <c r="CA2" s="32">
        <f t="shared" si="1"/>
        <v>46085</v>
      </c>
      <c r="CB2" s="32">
        <f t="shared" si="1"/>
        <v>46086</v>
      </c>
      <c r="CC2" s="32">
        <f t="shared" si="1"/>
        <v>46087</v>
      </c>
      <c r="CD2" s="33">
        <f t="shared" ref="CD2:CL2" si="2">CC2+1</f>
        <v>46088</v>
      </c>
      <c r="CE2" s="33">
        <f t="shared" si="2"/>
        <v>46089</v>
      </c>
      <c r="CF2" s="32">
        <f t="shared" si="2"/>
        <v>46090</v>
      </c>
      <c r="CG2" s="32">
        <f t="shared" si="2"/>
        <v>46091</v>
      </c>
      <c r="CH2" s="32">
        <f t="shared" si="2"/>
        <v>46092</v>
      </c>
      <c r="CI2" s="32">
        <f t="shared" si="2"/>
        <v>46093</v>
      </c>
      <c r="CJ2" s="32">
        <f t="shared" si="2"/>
        <v>46094</v>
      </c>
      <c r="CK2" s="33">
        <f t="shared" si="2"/>
        <v>46095</v>
      </c>
      <c r="CL2" s="33">
        <f t="shared" si="2"/>
        <v>46096</v>
      </c>
      <c r="CM2" s="31" t="s">
        <v>17</v>
      </c>
    </row>
    <row r="3" spans="2:91" ht="28.25" customHeight="1">
      <c r="B3" s="5" t="s">
        <v>18</v>
      </c>
      <c r="C3" s="6" t="s">
        <v>19</v>
      </c>
      <c r="D3" s="6"/>
      <c r="E3" s="131">
        <v>46015</v>
      </c>
      <c r="F3" s="8"/>
      <c r="G3" s="8" t="s">
        <v>20</v>
      </c>
      <c r="H3" s="8" t="s">
        <v>20</v>
      </c>
      <c r="I3" s="7" t="s">
        <v>20</v>
      </c>
      <c r="J3" s="30" t="str">
        <f>I3</f>
        <v xml:space="preserve"> </v>
      </c>
      <c r="K3" s="7" t="s">
        <v>21</v>
      </c>
      <c r="L3" s="48">
        <v>575</v>
      </c>
      <c r="M3" s="124">
        <f>SUM(M4:M11)</f>
        <v>495</v>
      </c>
      <c r="N3" s="17" t="s">
        <v>20</v>
      </c>
      <c r="O3" s="17" t="s">
        <v>22</v>
      </c>
      <c r="P3" s="17">
        <f>SUM(M3:N3) / Capacity!$B$2</f>
        <v>70.714285714285708</v>
      </c>
      <c r="Q3" s="17">
        <f>SUM(M3:N3)/(Capacity!$B$3*2)</f>
        <v>30.9375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>
        <f>SUM(R3:BI3)</f>
        <v>0</v>
      </c>
    </row>
    <row r="4" spans="2:91" ht="28.25" customHeight="1">
      <c r="B4" s="132" t="s">
        <v>23</v>
      </c>
      <c r="C4" s="6" t="s">
        <v>19</v>
      </c>
      <c r="D4" s="6"/>
      <c r="E4" s="131">
        <v>46015</v>
      </c>
      <c r="F4" s="8">
        <v>46031</v>
      </c>
      <c r="G4" s="8"/>
      <c r="H4" s="8"/>
      <c r="I4" s="7"/>
      <c r="J4" s="30"/>
      <c r="K4" s="7"/>
      <c r="L4" s="48"/>
      <c r="M4" s="124">
        <v>55</v>
      </c>
      <c r="N4" s="17">
        <v>1</v>
      </c>
      <c r="O4" s="17" t="s">
        <v>24</v>
      </c>
      <c r="P4" s="17">
        <f>SUM(M4:N4) / Capacity!$B$2</f>
        <v>8</v>
      </c>
      <c r="Q4" s="17">
        <f>SUM(M4:N4)/Capacity!$B$3</f>
        <v>7</v>
      </c>
      <c r="R4" s="17"/>
      <c r="S4" s="17"/>
      <c r="T4" s="17"/>
      <c r="U4" s="17"/>
      <c r="V4" s="17"/>
      <c r="W4" s="17"/>
      <c r="X4" s="17"/>
      <c r="Y4" s="17" t="s">
        <v>25</v>
      </c>
      <c r="Z4" s="17"/>
      <c r="AA4" s="17"/>
      <c r="AB4" s="17" t="s">
        <v>25</v>
      </c>
      <c r="AC4" s="17" t="s">
        <v>25</v>
      </c>
      <c r="AD4" s="17" t="s">
        <v>25</v>
      </c>
      <c r="AE4" s="17" t="s">
        <v>25</v>
      </c>
      <c r="AF4" s="17" t="s">
        <v>25</v>
      </c>
      <c r="AG4" s="17"/>
      <c r="AH4" s="17"/>
      <c r="AI4" s="17" t="s">
        <v>25</v>
      </c>
      <c r="AJ4" s="127" t="s">
        <v>26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>
        <f t="shared" ref="CM4:CM32" si="3">COUNTIF(R4:CL4,"X")</f>
        <v>7</v>
      </c>
    </row>
    <row r="5" spans="2:91" ht="28.25" customHeight="1">
      <c r="B5" s="133" t="s">
        <v>27</v>
      </c>
      <c r="C5" s="6" t="s">
        <v>19</v>
      </c>
      <c r="D5" s="6"/>
      <c r="E5" s="131">
        <v>46015</v>
      </c>
      <c r="F5" s="8">
        <v>46031</v>
      </c>
      <c r="G5" s="8"/>
      <c r="H5" s="8"/>
      <c r="I5" s="7"/>
      <c r="J5" s="30"/>
      <c r="K5" s="7"/>
      <c r="L5" s="48"/>
      <c r="M5" s="124">
        <v>85</v>
      </c>
      <c r="N5" s="17">
        <v>2</v>
      </c>
      <c r="O5" s="17" t="s">
        <v>28</v>
      </c>
      <c r="P5" s="17">
        <f>SUM(M5:N5) / Capacity!$B$2</f>
        <v>12.428571428571429</v>
      </c>
      <c r="Q5" s="17">
        <f>SUM(M5:N5)/Capacity!$B$3</f>
        <v>10.875</v>
      </c>
      <c r="R5" s="17"/>
      <c r="S5" s="17"/>
      <c r="T5" s="17"/>
      <c r="U5" s="17"/>
      <c r="V5" s="17"/>
      <c r="W5" s="17"/>
      <c r="X5" s="17"/>
      <c r="Y5" s="17" t="s">
        <v>25</v>
      </c>
      <c r="Z5" s="17"/>
      <c r="AA5" s="17"/>
      <c r="AB5" s="17" t="s">
        <v>25</v>
      </c>
      <c r="AC5" s="17" t="s">
        <v>25</v>
      </c>
      <c r="AD5" s="17" t="s">
        <v>25</v>
      </c>
      <c r="AE5" s="17" t="s">
        <v>25</v>
      </c>
      <c r="AF5" s="17" t="s">
        <v>25</v>
      </c>
      <c r="AG5" s="17"/>
      <c r="AH5" s="17"/>
      <c r="AI5" s="17" t="s">
        <v>25</v>
      </c>
      <c r="AJ5" s="17" t="s">
        <v>25</v>
      </c>
      <c r="AK5" s="17" t="s">
        <v>25</v>
      </c>
      <c r="AL5" s="17" t="s">
        <v>25</v>
      </c>
      <c r="AM5" s="17" t="s">
        <v>25</v>
      </c>
      <c r="AN5" s="17"/>
      <c r="AO5" s="17"/>
      <c r="AP5" s="127" t="s">
        <v>29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>
        <f t="shared" si="3"/>
        <v>11</v>
      </c>
    </row>
    <row r="6" spans="2:91" ht="28.25" customHeight="1">
      <c r="B6" s="132" t="s">
        <v>30</v>
      </c>
      <c r="C6" s="6" t="s">
        <v>19</v>
      </c>
      <c r="D6" s="6"/>
      <c r="E6" s="131">
        <v>46015</v>
      </c>
      <c r="F6" s="8">
        <v>46031</v>
      </c>
      <c r="G6" s="8"/>
      <c r="H6" s="8"/>
      <c r="I6" s="7"/>
      <c r="J6" s="30"/>
      <c r="K6" s="7"/>
      <c r="L6" s="48"/>
      <c r="M6" s="124">
        <v>75</v>
      </c>
      <c r="N6" s="17">
        <v>4</v>
      </c>
      <c r="O6" s="17" t="s">
        <v>31</v>
      </c>
      <c r="P6" s="17">
        <f>SUM(M6:N6) / Capacity!$B$2</f>
        <v>11.285714285714286</v>
      </c>
      <c r="Q6" s="17">
        <f>SUM(M6:N6)/Capacity!$B$3</f>
        <v>9.875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 t="s">
        <v>25</v>
      </c>
      <c r="AQ6" s="17" t="s">
        <v>25</v>
      </c>
      <c r="AR6" s="17" t="s">
        <v>25</v>
      </c>
      <c r="AS6" s="17" t="s">
        <v>25</v>
      </c>
      <c r="AT6" s="17" t="s">
        <v>25</v>
      </c>
      <c r="AU6" s="17"/>
      <c r="AV6" s="17"/>
      <c r="AW6" s="17" t="s">
        <v>25</v>
      </c>
      <c r="AX6" s="17" t="s">
        <v>25</v>
      </c>
      <c r="AY6" s="17" t="s">
        <v>25</v>
      </c>
      <c r="AZ6" s="17" t="s">
        <v>25</v>
      </c>
      <c r="BA6" s="17" t="s">
        <v>25</v>
      </c>
      <c r="BB6" s="17"/>
      <c r="BC6" s="17"/>
      <c r="BD6" s="127" t="s">
        <v>29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>
        <f t="shared" si="3"/>
        <v>10</v>
      </c>
    </row>
    <row r="7" spans="2:91" ht="28.25" customHeight="1">
      <c r="B7" s="133" t="s">
        <v>32</v>
      </c>
      <c r="C7" s="6" t="s">
        <v>19</v>
      </c>
      <c r="D7" s="6"/>
      <c r="E7" s="131">
        <v>46015</v>
      </c>
      <c r="F7" s="8">
        <v>46031</v>
      </c>
      <c r="G7" s="8"/>
      <c r="H7" s="8"/>
      <c r="I7" s="7"/>
      <c r="J7" s="30"/>
      <c r="K7" s="7"/>
      <c r="L7" s="48"/>
      <c r="M7" s="124">
        <v>40</v>
      </c>
      <c r="N7" s="17">
        <v>3</v>
      </c>
      <c r="O7" s="17" t="s">
        <v>33</v>
      </c>
      <c r="P7" s="17">
        <f>SUM(M7:N7) / Capacity!$B$2</f>
        <v>6.1428571428571432</v>
      </c>
      <c r="Q7" s="17">
        <f>SUM(M7:N7)/Capacity!$B$3</f>
        <v>5.375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25</v>
      </c>
      <c r="AL7" s="17" t="s">
        <v>25</v>
      </c>
      <c r="AM7" s="17" t="s">
        <v>25</v>
      </c>
      <c r="AN7" s="17"/>
      <c r="AO7" s="17"/>
      <c r="AP7" s="17" t="s">
        <v>25</v>
      </c>
      <c r="AQ7" s="17" t="s">
        <v>25</v>
      </c>
      <c r="AR7" s="127" t="s">
        <v>26</v>
      </c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>
        <f t="shared" si="3"/>
        <v>5</v>
      </c>
    </row>
    <row r="8" spans="2:91" ht="28.25" customHeight="1">
      <c r="B8" s="132" t="s">
        <v>34</v>
      </c>
      <c r="C8" s="6" t="s">
        <v>19</v>
      </c>
      <c r="D8" s="6"/>
      <c r="E8" s="131">
        <v>46015</v>
      </c>
      <c r="F8" s="8">
        <v>46031</v>
      </c>
      <c r="G8" s="8"/>
      <c r="H8" s="8"/>
      <c r="I8" s="7"/>
      <c r="J8" s="30"/>
      <c r="K8" s="7"/>
      <c r="L8" s="48"/>
      <c r="M8" s="124">
        <v>75</v>
      </c>
      <c r="N8" s="17">
        <v>5</v>
      </c>
      <c r="O8" s="17" t="s">
        <v>33</v>
      </c>
      <c r="P8" s="17">
        <f>SUM(M8:N8) / Capacity!$B$2</f>
        <v>11.428571428571429</v>
      </c>
      <c r="Q8" s="17">
        <f>SUM(M8:N8)/Capacity!$B$3</f>
        <v>10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 t="s">
        <v>25</v>
      </c>
      <c r="AT8" s="17" t="s">
        <v>25</v>
      </c>
      <c r="AU8" s="17"/>
      <c r="AV8" s="17"/>
      <c r="AW8" s="17" t="s">
        <v>25</v>
      </c>
      <c r="AX8" s="17" t="s">
        <v>25</v>
      </c>
      <c r="AY8" s="17" t="s">
        <v>25</v>
      </c>
      <c r="AZ8" s="17" t="s">
        <v>25</v>
      </c>
      <c r="BA8" s="17" t="s">
        <v>25</v>
      </c>
      <c r="BB8" s="17"/>
      <c r="BC8" s="17"/>
      <c r="BD8" s="17" t="s">
        <v>25</v>
      </c>
      <c r="BE8" s="17" t="s">
        <v>25</v>
      </c>
      <c r="BF8" s="17" t="s">
        <v>25</v>
      </c>
      <c r="BG8" s="127" t="s">
        <v>26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>
        <f t="shared" si="3"/>
        <v>10</v>
      </c>
    </row>
    <row r="9" spans="2:91" ht="28.25" customHeight="1">
      <c r="B9" s="133" t="s">
        <v>35</v>
      </c>
      <c r="C9" s="6" t="s">
        <v>19</v>
      </c>
      <c r="D9" s="6"/>
      <c r="E9" s="131">
        <v>46015</v>
      </c>
      <c r="F9" s="8">
        <v>46031</v>
      </c>
      <c r="G9" s="8"/>
      <c r="H9" s="8"/>
      <c r="I9" s="7"/>
      <c r="J9" s="30"/>
      <c r="K9" s="7"/>
      <c r="L9" s="48"/>
      <c r="M9" s="124">
        <v>85</v>
      </c>
      <c r="N9" s="17">
        <v>7</v>
      </c>
      <c r="O9" s="17" t="s">
        <v>33</v>
      </c>
      <c r="P9" s="17">
        <f>SUM(M9:N9) / Capacity!$B$2</f>
        <v>13.142857142857142</v>
      </c>
      <c r="Q9" s="17">
        <f>SUM(M9:N9)/Capacity!$B$3</f>
        <v>11.5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 t="s">
        <v>25</v>
      </c>
      <c r="BI9" s="17"/>
      <c r="BJ9" s="17"/>
      <c r="BK9" s="17" t="s">
        <v>25</v>
      </c>
      <c r="BL9" s="17" t="s">
        <v>25</v>
      </c>
      <c r="BM9" s="17" t="s">
        <v>25</v>
      </c>
      <c r="BN9" s="17" t="s">
        <v>25</v>
      </c>
      <c r="BO9" s="17" t="s">
        <v>25</v>
      </c>
      <c r="BP9" s="17"/>
      <c r="BQ9" s="17"/>
      <c r="BR9" s="17" t="s">
        <v>25</v>
      </c>
      <c r="BS9" s="17" t="s">
        <v>25</v>
      </c>
      <c r="BT9" s="17" t="s">
        <v>25</v>
      </c>
      <c r="BU9" s="17" t="s">
        <v>25</v>
      </c>
      <c r="BV9" s="17" t="s">
        <v>25</v>
      </c>
      <c r="BW9" s="17"/>
      <c r="BX9" s="17"/>
      <c r="BY9" s="17" t="s">
        <v>25</v>
      </c>
      <c r="BZ9" s="127" t="s">
        <v>26</v>
      </c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>
        <f t="shared" si="3"/>
        <v>12</v>
      </c>
    </row>
    <row r="10" spans="2:91" ht="28.25" customHeight="1">
      <c r="B10" s="132" t="s">
        <v>36</v>
      </c>
      <c r="C10" s="6" t="s">
        <v>19</v>
      </c>
      <c r="D10" s="6"/>
      <c r="E10" s="131">
        <v>46015</v>
      </c>
      <c r="F10" s="8">
        <v>46031</v>
      </c>
      <c r="G10" s="8"/>
      <c r="H10" s="8"/>
      <c r="I10" s="7"/>
      <c r="J10" s="30"/>
      <c r="K10" s="7"/>
      <c r="L10" s="48"/>
      <c r="M10" s="134">
        <v>40</v>
      </c>
      <c r="N10" s="17">
        <v>6</v>
      </c>
      <c r="O10" s="17" t="s">
        <v>31</v>
      </c>
      <c r="P10" s="17">
        <f>SUM(M10:N10) / Capacity!$B$2</f>
        <v>6.5714285714285712</v>
      </c>
      <c r="Q10" s="17">
        <f>SUM(M10:N10)/Capacity!$B$3</f>
        <v>5.75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25</v>
      </c>
      <c r="BF10" s="17" t="s">
        <v>25</v>
      </c>
      <c r="BG10" s="17" t="s">
        <v>25</v>
      </c>
      <c r="BH10" s="17" t="s">
        <v>25</v>
      </c>
      <c r="BI10" s="17"/>
      <c r="BJ10" s="17"/>
      <c r="BK10" s="17" t="s">
        <v>25</v>
      </c>
      <c r="BL10" s="17" t="s">
        <v>25</v>
      </c>
      <c r="BM10" s="127" t="s">
        <v>26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>
        <f t="shared" si="3"/>
        <v>6</v>
      </c>
    </row>
    <row r="11" spans="2:91" ht="28.25" customHeight="1">
      <c r="B11" s="133" t="s">
        <v>37</v>
      </c>
      <c r="C11" s="6" t="s">
        <v>19</v>
      </c>
      <c r="D11" s="6"/>
      <c r="E11" s="131" t="s">
        <v>38</v>
      </c>
      <c r="F11" s="8">
        <v>46031</v>
      </c>
      <c r="G11" s="8"/>
      <c r="H11" s="8"/>
      <c r="I11" s="7"/>
      <c r="J11" s="30"/>
      <c r="K11" s="7"/>
      <c r="L11" s="48"/>
      <c r="M11" s="134">
        <v>40</v>
      </c>
      <c r="N11" s="17"/>
      <c r="O11" s="17" t="s">
        <v>39</v>
      </c>
      <c r="P11" s="17">
        <f>SUM(M11:N11) / Capacity!$B$2</f>
        <v>5.7142857142857144</v>
      </c>
      <c r="Q11" s="17">
        <f>SUM(M11:N11)/Capacity!$B$3</f>
        <v>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 t="s">
        <v>25</v>
      </c>
      <c r="BS11" s="17" t="s">
        <v>25</v>
      </c>
      <c r="BT11" s="17" t="s">
        <v>25</v>
      </c>
      <c r="BU11" s="17" t="s">
        <v>25</v>
      </c>
      <c r="BV11" s="17" t="s">
        <v>25</v>
      </c>
      <c r="BW11" s="17"/>
      <c r="BX11" s="17"/>
      <c r="BY11" s="127" t="s">
        <v>26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>
        <f t="shared" si="3"/>
        <v>5</v>
      </c>
    </row>
    <row r="12" spans="2:91" ht="30" customHeight="1">
      <c r="B12" s="5" t="s">
        <v>40</v>
      </c>
      <c r="C12" s="6" t="s">
        <v>41</v>
      </c>
      <c r="D12" s="6"/>
      <c r="E12" s="7">
        <v>46031</v>
      </c>
      <c r="F12" s="7">
        <v>46035</v>
      </c>
      <c r="G12" s="8">
        <v>46043</v>
      </c>
      <c r="H12" s="8" t="s">
        <v>42</v>
      </c>
      <c r="I12" s="7">
        <f t="shared" ref="I12:I17" si="4">G12+7</f>
        <v>46050</v>
      </c>
      <c r="J12" s="30">
        <f t="shared" ref="J12:J25" si="5">I12</f>
        <v>46050</v>
      </c>
      <c r="K12" s="7" t="s">
        <v>43</v>
      </c>
      <c r="L12" s="48">
        <v>177</v>
      </c>
      <c r="M12" s="48">
        <v>200</v>
      </c>
      <c r="N12" s="17">
        <v>1</v>
      </c>
      <c r="O12" s="17" t="s">
        <v>31</v>
      </c>
      <c r="P12" s="17">
        <f>SUM(M12:N12) / Capacity!$B$2</f>
        <v>28.714285714285715</v>
      </c>
      <c r="Q12" s="17">
        <f>SUM(M12:N12)/Capacity!$B$3</f>
        <v>25.125</v>
      </c>
      <c r="R12" s="17" t="s">
        <v>25</v>
      </c>
      <c r="S12" s="17"/>
      <c r="T12" s="17"/>
      <c r="U12" s="17" t="s">
        <v>25</v>
      </c>
      <c r="V12" s="17" t="s">
        <v>25</v>
      </c>
      <c r="W12" s="17" t="s">
        <v>25</v>
      </c>
      <c r="X12" s="17" t="s">
        <v>25</v>
      </c>
      <c r="Y12" s="17"/>
      <c r="Z12" s="17"/>
      <c r="AA12" s="17"/>
      <c r="AB12" s="17"/>
      <c r="AC12" s="17"/>
      <c r="AD12" s="17" t="s">
        <v>20</v>
      </c>
      <c r="AE12" s="17" t="s">
        <v>20</v>
      </c>
      <c r="AF12" s="17" t="s">
        <v>20</v>
      </c>
      <c r="AG12" s="17" t="s">
        <v>20</v>
      </c>
      <c r="AH12" s="17" t="s">
        <v>20</v>
      </c>
      <c r="AI12" s="17" t="s">
        <v>20</v>
      </c>
      <c r="AJ12" s="17"/>
      <c r="AK12" s="17"/>
      <c r="AL12" s="17"/>
      <c r="AM12" s="17"/>
      <c r="AN12" s="17"/>
      <c r="AO12" s="17"/>
      <c r="AP12" s="17"/>
      <c r="AQ12" s="17"/>
      <c r="AR12" s="17" t="s">
        <v>20</v>
      </c>
      <c r="AS12" s="17" t="s">
        <v>20</v>
      </c>
      <c r="AT12" s="17" t="s">
        <v>20</v>
      </c>
      <c r="AU12" s="17" t="s">
        <v>20</v>
      </c>
      <c r="AV12" s="17" t="s">
        <v>20</v>
      </c>
      <c r="AW12" s="17" t="s">
        <v>20</v>
      </c>
      <c r="AX12" s="17" t="s">
        <v>20</v>
      </c>
      <c r="AY12" s="17" t="s">
        <v>20</v>
      </c>
      <c r="AZ12" s="17" t="s">
        <v>20</v>
      </c>
      <c r="BA12" s="17" t="s">
        <v>20</v>
      </c>
      <c r="BB12" s="17"/>
      <c r="BC12" s="17"/>
      <c r="BD12" s="17"/>
      <c r="BE12" s="17" t="s">
        <v>25</v>
      </c>
      <c r="BF12" s="17" t="s">
        <v>25</v>
      </c>
      <c r="BG12" s="17" t="s">
        <v>25</v>
      </c>
      <c r="BH12" s="17" t="s">
        <v>25</v>
      </c>
      <c r="BI12" s="17" t="s">
        <v>25</v>
      </c>
      <c r="BJ12" s="17"/>
      <c r="BK12" s="17" t="s">
        <v>25</v>
      </c>
      <c r="BL12" s="17" t="s">
        <v>25</v>
      </c>
      <c r="BM12" s="17" t="s">
        <v>25</v>
      </c>
      <c r="BN12" s="17" t="s">
        <v>25</v>
      </c>
      <c r="BO12" s="17" t="s">
        <v>25</v>
      </c>
      <c r="BP12" s="17"/>
      <c r="BQ12" s="17"/>
      <c r="BR12" s="17" t="s">
        <v>25</v>
      </c>
      <c r="BS12" s="17" t="s">
        <v>25</v>
      </c>
      <c r="BT12" s="17" t="s">
        <v>25</v>
      </c>
      <c r="BU12" s="17" t="s">
        <v>25</v>
      </c>
      <c r="BV12" s="17" t="s">
        <v>25</v>
      </c>
      <c r="BW12" s="17"/>
      <c r="BX12" s="17"/>
      <c r="BY12" s="17" t="s">
        <v>25</v>
      </c>
      <c r="BZ12" s="17" t="s">
        <v>25</v>
      </c>
      <c r="CA12" s="17" t="s">
        <v>25</v>
      </c>
      <c r="CB12" s="17" t="s">
        <v>25</v>
      </c>
      <c r="CC12" s="127" t="s">
        <v>26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>
        <f t="shared" si="3"/>
        <v>24</v>
      </c>
    </row>
    <row r="13" spans="2:91" ht="24">
      <c r="B13" s="5" t="s">
        <v>44</v>
      </c>
      <c r="C13" s="6" t="s">
        <v>45</v>
      </c>
      <c r="D13" s="6"/>
      <c r="E13" s="14" t="s">
        <v>46</v>
      </c>
      <c r="F13" s="126">
        <v>46008</v>
      </c>
      <c r="G13" s="38">
        <v>46037</v>
      </c>
      <c r="H13" s="8" t="s">
        <v>42</v>
      </c>
      <c r="I13" s="7">
        <f t="shared" si="4"/>
        <v>46044</v>
      </c>
      <c r="J13" s="30">
        <f t="shared" si="5"/>
        <v>46044</v>
      </c>
      <c r="K13" s="7" t="s">
        <v>47</v>
      </c>
      <c r="L13" s="48">
        <v>260</v>
      </c>
      <c r="M13" s="48">
        <v>180</v>
      </c>
      <c r="N13" s="17">
        <v>4</v>
      </c>
      <c r="O13" s="17" t="s">
        <v>48</v>
      </c>
      <c r="P13" s="17">
        <f>SUM(M13:N13) / Capacity!$B$2</f>
        <v>26.285714285714285</v>
      </c>
      <c r="Q13" s="17">
        <f>SUM(M13:N13)/(Capacity!$B$3*2)</f>
        <v>11.5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 t="s">
        <v>25</v>
      </c>
      <c r="BI13" s="17"/>
      <c r="BJ13" s="17"/>
      <c r="BK13" s="17" t="s">
        <v>25</v>
      </c>
      <c r="BL13" s="17" t="s">
        <v>25</v>
      </c>
      <c r="BM13" s="17" t="s">
        <v>25</v>
      </c>
      <c r="BN13" s="17" t="s">
        <v>25</v>
      </c>
      <c r="BO13" s="17" t="s">
        <v>25</v>
      </c>
      <c r="BP13" s="17"/>
      <c r="BQ13" s="17"/>
      <c r="BR13" s="17" t="s">
        <v>25</v>
      </c>
      <c r="BS13" s="17" t="s">
        <v>25</v>
      </c>
      <c r="BT13" s="17" t="s">
        <v>25</v>
      </c>
      <c r="BU13" s="17" t="s">
        <v>25</v>
      </c>
      <c r="BV13" s="17" t="s">
        <v>25</v>
      </c>
      <c r="BW13" s="17"/>
      <c r="BX13" s="17"/>
      <c r="BY13" s="17" t="s">
        <v>25</v>
      </c>
      <c r="BZ13" s="127" t="s">
        <v>26</v>
      </c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>
        <f t="shared" si="3"/>
        <v>12</v>
      </c>
    </row>
    <row r="14" spans="2:91" ht="22.25" customHeight="1">
      <c r="B14" s="5" t="s">
        <v>49</v>
      </c>
      <c r="C14" s="6" t="s">
        <v>45</v>
      </c>
      <c r="D14" s="6" t="s">
        <v>50</v>
      </c>
      <c r="E14" s="14" t="s">
        <v>51</v>
      </c>
      <c r="F14" s="7">
        <v>46015</v>
      </c>
      <c r="G14" s="38">
        <v>46037</v>
      </c>
      <c r="H14" s="8" t="s">
        <v>42</v>
      </c>
      <c r="I14" s="7">
        <f t="shared" si="4"/>
        <v>46044</v>
      </c>
      <c r="J14" s="30">
        <f t="shared" si="5"/>
        <v>46044</v>
      </c>
      <c r="K14" s="7" t="s">
        <v>52</v>
      </c>
      <c r="L14" s="48">
        <v>120</v>
      </c>
      <c r="M14" s="48">
        <v>120</v>
      </c>
      <c r="N14" s="17">
        <v>4</v>
      </c>
      <c r="O14" s="17" t="s">
        <v>53</v>
      </c>
      <c r="P14" s="17">
        <f>SUM(M14:N14) / Capacity!$B$2</f>
        <v>17.714285714285715</v>
      </c>
      <c r="Q14" s="17">
        <f>SUM(M14:N14)/Capacity!$B$3</f>
        <v>15.5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25</v>
      </c>
      <c r="BE14" s="17" t="s">
        <v>25</v>
      </c>
      <c r="BF14" s="17" t="s">
        <v>25</v>
      </c>
      <c r="BG14" s="17" t="s">
        <v>25</v>
      </c>
      <c r="BH14" s="17" t="s">
        <v>25</v>
      </c>
      <c r="BI14" s="17"/>
      <c r="BJ14" s="17"/>
      <c r="BK14" s="17" t="s">
        <v>25</v>
      </c>
      <c r="BL14" s="17" t="s">
        <v>25</v>
      </c>
      <c r="BM14" s="17" t="s">
        <v>25</v>
      </c>
      <c r="BN14" s="17" t="s">
        <v>25</v>
      </c>
      <c r="BO14" s="17" t="s">
        <v>25</v>
      </c>
      <c r="BP14" s="17"/>
      <c r="BQ14" s="17"/>
      <c r="BR14" s="17" t="s">
        <v>25</v>
      </c>
      <c r="BS14" s="17" t="s">
        <v>25</v>
      </c>
      <c r="BT14" s="17" t="s">
        <v>25</v>
      </c>
      <c r="BU14" s="17" t="s">
        <v>25</v>
      </c>
      <c r="BV14" s="17" t="s">
        <v>25</v>
      </c>
      <c r="BW14" s="17"/>
      <c r="BX14" s="17"/>
      <c r="BY14" s="17" t="s">
        <v>25</v>
      </c>
      <c r="BZ14" s="127" t="s">
        <v>26</v>
      </c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>
        <f t="shared" si="3"/>
        <v>16</v>
      </c>
    </row>
    <row r="15" spans="2:91" ht="24">
      <c r="B15" s="5" t="s">
        <v>54</v>
      </c>
      <c r="C15" s="6" t="s">
        <v>45</v>
      </c>
      <c r="D15" s="6" t="s">
        <v>50</v>
      </c>
      <c r="E15" s="14" t="s">
        <v>55</v>
      </c>
      <c r="F15" s="36">
        <v>46010</v>
      </c>
      <c r="G15" s="8" t="s">
        <v>42</v>
      </c>
      <c r="H15" s="7">
        <v>46031</v>
      </c>
      <c r="I15" s="7">
        <f>H15+7</f>
        <v>46038</v>
      </c>
      <c r="J15" s="30">
        <f t="shared" si="5"/>
        <v>46038</v>
      </c>
      <c r="K15" s="7" t="s">
        <v>56</v>
      </c>
      <c r="L15" s="48">
        <v>35</v>
      </c>
      <c r="M15" s="48">
        <v>35</v>
      </c>
      <c r="N15" s="17">
        <v>5</v>
      </c>
      <c r="O15" s="17" t="s">
        <v>39</v>
      </c>
      <c r="P15" s="17">
        <f>SUM(M15:N15) / Capacity!$B$2</f>
        <v>5.7142857142857144</v>
      </c>
      <c r="Q15" s="17">
        <f>SUM(M15:N15)/Capacity!$B$3</f>
        <v>5</v>
      </c>
      <c r="R15" s="17" t="s">
        <v>20</v>
      </c>
      <c r="S15" s="17"/>
      <c r="T15" s="17"/>
      <c r="U15" s="17" t="s">
        <v>25</v>
      </c>
      <c r="V15" s="17" t="s">
        <v>25</v>
      </c>
      <c r="W15" s="17" t="s">
        <v>25</v>
      </c>
      <c r="X15" s="17" t="s">
        <v>25</v>
      </c>
      <c r="Y15" s="17" t="s">
        <v>25</v>
      </c>
      <c r="Z15" s="17"/>
      <c r="AA15" s="17"/>
      <c r="AB15" s="127" t="s">
        <v>26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>
        <f t="shared" si="3"/>
        <v>5</v>
      </c>
    </row>
    <row r="16" spans="2:91" s="144" customFormat="1" ht="24">
      <c r="B16" s="136" t="s">
        <v>57</v>
      </c>
      <c r="C16" s="137" t="s">
        <v>45</v>
      </c>
      <c r="D16" s="137"/>
      <c r="E16" s="138" t="s">
        <v>55</v>
      </c>
      <c r="F16" s="139">
        <v>46010</v>
      </c>
      <c r="G16" s="140" t="s">
        <v>42</v>
      </c>
      <c r="H16" s="139">
        <v>46031</v>
      </c>
      <c r="I16" s="139">
        <f>H16+7</f>
        <v>46038</v>
      </c>
      <c r="J16" s="141">
        <f t="shared" si="5"/>
        <v>46038</v>
      </c>
      <c r="K16" s="139" t="s">
        <v>58</v>
      </c>
      <c r="L16" s="142">
        <v>40</v>
      </c>
      <c r="M16" s="145">
        <v>0</v>
      </c>
      <c r="N16" s="143" t="s">
        <v>20</v>
      </c>
      <c r="O16" s="143" t="s">
        <v>42</v>
      </c>
      <c r="P16" s="143">
        <f>SUM(M16:N16) / Capacity!$B$2</f>
        <v>0</v>
      </c>
      <c r="Q16" s="143">
        <f>SUM(M16:N16)/Capacity!$B$3</f>
        <v>0</v>
      </c>
      <c r="R16" s="143"/>
      <c r="S16" s="143" t="s">
        <v>20</v>
      </c>
      <c r="T16" s="143" t="s">
        <v>20</v>
      </c>
      <c r="U16" s="143" t="s">
        <v>20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>
        <f t="shared" si="3"/>
        <v>0</v>
      </c>
    </row>
    <row r="17" spans="2:91" ht="24">
      <c r="B17" s="5" t="s">
        <v>59</v>
      </c>
      <c r="C17" s="9" t="s">
        <v>45</v>
      </c>
      <c r="D17" s="9"/>
      <c r="E17" s="14" t="s">
        <v>46</v>
      </c>
      <c r="F17" s="36">
        <v>46008</v>
      </c>
      <c r="G17" s="37">
        <v>46044</v>
      </c>
      <c r="H17" s="8" t="s">
        <v>42</v>
      </c>
      <c r="I17" s="7">
        <f t="shared" si="4"/>
        <v>46051</v>
      </c>
      <c r="J17" s="30">
        <f t="shared" si="5"/>
        <v>46051</v>
      </c>
      <c r="K17" s="7" t="s">
        <v>60</v>
      </c>
      <c r="L17" s="48">
        <v>80</v>
      </c>
      <c r="M17" s="48">
        <v>60</v>
      </c>
      <c r="N17" s="17">
        <v>5</v>
      </c>
      <c r="O17" s="17" t="s">
        <v>39</v>
      </c>
      <c r="P17" s="17">
        <f>SUM(M17:N17) / Capacity!$B$2</f>
        <v>9.2857142857142865</v>
      </c>
      <c r="Q17" s="17">
        <f>SUM(M17:N17)/Capacity!$B$3</f>
        <v>8.125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20</v>
      </c>
      <c r="AM17" s="17" t="s">
        <v>20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25</v>
      </c>
      <c r="BE17" s="17" t="s">
        <v>25</v>
      </c>
      <c r="BF17" s="17" t="s">
        <v>25</v>
      </c>
      <c r="BG17" s="17" t="s">
        <v>25</v>
      </c>
      <c r="BH17" s="17" t="s">
        <v>25</v>
      </c>
      <c r="BI17" s="17"/>
      <c r="BJ17" s="17"/>
      <c r="BK17" s="17" t="s">
        <v>25</v>
      </c>
      <c r="BL17" s="17" t="s">
        <v>25</v>
      </c>
      <c r="BM17" s="17" t="s">
        <v>25</v>
      </c>
      <c r="BN17" s="127" t="s">
        <v>26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>
        <f t="shared" si="3"/>
        <v>8</v>
      </c>
    </row>
    <row r="18" spans="2:91" ht="15.75" customHeight="1">
      <c r="B18" s="10"/>
      <c r="C18" s="11"/>
      <c r="D18" s="11"/>
      <c r="E18" s="12"/>
      <c r="F18" s="12"/>
      <c r="G18" s="12"/>
      <c r="H18" s="12"/>
      <c r="I18" s="12"/>
      <c r="J18" s="12"/>
      <c r="K18" s="12"/>
      <c r="L18" s="55"/>
      <c r="M18" s="55"/>
      <c r="N18" s="18"/>
      <c r="O18" s="18"/>
      <c r="P18" s="17">
        <f>SUM(M18:N18) / Capacity!$B$2</f>
        <v>0</v>
      </c>
      <c r="Q18" s="17">
        <f>SUM(M18:N18)/Capacity!$B$3</f>
        <v>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>
        <f t="shared" si="3"/>
        <v>0</v>
      </c>
    </row>
    <row r="19" spans="2:91" ht="24">
      <c r="B19" s="5" t="s">
        <v>61</v>
      </c>
      <c r="C19" s="6" t="s">
        <v>62</v>
      </c>
      <c r="D19" s="6"/>
      <c r="E19" s="14" t="s">
        <v>63</v>
      </c>
      <c r="F19" s="7">
        <v>46015</v>
      </c>
      <c r="G19" s="8" t="s">
        <v>42</v>
      </c>
      <c r="H19" s="7">
        <v>46031</v>
      </c>
      <c r="I19" s="7">
        <f>H19+7</f>
        <v>46038</v>
      </c>
      <c r="J19" s="30">
        <f t="shared" si="5"/>
        <v>46038</v>
      </c>
      <c r="K19" s="7" t="s">
        <v>64</v>
      </c>
      <c r="L19" s="48">
        <v>20</v>
      </c>
      <c r="M19" s="48">
        <v>20</v>
      </c>
      <c r="N19" s="17">
        <v>6</v>
      </c>
      <c r="O19" s="17" t="s">
        <v>53</v>
      </c>
      <c r="P19" s="17">
        <f>SUM(M19:N19) / Capacity!$B$2</f>
        <v>3.7142857142857144</v>
      </c>
      <c r="Q19" s="17">
        <f>SUM(M19:N19)/Capacity!$B$3</f>
        <v>3.25</v>
      </c>
      <c r="R19" s="17"/>
      <c r="S19" s="17"/>
      <c r="T19" s="17"/>
      <c r="U19" s="17" t="s">
        <v>25</v>
      </c>
      <c r="V19" s="17" t="s">
        <v>25</v>
      </c>
      <c r="W19" s="17" t="s">
        <v>25</v>
      </c>
      <c r="X19" s="17" t="s">
        <v>20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>
        <f t="shared" si="3"/>
        <v>3</v>
      </c>
    </row>
    <row r="20" spans="2:91" ht="24">
      <c r="B20" s="5" t="s">
        <v>65</v>
      </c>
      <c r="C20" s="6" t="s">
        <v>66</v>
      </c>
      <c r="D20" s="6"/>
      <c r="E20" s="35" t="s">
        <v>67</v>
      </c>
      <c r="F20" s="7" t="s">
        <v>68</v>
      </c>
      <c r="G20" s="34">
        <v>46051</v>
      </c>
      <c r="H20" s="8" t="s">
        <v>42</v>
      </c>
      <c r="I20" s="35">
        <f>G20+7</f>
        <v>46058</v>
      </c>
      <c r="J20" s="30">
        <f t="shared" si="5"/>
        <v>46058</v>
      </c>
      <c r="K20" s="7" t="s">
        <v>69</v>
      </c>
      <c r="L20" s="48">
        <v>140</v>
      </c>
      <c r="M20" s="48">
        <v>100</v>
      </c>
      <c r="N20" s="17">
        <v>5</v>
      </c>
      <c r="O20" s="17" t="s">
        <v>53</v>
      </c>
      <c r="P20" s="17">
        <f>SUM(M20:N20) / Capacity!$B$2</f>
        <v>15</v>
      </c>
      <c r="Q20" s="17">
        <f>SUM(M20:N20)/Capacity!$B$3</f>
        <v>13.125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25</v>
      </c>
      <c r="AQ20" s="17" t="s">
        <v>25</v>
      </c>
      <c r="AR20" s="17" t="s">
        <v>25</v>
      </c>
      <c r="AS20" s="17" t="s">
        <v>25</v>
      </c>
      <c r="AT20" s="17" t="s">
        <v>25</v>
      </c>
      <c r="AU20" s="17"/>
      <c r="AV20" s="17"/>
      <c r="AW20" s="17" t="s">
        <v>25</v>
      </c>
      <c r="AX20" s="17" t="s">
        <v>25</v>
      </c>
      <c r="AY20" s="17" t="s">
        <v>25</v>
      </c>
      <c r="AZ20" s="17" t="s">
        <v>25</v>
      </c>
      <c r="BA20" s="17" t="s">
        <v>25</v>
      </c>
      <c r="BB20" s="17"/>
      <c r="BC20" s="17"/>
      <c r="BD20" s="17"/>
      <c r="BE20" s="17" t="s">
        <v>25</v>
      </c>
      <c r="BF20" s="17" t="s">
        <v>25</v>
      </c>
      <c r="BG20" s="17" t="s">
        <v>25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>
        <f t="shared" si="3"/>
        <v>13</v>
      </c>
    </row>
    <row r="21" spans="2:91" ht="16">
      <c r="B21" s="5" t="s">
        <v>70</v>
      </c>
      <c r="C21" s="6" t="s">
        <v>71</v>
      </c>
      <c r="D21" s="6"/>
      <c r="E21" s="7">
        <v>46045</v>
      </c>
      <c r="F21" s="7">
        <v>46052</v>
      </c>
      <c r="G21" s="8" t="s">
        <v>42</v>
      </c>
      <c r="H21" s="7">
        <v>46059</v>
      </c>
      <c r="I21" s="7">
        <f>H21+7</f>
        <v>46066</v>
      </c>
      <c r="J21" s="30">
        <f t="shared" si="5"/>
        <v>46066</v>
      </c>
      <c r="K21" s="7" t="s">
        <v>64</v>
      </c>
      <c r="L21" s="48">
        <v>90</v>
      </c>
      <c r="M21" s="48">
        <v>60</v>
      </c>
      <c r="N21" s="17" t="s">
        <v>20</v>
      </c>
      <c r="O21" s="135" t="s">
        <v>48</v>
      </c>
      <c r="P21" s="17">
        <f>SUM(M21:N21) / Capacity!$B$2</f>
        <v>8.5714285714285712</v>
      </c>
      <c r="Q21" s="17">
        <f>SUM(M21:N21)/Capacity!$B$3</f>
        <v>7.5</v>
      </c>
      <c r="R21" s="17"/>
      <c r="S21" s="17"/>
      <c r="T21" s="17"/>
      <c r="U21" s="17" t="s">
        <v>20</v>
      </c>
      <c r="V21" s="17" t="s">
        <v>20</v>
      </c>
      <c r="W21" s="17"/>
      <c r="X21" s="17"/>
      <c r="Y21" s="17"/>
      <c r="Z21" s="17"/>
      <c r="AA21" s="17"/>
      <c r="AB21" s="17" t="s">
        <v>25</v>
      </c>
      <c r="AC21" s="17" t="s">
        <v>25</v>
      </c>
      <c r="AD21" s="17" t="s">
        <v>25</v>
      </c>
      <c r="AE21" s="17" t="s">
        <v>25</v>
      </c>
      <c r="AF21" s="17" t="s">
        <v>25</v>
      </c>
      <c r="AG21" s="17"/>
      <c r="AH21" s="17"/>
      <c r="AI21" s="17" t="s">
        <v>25</v>
      </c>
      <c r="AJ21" s="17" t="s">
        <v>25</v>
      </c>
      <c r="AK21" s="17" t="s">
        <v>25</v>
      </c>
      <c r="AL21" s="127" t="s">
        <v>26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 t="s">
        <v>20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>
        <f t="shared" si="3"/>
        <v>8</v>
      </c>
    </row>
    <row r="22" spans="2:91" ht="15.75" customHeight="1">
      <c r="B22" s="5" t="s">
        <v>72</v>
      </c>
      <c r="C22" s="6" t="s">
        <v>41</v>
      </c>
      <c r="D22" s="6"/>
      <c r="E22" s="35">
        <v>46045</v>
      </c>
      <c r="F22" s="19">
        <v>46050</v>
      </c>
      <c r="G22" s="8">
        <v>46059</v>
      </c>
      <c r="H22" s="8" t="s">
        <v>42</v>
      </c>
      <c r="I22" s="7">
        <f>G22+7</f>
        <v>46066</v>
      </c>
      <c r="J22" s="30">
        <f t="shared" si="5"/>
        <v>46066</v>
      </c>
      <c r="K22" s="19" t="s">
        <v>73</v>
      </c>
      <c r="L22" s="57">
        <v>350</v>
      </c>
      <c r="M22" s="124">
        <v>215</v>
      </c>
      <c r="N22" s="20">
        <v>4</v>
      </c>
      <c r="O22" s="20" t="s">
        <v>31</v>
      </c>
      <c r="P22" s="17">
        <f>SUM(M22:N22) / Capacity!$B$2</f>
        <v>31.285714285714285</v>
      </c>
      <c r="Q22" s="17">
        <f>SUM(M22:N22)/Capacity!$B$3</f>
        <v>27.375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 t="s">
        <v>20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>
        <f t="shared" si="3"/>
        <v>0</v>
      </c>
    </row>
    <row r="23" spans="2:91" ht="29.25" customHeight="1">
      <c r="B23" s="5" t="s">
        <v>74</v>
      </c>
      <c r="C23" s="6" t="s">
        <v>62</v>
      </c>
      <c r="D23" s="6"/>
      <c r="E23" s="67" t="s">
        <v>75</v>
      </c>
      <c r="F23" s="68" t="s">
        <v>76</v>
      </c>
      <c r="G23" s="8">
        <v>46051</v>
      </c>
      <c r="H23" s="8" t="s">
        <v>42</v>
      </c>
      <c r="I23" s="7">
        <f>G23+7</f>
        <v>46058</v>
      </c>
      <c r="J23" s="30">
        <f t="shared" si="5"/>
        <v>46058</v>
      </c>
      <c r="K23" s="7" t="s">
        <v>64</v>
      </c>
      <c r="L23" s="48">
        <v>40</v>
      </c>
      <c r="M23" s="48">
        <v>40</v>
      </c>
      <c r="N23" s="17">
        <v>2</v>
      </c>
      <c r="O23" s="135" t="s">
        <v>77</v>
      </c>
      <c r="P23" s="17">
        <f>SUM(M23:N23) / Capacity!$B$2</f>
        <v>6</v>
      </c>
      <c r="Q23" s="17">
        <f>SUM(M23:N23)/Capacity!$B$3</f>
        <v>5.25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25</v>
      </c>
      <c r="BE23" s="17" t="s">
        <v>25</v>
      </c>
      <c r="BF23" s="17" t="s">
        <v>25</v>
      </c>
      <c r="BG23" s="17" t="s">
        <v>25</v>
      </c>
      <c r="BH23" s="17" t="s">
        <v>25</v>
      </c>
      <c r="BI23" s="17"/>
      <c r="BJ23" s="17"/>
      <c r="BK23" s="17" t="s">
        <v>25</v>
      </c>
      <c r="BL23" s="127" t="s">
        <v>26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>
        <f t="shared" si="3"/>
        <v>6</v>
      </c>
    </row>
    <row r="24" spans="2:91" ht="15.75" customHeight="1">
      <c r="B24" s="5" t="s">
        <v>78</v>
      </c>
      <c r="C24" s="6" t="s">
        <v>62</v>
      </c>
      <c r="D24" s="6"/>
      <c r="E24" s="7">
        <v>46031</v>
      </c>
      <c r="F24" s="7">
        <v>46036</v>
      </c>
      <c r="G24" s="8" t="s">
        <v>42</v>
      </c>
      <c r="H24" s="7">
        <v>46038</v>
      </c>
      <c r="I24" s="7">
        <f>H24+7</f>
        <v>46045</v>
      </c>
      <c r="J24" s="30">
        <f t="shared" si="5"/>
        <v>46045</v>
      </c>
      <c r="K24" s="7" t="s">
        <v>79</v>
      </c>
      <c r="L24" s="48">
        <v>90</v>
      </c>
      <c r="M24" s="48">
        <v>80</v>
      </c>
      <c r="N24" s="17">
        <v>3</v>
      </c>
      <c r="O24" s="135" t="s">
        <v>48</v>
      </c>
      <c r="P24" s="17">
        <f>SUM(M24:N24) / Capacity!$B$2</f>
        <v>11.857142857142858</v>
      </c>
      <c r="Q24" s="17">
        <f>SUM(M24:N24)/Capacity!$B$3</f>
        <v>10.375</v>
      </c>
      <c r="R24" s="17"/>
      <c r="S24" s="17"/>
      <c r="T24" s="17"/>
      <c r="U24" s="17" t="s">
        <v>20</v>
      </c>
      <c r="V24" s="17" t="s">
        <v>20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25</v>
      </c>
      <c r="AM24" s="17" t="s">
        <v>25</v>
      </c>
      <c r="AN24" s="17"/>
      <c r="AO24" s="17"/>
      <c r="AP24" s="17" t="s">
        <v>25</v>
      </c>
      <c r="AQ24" s="17" t="s">
        <v>25</v>
      </c>
      <c r="AR24" s="17" t="s">
        <v>25</v>
      </c>
      <c r="AS24" s="17" t="s">
        <v>25</v>
      </c>
      <c r="AT24" s="17" t="s">
        <v>25</v>
      </c>
      <c r="AU24" s="17"/>
      <c r="AV24" s="17"/>
      <c r="AW24" s="17" t="s">
        <v>25</v>
      </c>
      <c r="AX24" s="17" t="s">
        <v>25</v>
      </c>
      <c r="AY24" s="17" t="s">
        <v>25</v>
      </c>
      <c r="AZ24" s="127" t="s">
        <v>26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 t="s">
        <v>20</v>
      </c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>
        <f t="shared" si="3"/>
        <v>10</v>
      </c>
    </row>
    <row r="25" spans="2:91" ht="15.75" customHeight="1">
      <c r="B25" s="5" t="s">
        <v>80</v>
      </c>
      <c r="C25" s="6" t="s">
        <v>62</v>
      </c>
      <c r="D25" s="6"/>
      <c r="E25" s="7">
        <v>46038</v>
      </c>
      <c r="F25" s="8" t="s">
        <v>42</v>
      </c>
      <c r="G25" s="8" t="s">
        <v>42</v>
      </c>
      <c r="H25" s="7">
        <v>46038</v>
      </c>
      <c r="I25" s="7">
        <f>H25+7</f>
        <v>46045</v>
      </c>
      <c r="J25" s="30">
        <f t="shared" si="5"/>
        <v>46045</v>
      </c>
      <c r="K25" s="7" t="s">
        <v>64</v>
      </c>
      <c r="L25" s="48">
        <v>40</v>
      </c>
      <c r="M25" s="48">
        <v>40</v>
      </c>
      <c r="N25" s="17">
        <v>3</v>
      </c>
      <c r="O25" s="17" t="s">
        <v>53</v>
      </c>
      <c r="P25" s="17">
        <f>SUM(M25:N25) / Capacity!$B$2</f>
        <v>6.1428571428571432</v>
      </c>
      <c r="Q25" s="17">
        <f>SUM(M25:N25)/Capacity!$B$3</f>
        <v>5.375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20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>
        <f t="shared" si="3"/>
        <v>0</v>
      </c>
    </row>
    <row r="26" spans="2:91" ht="15.75" customHeight="1">
      <c r="B26" s="5" t="s">
        <v>81</v>
      </c>
      <c r="C26" s="6" t="s">
        <v>62</v>
      </c>
      <c r="D26" s="6"/>
      <c r="E26" s="7">
        <v>46052</v>
      </c>
      <c r="F26" s="7">
        <v>46059</v>
      </c>
      <c r="G26" s="8" t="s">
        <v>42</v>
      </c>
      <c r="H26" s="7">
        <v>46066</v>
      </c>
      <c r="I26" s="35" t="s">
        <v>38</v>
      </c>
      <c r="J26" s="7"/>
      <c r="K26" s="7" t="s">
        <v>82</v>
      </c>
      <c r="L26" s="48">
        <v>10</v>
      </c>
      <c r="M26" s="48">
        <v>11</v>
      </c>
      <c r="N26" s="17" t="s">
        <v>20</v>
      </c>
      <c r="O26" s="17" t="s">
        <v>53</v>
      </c>
      <c r="P26" s="17">
        <f>SUM(M26:N26) / Capacity!$B$2</f>
        <v>1.5714285714285714</v>
      </c>
      <c r="Q26" s="17">
        <f>SUM(M26:N26)/Capacity!$B$3</f>
        <v>1.375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20</v>
      </c>
      <c r="BQ26" s="17"/>
      <c r="BR26" s="17" t="s">
        <v>20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>
        <f t="shared" si="3"/>
        <v>0</v>
      </c>
    </row>
    <row r="27" spans="2:91" ht="15.75" customHeight="1">
      <c r="B27" s="5" t="s">
        <v>83</v>
      </c>
      <c r="C27" s="6" t="s">
        <v>45</v>
      </c>
      <c r="D27" s="6"/>
      <c r="E27" s="14" t="s">
        <v>84</v>
      </c>
      <c r="F27" s="14" t="s">
        <v>84</v>
      </c>
      <c r="G27" s="15" t="s">
        <v>84</v>
      </c>
      <c r="H27" s="15" t="s">
        <v>84</v>
      </c>
      <c r="I27" s="15" t="s">
        <v>84</v>
      </c>
      <c r="J27" s="15" t="s">
        <v>84</v>
      </c>
      <c r="K27" s="7" t="s">
        <v>85</v>
      </c>
      <c r="L27" s="48" t="s">
        <v>86</v>
      </c>
      <c r="M27" s="48" t="s">
        <v>86</v>
      </c>
      <c r="N27" s="17" t="s">
        <v>20</v>
      </c>
      <c r="O27" s="17" t="s">
        <v>39</v>
      </c>
      <c r="P27" s="17">
        <f>SUM(M27:N27) / Capacity!$B$2</f>
        <v>0</v>
      </c>
      <c r="Q27" s="17">
        <f>SUM(M27:N27)/Capacity!$B$3</f>
        <v>0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20</v>
      </c>
      <c r="BR27" s="17"/>
      <c r="BS27" s="17" t="s">
        <v>20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>
        <f t="shared" si="3"/>
        <v>0</v>
      </c>
    </row>
    <row r="28" spans="2:91" ht="16.25" customHeight="1">
      <c r="B28" s="5" t="s">
        <v>87</v>
      </c>
      <c r="C28" s="6" t="s">
        <v>45</v>
      </c>
      <c r="D28" s="6"/>
      <c r="E28" s="14" t="s">
        <v>84</v>
      </c>
      <c r="F28" s="14" t="s">
        <v>84</v>
      </c>
      <c r="G28" s="15" t="s">
        <v>84</v>
      </c>
      <c r="H28" s="15" t="s">
        <v>84</v>
      </c>
      <c r="I28" s="15" t="s">
        <v>84</v>
      </c>
      <c r="J28" s="15" t="s">
        <v>84</v>
      </c>
      <c r="K28" s="7" t="s">
        <v>88</v>
      </c>
      <c r="L28" s="48">
        <v>19</v>
      </c>
      <c r="M28" s="48">
        <v>19</v>
      </c>
      <c r="N28" s="17" t="s">
        <v>20</v>
      </c>
      <c r="O28" s="17" t="s">
        <v>39</v>
      </c>
      <c r="P28" s="17">
        <f>SUM(M28:N28) / Capacity!$B$2</f>
        <v>2.7142857142857144</v>
      </c>
      <c r="Q28" s="17">
        <f>SUM(M28:N28)/Capacity!$B$3</f>
        <v>2.375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 t="s">
        <v>25</v>
      </c>
      <c r="AC28" s="17" t="s">
        <v>25</v>
      </c>
      <c r="AD28" s="127" t="s">
        <v>26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 t="s">
        <v>20</v>
      </c>
      <c r="BS28" s="17"/>
      <c r="BT28" s="17" t="s">
        <v>20</v>
      </c>
      <c r="BU28" s="17" t="s">
        <v>20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>
        <f t="shared" si="3"/>
        <v>2</v>
      </c>
    </row>
    <row r="29" spans="2:91" ht="15.75" customHeight="1">
      <c r="B29" s="5" t="s">
        <v>89</v>
      </c>
      <c r="C29" s="6" t="s">
        <v>45</v>
      </c>
      <c r="D29" s="6"/>
      <c r="E29" s="14" t="s">
        <v>84</v>
      </c>
      <c r="F29" s="14" t="s">
        <v>84</v>
      </c>
      <c r="G29" s="15" t="s">
        <v>84</v>
      </c>
      <c r="H29" s="15" t="s">
        <v>84</v>
      </c>
      <c r="I29" s="15" t="s">
        <v>84</v>
      </c>
      <c r="J29" s="15" t="s">
        <v>84</v>
      </c>
      <c r="K29" s="7" t="s">
        <v>90</v>
      </c>
      <c r="L29" s="48">
        <v>41</v>
      </c>
      <c r="M29" s="48">
        <v>41</v>
      </c>
      <c r="N29" s="17" t="s">
        <v>20</v>
      </c>
      <c r="O29" s="17" t="s">
        <v>48</v>
      </c>
      <c r="P29" s="17">
        <f>SUM(M29:N29) / Capacity!$B$2</f>
        <v>5.8571428571428568</v>
      </c>
      <c r="Q29" s="17">
        <f>SUM(M29:N29)/Capacity!$B$3</f>
        <v>5.125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 t="s">
        <v>25</v>
      </c>
      <c r="BA29" s="17" t="s">
        <v>25</v>
      </c>
      <c r="BB29" s="17"/>
      <c r="BC29" s="17"/>
      <c r="BD29" s="17" t="s">
        <v>25</v>
      </c>
      <c r="BE29" s="17" t="s">
        <v>25</v>
      </c>
      <c r="BF29" s="17" t="s">
        <v>25</v>
      </c>
      <c r="BG29" s="17" t="s">
        <v>25</v>
      </c>
      <c r="BH29" s="127" t="s">
        <v>26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 t="s">
        <v>20</v>
      </c>
      <c r="BT29" s="17" t="s">
        <v>20</v>
      </c>
      <c r="BU29" s="17"/>
      <c r="BV29" s="17" t="s">
        <v>20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>
        <f t="shared" si="3"/>
        <v>6</v>
      </c>
    </row>
    <row r="30" spans="2:91" ht="15.75" customHeight="1">
      <c r="B30" s="10"/>
      <c r="C30" s="11"/>
      <c r="D30" s="11"/>
      <c r="E30" s="12"/>
      <c r="F30" s="12"/>
      <c r="G30" s="12"/>
      <c r="H30" s="12"/>
      <c r="I30" s="12"/>
      <c r="J30" s="12"/>
      <c r="K30" s="12"/>
      <c r="L30" s="54"/>
      <c r="M30" s="54"/>
      <c r="N30" s="12"/>
      <c r="O30" s="12"/>
      <c r="P30" s="17">
        <f>SUM(M30:N30) / Capacity!$B$2</f>
        <v>0</v>
      </c>
      <c r="Q30" s="17">
        <f>SUM(M30:N30)/Capacity!$B$3</f>
        <v>0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>
        <f t="shared" si="3"/>
        <v>0</v>
      </c>
    </row>
    <row r="31" spans="2:91" ht="15.75" customHeight="1">
      <c r="B31" s="5" t="s">
        <v>91</v>
      </c>
      <c r="C31" s="13"/>
      <c r="D31" s="13"/>
      <c r="E31" s="14" t="s">
        <v>84</v>
      </c>
      <c r="F31" s="14" t="s">
        <v>84</v>
      </c>
      <c r="G31" s="15" t="s">
        <v>84</v>
      </c>
      <c r="H31" s="15" t="s">
        <v>84</v>
      </c>
      <c r="I31" s="14" t="s">
        <v>84</v>
      </c>
      <c r="J31" s="14" t="s">
        <v>84</v>
      </c>
      <c r="K31" s="17" t="s">
        <v>92</v>
      </c>
      <c r="L31" s="48">
        <v>47</v>
      </c>
      <c r="M31" s="48">
        <v>47</v>
      </c>
      <c r="N31" s="17" t="s">
        <v>20</v>
      </c>
      <c r="O31" s="17" t="s">
        <v>39</v>
      </c>
      <c r="P31" s="17">
        <f>SUM(M31:N31) / Capacity!$B$2</f>
        <v>6.7142857142857144</v>
      </c>
      <c r="Q31" s="17">
        <f>SUM(M31:N31)/Capacity!$B$3</f>
        <v>5.875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 t="s">
        <v>25</v>
      </c>
      <c r="AQ31" s="17" t="s">
        <v>25</v>
      </c>
      <c r="AR31" s="17" t="s">
        <v>25</v>
      </c>
      <c r="AS31" s="17" t="s">
        <v>25</v>
      </c>
      <c r="AT31" s="17" t="s">
        <v>25</v>
      </c>
      <c r="AU31" s="17"/>
      <c r="AV31" s="17"/>
      <c r="AW31" s="17" t="s">
        <v>25</v>
      </c>
      <c r="AX31" s="127" t="s">
        <v>26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>
        <f t="shared" si="3"/>
        <v>6</v>
      </c>
    </row>
    <row r="32" spans="2:91" ht="15.75" customHeight="1">
      <c r="B32" s="21" t="s">
        <v>93</v>
      </c>
      <c r="C32" s="22"/>
      <c r="D32" s="22"/>
      <c r="E32" s="23" t="s">
        <v>84</v>
      </c>
      <c r="F32" s="23" t="s">
        <v>84</v>
      </c>
      <c r="G32" s="24" t="s">
        <v>84</v>
      </c>
      <c r="H32" s="24" t="s">
        <v>84</v>
      </c>
      <c r="I32" s="23" t="s">
        <v>84</v>
      </c>
      <c r="J32" s="23" t="s">
        <v>84</v>
      </c>
      <c r="K32" s="25" t="s">
        <v>94</v>
      </c>
      <c r="L32" s="64">
        <v>5</v>
      </c>
      <c r="M32" s="64">
        <v>5</v>
      </c>
      <c r="N32" s="25" t="s">
        <v>20</v>
      </c>
      <c r="O32" s="25" t="s">
        <v>39</v>
      </c>
      <c r="P32" s="17">
        <f>SUM(M32:N32) / Capacity!$B$2</f>
        <v>0.7142857142857143</v>
      </c>
      <c r="Q32" s="17">
        <f>SUM(M32:N32)/Capacity!$B$3</f>
        <v>0.625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 t="s">
        <v>25</v>
      </c>
      <c r="AY32" s="127" t="s">
        <v>26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>
        <f t="shared" si="3"/>
        <v>1</v>
      </c>
    </row>
    <row r="33" spans="2:91" ht="15.75" customHeight="1">
      <c r="B33" s="26"/>
      <c r="C33" s="27"/>
      <c r="D33" s="27"/>
      <c r="E33" s="28"/>
      <c r="F33" s="28"/>
      <c r="G33" s="28"/>
      <c r="H33" s="28"/>
      <c r="I33" s="28"/>
      <c r="J33" s="28"/>
      <c r="K33" s="28"/>
      <c r="L33" s="66">
        <f>SUM(L3:L32)</f>
        <v>2179</v>
      </c>
      <c r="M33" s="66">
        <f>SUM(M4:M32)</f>
        <v>1768</v>
      </c>
      <c r="N33" s="29">
        <f>SUM(M3:N32)</f>
        <v>2333</v>
      </c>
      <c r="O33" s="29"/>
      <c r="P33" s="29">
        <f>SUM(P3:P32)</f>
        <v>333.28571428571428</v>
      </c>
      <c r="Q33" s="29">
        <f>SUM(Q3:Q32)</f>
        <v>249.1875</v>
      </c>
      <c r="R33" s="29">
        <f t="shared" ref="R33:AW33" si="6">COUNTIF(R3:R32, "X")</f>
        <v>1</v>
      </c>
      <c r="S33" s="29">
        <f t="shared" si="6"/>
        <v>0</v>
      </c>
      <c r="T33" s="29">
        <f t="shared" si="6"/>
        <v>0</v>
      </c>
      <c r="U33" s="29">
        <f t="shared" si="6"/>
        <v>3</v>
      </c>
      <c r="V33" s="29">
        <f t="shared" si="6"/>
        <v>3</v>
      </c>
      <c r="W33" s="29">
        <f t="shared" si="6"/>
        <v>3</v>
      </c>
      <c r="X33" s="29">
        <f t="shared" si="6"/>
        <v>2</v>
      </c>
      <c r="Y33" s="29">
        <f t="shared" si="6"/>
        <v>3</v>
      </c>
      <c r="Z33" s="29">
        <f t="shared" si="6"/>
        <v>0</v>
      </c>
      <c r="AA33" s="29">
        <f t="shared" si="6"/>
        <v>0</v>
      </c>
      <c r="AB33" s="29">
        <f t="shared" si="6"/>
        <v>4</v>
      </c>
      <c r="AC33" s="29">
        <f t="shared" si="6"/>
        <v>4</v>
      </c>
      <c r="AD33" s="29">
        <f t="shared" si="6"/>
        <v>3</v>
      </c>
      <c r="AE33" s="29">
        <f t="shared" si="6"/>
        <v>3</v>
      </c>
      <c r="AF33" s="29">
        <f t="shared" si="6"/>
        <v>3</v>
      </c>
      <c r="AG33" s="29">
        <f t="shared" si="6"/>
        <v>0</v>
      </c>
      <c r="AH33" s="29">
        <f t="shared" si="6"/>
        <v>0</v>
      </c>
      <c r="AI33" s="29">
        <f t="shared" si="6"/>
        <v>3</v>
      </c>
      <c r="AJ33" s="29">
        <f t="shared" si="6"/>
        <v>2</v>
      </c>
      <c r="AK33" s="29">
        <f t="shared" si="6"/>
        <v>3</v>
      </c>
      <c r="AL33" s="29">
        <f t="shared" si="6"/>
        <v>3</v>
      </c>
      <c r="AM33" s="29">
        <f t="shared" si="6"/>
        <v>3</v>
      </c>
      <c r="AN33" s="29">
        <f t="shared" si="6"/>
        <v>0</v>
      </c>
      <c r="AO33" s="29">
        <f t="shared" si="6"/>
        <v>0</v>
      </c>
      <c r="AP33" s="29">
        <f t="shared" si="6"/>
        <v>5</v>
      </c>
      <c r="AQ33" s="29">
        <f t="shared" si="6"/>
        <v>5</v>
      </c>
      <c r="AR33" s="29">
        <f t="shared" si="6"/>
        <v>4</v>
      </c>
      <c r="AS33" s="29">
        <f t="shared" si="6"/>
        <v>5</v>
      </c>
      <c r="AT33" s="29">
        <f t="shared" si="6"/>
        <v>5</v>
      </c>
      <c r="AU33" s="29">
        <f t="shared" si="6"/>
        <v>0</v>
      </c>
      <c r="AV33" s="29">
        <f t="shared" si="6"/>
        <v>0</v>
      </c>
      <c r="AW33" s="29">
        <f t="shared" si="6"/>
        <v>5</v>
      </c>
      <c r="AX33" s="29">
        <f t="shared" ref="AX33:CC33" si="7">COUNTIF(AX3:AX32, "X")</f>
        <v>5</v>
      </c>
      <c r="AY33" s="29">
        <f t="shared" si="7"/>
        <v>4</v>
      </c>
      <c r="AZ33" s="29">
        <f t="shared" si="7"/>
        <v>4</v>
      </c>
      <c r="BA33" s="29">
        <f t="shared" si="7"/>
        <v>4</v>
      </c>
      <c r="BB33" s="29">
        <f t="shared" si="7"/>
        <v>0</v>
      </c>
      <c r="BC33" s="29">
        <f t="shared" si="7"/>
        <v>0</v>
      </c>
      <c r="BD33" s="29">
        <f t="shared" si="7"/>
        <v>5</v>
      </c>
      <c r="BE33" s="29">
        <f t="shared" si="7"/>
        <v>8</v>
      </c>
      <c r="BF33" s="29">
        <f t="shared" si="7"/>
        <v>8</v>
      </c>
      <c r="BG33" s="29">
        <f t="shared" si="7"/>
        <v>7</v>
      </c>
      <c r="BH33" s="29">
        <f t="shared" si="7"/>
        <v>7</v>
      </c>
      <c r="BI33" s="29">
        <f t="shared" si="7"/>
        <v>1</v>
      </c>
      <c r="BJ33" s="29">
        <f t="shared" si="7"/>
        <v>0</v>
      </c>
      <c r="BK33" s="29">
        <f t="shared" si="7"/>
        <v>7</v>
      </c>
      <c r="BL33" s="29">
        <f t="shared" si="7"/>
        <v>6</v>
      </c>
      <c r="BM33" s="29">
        <f t="shared" si="7"/>
        <v>5</v>
      </c>
      <c r="BN33" s="29">
        <f t="shared" si="7"/>
        <v>4</v>
      </c>
      <c r="BO33" s="29">
        <f t="shared" si="7"/>
        <v>4</v>
      </c>
      <c r="BP33" s="29">
        <f t="shared" si="7"/>
        <v>0</v>
      </c>
      <c r="BQ33" s="29">
        <f t="shared" si="7"/>
        <v>0</v>
      </c>
      <c r="BR33" s="29">
        <f t="shared" si="7"/>
        <v>5</v>
      </c>
      <c r="BS33" s="29">
        <f t="shared" si="7"/>
        <v>5</v>
      </c>
      <c r="BT33" s="29">
        <f t="shared" si="7"/>
        <v>5</v>
      </c>
      <c r="BU33" s="29">
        <f t="shared" si="7"/>
        <v>5</v>
      </c>
      <c r="BV33" s="29">
        <f t="shared" si="7"/>
        <v>5</v>
      </c>
      <c r="BW33" s="29">
        <f t="shared" si="7"/>
        <v>0</v>
      </c>
      <c r="BX33" s="29">
        <f t="shared" si="7"/>
        <v>0</v>
      </c>
      <c r="BY33" s="29">
        <f t="shared" si="7"/>
        <v>4</v>
      </c>
      <c r="BZ33" s="29">
        <f t="shared" si="7"/>
        <v>1</v>
      </c>
      <c r="CA33" s="29">
        <f t="shared" si="7"/>
        <v>1</v>
      </c>
      <c r="CB33" s="29">
        <f t="shared" si="7"/>
        <v>1</v>
      </c>
      <c r="CC33" s="29">
        <f t="shared" si="7"/>
        <v>0</v>
      </c>
      <c r="CD33" s="29">
        <f t="shared" ref="CD33:CL33" si="8">COUNTIF(CD3:CD32, "X")</f>
        <v>0</v>
      </c>
      <c r="CE33" s="29">
        <f t="shared" si="8"/>
        <v>0</v>
      </c>
      <c r="CF33" s="29">
        <f t="shared" si="8"/>
        <v>0</v>
      </c>
      <c r="CG33" s="29">
        <f t="shared" si="8"/>
        <v>0</v>
      </c>
      <c r="CH33" s="29">
        <f t="shared" si="8"/>
        <v>0</v>
      </c>
      <c r="CI33" s="29">
        <f t="shared" si="8"/>
        <v>0</v>
      </c>
      <c r="CJ33" s="29">
        <f t="shared" si="8"/>
        <v>0</v>
      </c>
      <c r="CK33" s="29">
        <f t="shared" si="8"/>
        <v>0</v>
      </c>
      <c r="CL33" s="29">
        <f t="shared" si="8"/>
        <v>0</v>
      </c>
      <c r="CM33" s="29">
        <f>SUM(CM4:CM32)</f>
        <v>186</v>
      </c>
    </row>
    <row r="34" spans="2:91" ht="15.75" customHeight="1">
      <c r="C34" s="1"/>
      <c r="D34" s="1"/>
    </row>
    <row r="35" spans="2:91" ht="15.75" customHeight="1">
      <c r="C35" s="1"/>
      <c r="D35" s="1"/>
    </row>
    <row r="36" spans="2:91" ht="15.75" customHeight="1">
      <c r="C36" s="1"/>
      <c r="D36" s="1"/>
    </row>
    <row r="37" spans="2:91" ht="15.75" customHeight="1">
      <c r="C37" s="1"/>
      <c r="D37" s="1"/>
    </row>
    <row r="38" spans="2:91" ht="15.75" customHeight="1">
      <c r="C38" s="1"/>
      <c r="D38" s="1"/>
    </row>
    <row r="39" spans="2:91" ht="15.75" customHeight="1">
      <c r="C39" s="1"/>
      <c r="D39" s="1"/>
    </row>
    <row r="40" spans="2:91" ht="15.75" customHeight="1">
      <c r="C40" s="1"/>
      <c r="D40" s="1"/>
    </row>
    <row r="41" spans="2:91" ht="15.75" customHeight="1">
      <c r="C41" s="1"/>
      <c r="D41" s="1"/>
    </row>
    <row r="42" spans="2:91" ht="15.75" customHeight="1">
      <c r="C42" s="1"/>
      <c r="D42" s="1"/>
    </row>
    <row r="43" spans="2:91" ht="15.75" customHeight="1">
      <c r="C43" s="1"/>
      <c r="D43" s="1"/>
    </row>
    <row r="44" spans="2:91" ht="15.75" customHeight="1">
      <c r="C44" s="1"/>
      <c r="D44" s="1"/>
    </row>
    <row r="45" spans="2:91" ht="15.75" customHeight="1">
      <c r="C45" s="1"/>
      <c r="D45" s="1"/>
    </row>
    <row r="46" spans="2:91" ht="15.75" customHeight="1">
      <c r="C46" s="1"/>
      <c r="D46" s="1"/>
    </row>
    <row r="47" spans="2:91" ht="15.75" customHeight="1">
      <c r="C47" s="1"/>
      <c r="D47" s="1"/>
    </row>
    <row r="48" spans="2:91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  <row r="1008" spans="3:4" ht="15.75" customHeight="1">
      <c r="C1008" s="1"/>
      <c r="D1008" s="1"/>
    </row>
    <row r="1009" spans="3:4" ht="15.75" customHeight="1">
      <c r="C1009" s="1"/>
      <c r="D1009" s="1"/>
    </row>
    <row r="1010" spans="3:4" ht="15.75" customHeight="1">
      <c r="C1010" s="1"/>
      <c r="D1010" s="1"/>
    </row>
    <row r="1011" spans="3:4" ht="15.75" customHeight="1">
      <c r="C1011" s="1"/>
      <c r="D1011" s="1"/>
    </row>
  </sheetData>
  <autoFilter ref="B2:CM33" xr:uid="{00000000-0001-0000-0000-000000000000}"/>
  <mergeCells count="1">
    <mergeCell ref="E1:J1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0F6C-01A3-A049-8659-44FC6E38DD51}">
  <dimension ref="B1:DF1007"/>
  <sheetViews>
    <sheetView tabSelected="1" topLeftCell="A6" zoomScale="150" workbookViewId="0">
      <selection activeCell="O6" sqref="O6"/>
    </sheetView>
  </sheetViews>
  <sheetFormatPr baseColWidth="10" defaultColWidth="11.1640625" defaultRowHeight="16"/>
  <cols>
    <col min="1" max="1" width="3" customWidth="1"/>
    <col min="2" max="2" width="26.1640625" customWidth="1"/>
    <col min="3" max="3" width="10.6640625" customWidth="1"/>
    <col min="4" max="4" width="10" customWidth="1"/>
    <col min="5" max="5" width="16.83203125" customWidth="1"/>
    <col min="6" max="6" width="14.33203125" customWidth="1"/>
    <col min="7" max="7" width="13.1640625" customWidth="1"/>
    <col min="8" max="8" width="12.5" customWidth="1"/>
    <col min="9" max="9" width="13.5" customWidth="1"/>
    <col min="10" max="10" width="12.6640625" customWidth="1"/>
    <col min="11" max="11" width="26" customWidth="1"/>
    <col min="12" max="12" width="15.1640625" customWidth="1"/>
    <col min="13" max="13" width="14.6640625" customWidth="1"/>
    <col min="14" max="17" width="10.6640625" customWidth="1"/>
    <col min="18" max="109" width="3.6640625" customWidth="1"/>
    <col min="110" max="110" width="7.1640625" customWidth="1"/>
  </cols>
  <sheetData>
    <row r="1" spans="2:110" ht="15.75" customHeight="1" thickBot="1">
      <c r="C1" s="1"/>
      <c r="D1" s="1"/>
      <c r="E1" s="160" t="s">
        <v>0</v>
      </c>
      <c r="F1" s="161"/>
      <c r="G1" s="161"/>
      <c r="H1" s="161"/>
      <c r="I1" s="161"/>
      <c r="J1" s="161"/>
      <c r="K1" s="16"/>
      <c r="L1" s="41"/>
      <c r="M1" s="4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spans="2:110" ht="37" thickBot="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3" t="s">
        <v>11</v>
      </c>
      <c r="M2" s="43" t="s">
        <v>12</v>
      </c>
      <c r="N2" s="4" t="s">
        <v>13</v>
      </c>
      <c r="O2" s="4" t="s">
        <v>14</v>
      </c>
      <c r="P2" s="4" t="s">
        <v>179</v>
      </c>
      <c r="Q2" s="4" t="s">
        <v>173</v>
      </c>
      <c r="R2" s="32">
        <v>46024</v>
      </c>
      <c r="S2" s="33">
        <f t="shared" ref="S2:CD2" si="0">R2+1</f>
        <v>46025</v>
      </c>
      <c r="T2" s="33">
        <f t="shared" si="0"/>
        <v>46026</v>
      </c>
      <c r="U2" s="32">
        <f t="shared" si="0"/>
        <v>46027</v>
      </c>
      <c r="V2" s="32">
        <f t="shared" si="0"/>
        <v>46028</v>
      </c>
      <c r="W2" s="32">
        <f t="shared" si="0"/>
        <v>46029</v>
      </c>
      <c r="X2" s="32">
        <f t="shared" si="0"/>
        <v>46030</v>
      </c>
      <c r="Y2" s="32">
        <f t="shared" si="0"/>
        <v>46031</v>
      </c>
      <c r="Z2" s="33">
        <f t="shared" si="0"/>
        <v>46032</v>
      </c>
      <c r="AA2" s="33">
        <f t="shared" si="0"/>
        <v>46033</v>
      </c>
      <c r="AB2" s="32">
        <f t="shared" si="0"/>
        <v>46034</v>
      </c>
      <c r="AC2" s="32">
        <f t="shared" si="0"/>
        <v>46035</v>
      </c>
      <c r="AD2" s="32">
        <f t="shared" si="0"/>
        <v>46036</v>
      </c>
      <c r="AE2" s="32">
        <f t="shared" si="0"/>
        <v>46037</v>
      </c>
      <c r="AF2" s="32">
        <f t="shared" si="0"/>
        <v>46038</v>
      </c>
      <c r="AG2" s="33">
        <f t="shared" si="0"/>
        <v>46039</v>
      </c>
      <c r="AH2" s="33">
        <f t="shared" si="0"/>
        <v>46040</v>
      </c>
      <c r="AI2" s="32">
        <f t="shared" si="0"/>
        <v>46041</v>
      </c>
      <c r="AJ2" s="32">
        <f t="shared" si="0"/>
        <v>46042</v>
      </c>
      <c r="AK2" s="32">
        <f t="shared" si="0"/>
        <v>46043</v>
      </c>
      <c r="AL2" s="32">
        <f t="shared" si="0"/>
        <v>46044</v>
      </c>
      <c r="AM2" s="32">
        <f t="shared" si="0"/>
        <v>46045</v>
      </c>
      <c r="AN2" s="33">
        <f t="shared" si="0"/>
        <v>46046</v>
      </c>
      <c r="AO2" s="33">
        <f t="shared" si="0"/>
        <v>46047</v>
      </c>
      <c r="AP2" s="32">
        <f t="shared" si="0"/>
        <v>46048</v>
      </c>
      <c r="AQ2" s="32">
        <f t="shared" si="0"/>
        <v>46049</v>
      </c>
      <c r="AR2" s="32">
        <f t="shared" si="0"/>
        <v>46050</v>
      </c>
      <c r="AS2" s="32">
        <f t="shared" si="0"/>
        <v>46051</v>
      </c>
      <c r="AT2" s="32">
        <f t="shared" si="0"/>
        <v>46052</v>
      </c>
      <c r="AU2" s="33">
        <f t="shared" si="0"/>
        <v>46053</v>
      </c>
      <c r="AV2" s="33">
        <f t="shared" si="0"/>
        <v>46054</v>
      </c>
      <c r="AW2" s="32">
        <f t="shared" si="0"/>
        <v>46055</v>
      </c>
      <c r="AX2" s="32">
        <f t="shared" si="0"/>
        <v>46056</v>
      </c>
      <c r="AY2" s="32">
        <f t="shared" si="0"/>
        <v>46057</v>
      </c>
      <c r="AZ2" s="32">
        <f t="shared" si="0"/>
        <v>46058</v>
      </c>
      <c r="BA2" s="32">
        <f t="shared" si="0"/>
        <v>46059</v>
      </c>
      <c r="BB2" s="33">
        <f t="shared" si="0"/>
        <v>46060</v>
      </c>
      <c r="BC2" s="33">
        <f t="shared" si="0"/>
        <v>46061</v>
      </c>
      <c r="BD2" s="32">
        <f t="shared" si="0"/>
        <v>46062</v>
      </c>
      <c r="BE2" s="32">
        <f t="shared" si="0"/>
        <v>46063</v>
      </c>
      <c r="BF2" s="32">
        <f t="shared" si="0"/>
        <v>46064</v>
      </c>
      <c r="BG2" s="32">
        <f t="shared" si="0"/>
        <v>46065</v>
      </c>
      <c r="BH2" s="32">
        <f t="shared" si="0"/>
        <v>46066</v>
      </c>
      <c r="BI2" s="33">
        <f t="shared" si="0"/>
        <v>46067</v>
      </c>
      <c r="BJ2" s="33">
        <f t="shared" si="0"/>
        <v>46068</v>
      </c>
      <c r="BK2" s="32">
        <f t="shared" si="0"/>
        <v>46069</v>
      </c>
      <c r="BL2" s="32">
        <f t="shared" si="0"/>
        <v>46070</v>
      </c>
      <c r="BM2" s="32">
        <f t="shared" si="0"/>
        <v>46071</v>
      </c>
      <c r="BN2" s="32">
        <f t="shared" si="0"/>
        <v>46072</v>
      </c>
      <c r="BO2" s="32">
        <f t="shared" si="0"/>
        <v>46073</v>
      </c>
      <c r="BP2" s="33">
        <f t="shared" si="0"/>
        <v>46074</v>
      </c>
      <c r="BQ2" s="33">
        <f t="shared" si="0"/>
        <v>46075</v>
      </c>
      <c r="BR2" s="32">
        <f t="shared" si="0"/>
        <v>46076</v>
      </c>
      <c r="BS2" s="32">
        <f t="shared" si="0"/>
        <v>46077</v>
      </c>
      <c r="BT2" s="32">
        <f t="shared" si="0"/>
        <v>46078</v>
      </c>
      <c r="BU2" s="32">
        <f t="shared" si="0"/>
        <v>46079</v>
      </c>
      <c r="BV2" s="32">
        <f t="shared" si="0"/>
        <v>46080</v>
      </c>
      <c r="BW2" s="33">
        <f t="shared" si="0"/>
        <v>46081</v>
      </c>
      <c r="BX2" s="33">
        <f t="shared" si="0"/>
        <v>46082</v>
      </c>
      <c r="BY2" s="32">
        <f t="shared" si="0"/>
        <v>46083</v>
      </c>
      <c r="BZ2" s="32">
        <f t="shared" si="0"/>
        <v>46084</v>
      </c>
      <c r="CA2" s="32">
        <f t="shared" si="0"/>
        <v>46085</v>
      </c>
      <c r="CB2" s="32">
        <f t="shared" si="0"/>
        <v>46086</v>
      </c>
      <c r="CC2" s="32">
        <f t="shared" si="0"/>
        <v>46087</v>
      </c>
      <c r="CD2" s="33">
        <f t="shared" si="0"/>
        <v>46088</v>
      </c>
      <c r="CE2" s="33">
        <f t="shared" ref="CE2:CK2" si="1">CD2+1</f>
        <v>46089</v>
      </c>
      <c r="CF2" s="32">
        <f t="shared" si="1"/>
        <v>46090</v>
      </c>
      <c r="CG2" s="32">
        <f t="shared" si="1"/>
        <v>46091</v>
      </c>
      <c r="CH2" s="32">
        <f t="shared" si="1"/>
        <v>46092</v>
      </c>
      <c r="CI2" s="32">
        <f t="shared" si="1"/>
        <v>46093</v>
      </c>
      <c r="CJ2" s="32">
        <f t="shared" si="1"/>
        <v>46094</v>
      </c>
      <c r="CK2" s="33">
        <f t="shared" si="1"/>
        <v>46095</v>
      </c>
      <c r="CL2" s="33">
        <f>CJ2+1</f>
        <v>46095</v>
      </c>
      <c r="CM2" s="32">
        <f t="shared" ref="CM2" si="2">CL2+1</f>
        <v>46096</v>
      </c>
      <c r="CN2" s="32">
        <f t="shared" ref="CN2" si="3">CM2+1</f>
        <v>46097</v>
      </c>
      <c r="CO2" s="32">
        <f t="shared" ref="CO2:DE2" si="4">CN2+1</f>
        <v>46098</v>
      </c>
      <c r="CP2" s="32">
        <f t="shared" si="4"/>
        <v>46099</v>
      </c>
      <c r="CQ2" s="32">
        <f t="shared" si="4"/>
        <v>46100</v>
      </c>
      <c r="CR2" s="33">
        <f t="shared" ref="CR2" si="5">CQ2+1</f>
        <v>46101</v>
      </c>
      <c r="CS2" s="33">
        <f>CQ2+1</f>
        <v>46101</v>
      </c>
      <c r="CT2" s="32">
        <f t="shared" si="4"/>
        <v>46102</v>
      </c>
      <c r="CU2" s="32">
        <f t="shared" si="4"/>
        <v>46103</v>
      </c>
      <c r="CV2" s="32">
        <f t="shared" si="4"/>
        <v>46104</v>
      </c>
      <c r="CW2" s="32">
        <f t="shared" si="4"/>
        <v>46105</v>
      </c>
      <c r="CX2" s="32">
        <f t="shared" si="4"/>
        <v>46106</v>
      </c>
      <c r="CY2" s="33">
        <f t="shared" ref="CY2" si="6">CX2+1</f>
        <v>46107</v>
      </c>
      <c r="CZ2" s="33">
        <f>CX2+1</f>
        <v>46107</v>
      </c>
      <c r="DA2" s="32">
        <f t="shared" si="4"/>
        <v>46108</v>
      </c>
      <c r="DB2" s="32">
        <f t="shared" si="4"/>
        <v>46109</v>
      </c>
      <c r="DC2" s="32">
        <f t="shared" si="4"/>
        <v>46110</v>
      </c>
      <c r="DD2" s="32">
        <f t="shared" si="4"/>
        <v>46111</v>
      </c>
      <c r="DE2" s="32">
        <f t="shared" si="4"/>
        <v>46112</v>
      </c>
      <c r="DF2" s="31" t="s">
        <v>17</v>
      </c>
    </row>
    <row r="3" spans="2:110" ht="28.25" customHeight="1" thickTop="1" thickBot="1">
      <c r="B3" s="152" t="s">
        <v>23</v>
      </c>
      <c r="C3" s="6" t="s">
        <v>19</v>
      </c>
      <c r="D3" s="6"/>
      <c r="E3" s="131">
        <v>46015</v>
      </c>
      <c r="F3" s="8">
        <v>46029</v>
      </c>
      <c r="G3" s="8">
        <f>F3+2</f>
        <v>46031</v>
      </c>
      <c r="H3" s="8" t="s">
        <v>42</v>
      </c>
      <c r="I3" s="7">
        <f>G3+7</f>
        <v>46038</v>
      </c>
      <c r="J3" s="30">
        <f>I3</f>
        <v>46038</v>
      </c>
      <c r="K3" s="7"/>
      <c r="L3" s="48">
        <v>575</v>
      </c>
      <c r="M3" s="124">
        <v>55</v>
      </c>
      <c r="N3" s="17">
        <v>1</v>
      </c>
      <c r="O3" s="17" t="s">
        <v>24</v>
      </c>
      <c r="P3" s="17">
        <f>SUM(M3:N3) / Capacity!$B$2</f>
        <v>8</v>
      </c>
      <c r="Q3" s="175">
        <f>SUM(M3:N3)/Capacity!$B$3</f>
        <v>7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 t="s">
        <v>25</v>
      </c>
      <c r="AG3" s="17"/>
      <c r="AH3" s="17"/>
      <c r="AI3" s="17" t="s">
        <v>25</v>
      </c>
      <c r="AJ3" s="17" t="s">
        <v>25</v>
      </c>
      <c r="AK3" s="17" t="s">
        <v>25</v>
      </c>
      <c r="AL3" s="17" t="s">
        <v>25</v>
      </c>
      <c r="AM3" s="17" t="s">
        <v>25</v>
      </c>
      <c r="AN3" s="17"/>
      <c r="AO3" s="17"/>
      <c r="AP3" s="17" t="s">
        <v>25</v>
      </c>
      <c r="AQ3" s="127" t="s">
        <v>26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>
        <f t="shared" ref="DF3:DF29" si="7">COUNTIF(R3:DE3,"X")</f>
        <v>7</v>
      </c>
    </row>
    <row r="4" spans="2:110" ht="28.25" customHeight="1" thickBot="1">
      <c r="B4" s="152" t="s">
        <v>27</v>
      </c>
      <c r="C4" s="6" t="s">
        <v>19</v>
      </c>
      <c r="D4" s="6"/>
      <c r="E4" s="131">
        <v>46015</v>
      </c>
      <c r="F4" s="8">
        <v>46029</v>
      </c>
      <c r="G4" s="8">
        <f>F4+2</f>
        <v>46031</v>
      </c>
      <c r="H4" s="8" t="s">
        <v>42</v>
      </c>
      <c r="I4" s="7">
        <f>G4+7</f>
        <v>46038</v>
      </c>
      <c r="J4" s="30">
        <f t="shared" ref="J4:J10" si="8">I4</f>
        <v>46038</v>
      </c>
      <c r="K4" s="7"/>
      <c r="L4" s="48"/>
      <c r="M4" s="124">
        <v>85</v>
      </c>
      <c r="N4" s="17">
        <v>2</v>
      </c>
      <c r="O4" s="17" t="s">
        <v>31</v>
      </c>
      <c r="P4" s="17">
        <f>SUM(M4:N4) / Capacity!$B$2</f>
        <v>12.428571428571429</v>
      </c>
      <c r="Q4" s="175">
        <f>SUM(M4:N4)/Capacity!$B$3</f>
        <v>10.875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 t="s">
        <v>25</v>
      </c>
      <c r="AG4" s="17"/>
      <c r="AH4" s="17"/>
      <c r="AI4" s="17" t="s">
        <v>25</v>
      </c>
      <c r="AJ4" s="17" t="s">
        <v>25</v>
      </c>
      <c r="AK4" s="17" t="s">
        <v>25</v>
      </c>
      <c r="AL4" s="17" t="s">
        <v>25</v>
      </c>
      <c r="AM4" s="17" t="s">
        <v>25</v>
      </c>
      <c r="AN4" s="17"/>
      <c r="AO4" s="17"/>
      <c r="AP4" s="17" t="s">
        <v>25</v>
      </c>
      <c r="AQ4" s="17" t="s">
        <v>25</v>
      </c>
      <c r="AR4" s="17" t="s">
        <v>25</v>
      </c>
      <c r="AS4" s="17" t="s">
        <v>25</v>
      </c>
      <c r="AT4" s="17" t="s">
        <v>25</v>
      </c>
      <c r="AU4" s="17"/>
      <c r="AV4" s="17"/>
      <c r="AW4" s="127" t="s">
        <v>29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>
        <f t="shared" si="7"/>
        <v>11</v>
      </c>
    </row>
    <row r="5" spans="2:110" ht="28.25" customHeight="1" thickBot="1">
      <c r="B5" s="152" t="s">
        <v>30</v>
      </c>
      <c r="C5" s="6" t="s">
        <v>19</v>
      </c>
      <c r="D5" s="6"/>
      <c r="E5" s="131">
        <v>46015</v>
      </c>
      <c r="F5" s="8">
        <v>46031</v>
      </c>
      <c r="G5" s="8">
        <f t="shared" ref="G5:G20" si="9">F5+7</f>
        <v>46038</v>
      </c>
      <c r="H5" s="8" t="s">
        <v>42</v>
      </c>
      <c r="I5" s="7">
        <f t="shared" ref="I5:I10" si="10">G5+7</f>
        <v>46045</v>
      </c>
      <c r="J5" s="30">
        <f t="shared" si="8"/>
        <v>46045</v>
      </c>
      <c r="K5" s="7"/>
      <c r="L5" s="48"/>
      <c r="M5" s="124">
        <v>75</v>
      </c>
      <c r="N5" s="17">
        <v>4</v>
      </c>
      <c r="O5" s="17" t="s">
        <v>31</v>
      </c>
      <c r="P5" s="17">
        <f>SUM(M5:N5) / Capacity!$B$2</f>
        <v>11.285714285714286</v>
      </c>
      <c r="Q5" s="175">
        <f>SUM(M5:N5)/Capacity!$B$3</f>
        <v>9.875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 t="s">
        <v>25</v>
      </c>
      <c r="AX5" s="17" t="s">
        <v>25</v>
      </c>
      <c r="AY5" s="17" t="s">
        <v>25</v>
      </c>
      <c r="AZ5" s="17" t="s">
        <v>25</v>
      </c>
      <c r="BA5" s="17" t="s">
        <v>25</v>
      </c>
      <c r="BB5" s="17"/>
      <c r="BC5" s="17"/>
      <c r="BD5" s="17" t="s">
        <v>25</v>
      </c>
      <c r="BE5" s="17" t="s">
        <v>25</v>
      </c>
      <c r="BF5" s="17" t="s">
        <v>25</v>
      </c>
      <c r="BG5" s="17" t="s">
        <v>25</v>
      </c>
      <c r="BH5" s="17" t="s">
        <v>25</v>
      </c>
      <c r="BI5" s="17"/>
      <c r="BJ5" s="17"/>
      <c r="BK5" s="127" t="s">
        <v>29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>
        <f t="shared" si="7"/>
        <v>10</v>
      </c>
    </row>
    <row r="6" spans="2:110" ht="28.25" customHeight="1" thickBot="1">
      <c r="B6" s="152" t="s">
        <v>32</v>
      </c>
      <c r="C6" s="6" t="s">
        <v>19</v>
      </c>
      <c r="D6" s="6"/>
      <c r="E6" s="131">
        <v>46015</v>
      </c>
      <c r="F6" s="8">
        <v>46031</v>
      </c>
      <c r="G6" s="8">
        <f t="shared" si="9"/>
        <v>46038</v>
      </c>
      <c r="H6" s="8" t="s">
        <v>42</v>
      </c>
      <c r="I6" s="7">
        <f>G6+5</f>
        <v>46043</v>
      </c>
      <c r="J6" s="30">
        <f t="shared" si="8"/>
        <v>46043</v>
      </c>
      <c r="K6" s="7"/>
      <c r="L6" s="48"/>
      <c r="M6" s="124">
        <v>40</v>
      </c>
      <c r="N6" s="17">
        <v>3</v>
      </c>
      <c r="O6" s="17" t="s">
        <v>33</v>
      </c>
      <c r="P6" s="17">
        <f>SUM(M6:N6) / Capacity!$B$2</f>
        <v>6.1428571428571432</v>
      </c>
      <c r="Q6" s="175">
        <f>SUM(M6:N6)/Capacity!$B$3</f>
        <v>5.375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20</v>
      </c>
      <c r="AL6" s="17" t="s">
        <v>20</v>
      </c>
      <c r="AM6" s="17" t="s">
        <v>20</v>
      </c>
      <c r="AN6" s="17"/>
      <c r="AO6" s="17"/>
      <c r="AP6" s="17" t="s">
        <v>20</v>
      </c>
      <c r="AQ6" s="17" t="s">
        <v>25</v>
      </c>
      <c r="AR6" s="17" t="s">
        <v>25</v>
      </c>
      <c r="AS6" s="17" t="s">
        <v>25</v>
      </c>
      <c r="AT6" s="17" t="s">
        <v>25</v>
      </c>
      <c r="AU6" s="17"/>
      <c r="AV6" s="17"/>
      <c r="AW6" s="17" t="s">
        <v>25</v>
      </c>
      <c r="AX6" s="147" t="s">
        <v>26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>
        <f t="shared" si="7"/>
        <v>5</v>
      </c>
    </row>
    <row r="7" spans="2:110" ht="28.25" customHeight="1" thickBot="1">
      <c r="B7" s="152" t="s">
        <v>34</v>
      </c>
      <c r="C7" s="6" t="s">
        <v>19</v>
      </c>
      <c r="D7" s="6"/>
      <c r="E7" s="131">
        <v>46015</v>
      </c>
      <c r="F7" s="8">
        <v>46031</v>
      </c>
      <c r="G7" s="8">
        <f>F7+14</f>
        <v>46045</v>
      </c>
      <c r="H7" s="8" t="s">
        <v>42</v>
      </c>
      <c r="I7" s="7">
        <f>G7+6</f>
        <v>46051</v>
      </c>
      <c r="J7" s="30">
        <f t="shared" si="8"/>
        <v>46051</v>
      </c>
      <c r="K7" s="7"/>
      <c r="L7" s="48"/>
      <c r="M7" s="124">
        <v>75</v>
      </c>
      <c r="N7" s="17">
        <v>5</v>
      </c>
      <c r="O7" s="17" t="s">
        <v>33</v>
      </c>
      <c r="P7" s="17">
        <f>SUM(M7:N7) / Capacity!$B$2</f>
        <v>11.428571428571429</v>
      </c>
      <c r="Q7" s="175">
        <f>SUM(M7:N7)/Capacity!$B$3</f>
        <v>10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 t="s">
        <v>20</v>
      </c>
      <c r="AT7" s="17" t="s">
        <v>20</v>
      </c>
      <c r="AU7" s="17"/>
      <c r="AV7" s="17"/>
      <c r="AW7" s="17" t="s">
        <v>20</v>
      </c>
      <c r="AX7" s="17" t="s">
        <v>25</v>
      </c>
      <c r="AY7" s="17" t="s">
        <v>25</v>
      </c>
      <c r="AZ7" s="17" t="s">
        <v>25</v>
      </c>
      <c r="BA7" s="17" t="s">
        <v>25</v>
      </c>
      <c r="BB7" s="17"/>
      <c r="BC7" s="17"/>
      <c r="BD7" s="17" t="s">
        <v>25</v>
      </c>
      <c r="BE7" s="17" t="s">
        <v>25</v>
      </c>
      <c r="BF7" s="17" t="s">
        <v>25</v>
      </c>
      <c r="BG7" s="17" t="s">
        <v>25</v>
      </c>
      <c r="BH7" s="17" t="s">
        <v>25</v>
      </c>
      <c r="BI7" s="17"/>
      <c r="BJ7" s="17"/>
      <c r="BK7" s="17" t="s">
        <v>25</v>
      </c>
      <c r="BL7" s="147" t="s">
        <v>26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>
        <f t="shared" si="7"/>
        <v>10</v>
      </c>
    </row>
    <row r="8" spans="2:110" ht="28.25" customHeight="1" thickBot="1">
      <c r="B8" s="152" t="s">
        <v>35</v>
      </c>
      <c r="C8" s="6" t="s">
        <v>19</v>
      </c>
      <c r="D8" s="6"/>
      <c r="E8" s="131">
        <v>46015</v>
      </c>
      <c r="F8" s="8">
        <v>46038</v>
      </c>
      <c r="G8" s="8">
        <f t="shared" si="9"/>
        <v>46045</v>
      </c>
      <c r="H8" s="8" t="s">
        <v>42</v>
      </c>
      <c r="I8" s="7">
        <f t="shared" si="10"/>
        <v>46052</v>
      </c>
      <c r="J8" s="30">
        <f t="shared" si="8"/>
        <v>46052</v>
      </c>
      <c r="K8" s="7"/>
      <c r="L8" s="48"/>
      <c r="M8" s="124">
        <v>85</v>
      </c>
      <c r="N8" s="17">
        <v>7</v>
      </c>
      <c r="O8" s="17" t="s">
        <v>33</v>
      </c>
      <c r="P8" s="17">
        <f>SUM(M8:N8) / Capacity!$B$2</f>
        <v>13.142857142857142</v>
      </c>
      <c r="Q8" s="175">
        <f>SUM(M8:N8)/Capacity!$B$3</f>
        <v>11.5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 t="s">
        <v>20</v>
      </c>
      <c r="BI8" s="17"/>
      <c r="BJ8" s="17"/>
      <c r="BK8" s="17" t="s">
        <v>20</v>
      </c>
      <c r="BL8" s="17" t="s">
        <v>20</v>
      </c>
      <c r="BM8" s="17" t="s">
        <v>25</v>
      </c>
      <c r="BN8" s="17" t="s">
        <v>25</v>
      </c>
      <c r="BO8" s="17" t="s">
        <v>25</v>
      </c>
      <c r="BP8" s="17"/>
      <c r="BQ8" s="17"/>
      <c r="BR8" s="17" t="s">
        <v>25</v>
      </c>
      <c r="BS8" s="17" t="s">
        <v>25</v>
      </c>
      <c r="BT8" s="17" t="s">
        <v>25</v>
      </c>
      <c r="BU8" s="17" t="s">
        <v>25</v>
      </c>
      <c r="BV8" s="17" t="s">
        <v>25</v>
      </c>
      <c r="BW8" s="17"/>
      <c r="BX8" s="17"/>
      <c r="BY8" s="17" t="s">
        <v>25</v>
      </c>
      <c r="BZ8" s="17" t="s">
        <v>25</v>
      </c>
      <c r="CA8" s="17" t="s">
        <v>25</v>
      </c>
      <c r="CB8" s="17" t="s">
        <v>25</v>
      </c>
      <c r="CC8" s="147" t="s">
        <v>26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>
        <f t="shared" si="7"/>
        <v>12</v>
      </c>
    </row>
    <row r="9" spans="2:110" ht="28.25" customHeight="1" thickBot="1">
      <c r="B9" s="152" t="s">
        <v>36</v>
      </c>
      <c r="C9" s="6" t="s">
        <v>19</v>
      </c>
      <c r="D9" s="6"/>
      <c r="E9" s="131">
        <v>46015</v>
      </c>
      <c r="F9" s="8">
        <v>46038</v>
      </c>
      <c r="G9" s="8">
        <f t="shared" si="9"/>
        <v>46045</v>
      </c>
      <c r="H9" s="8" t="s">
        <v>42</v>
      </c>
      <c r="I9" s="7">
        <f t="shared" ref="I9" si="11">G9+7</f>
        <v>46052</v>
      </c>
      <c r="J9" s="30">
        <f t="shared" si="8"/>
        <v>46052</v>
      </c>
      <c r="K9" s="7"/>
      <c r="L9" s="48"/>
      <c r="M9" s="134">
        <v>40</v>
      </c>
      <c r="N9" s="17">
        <v>6</v>
      </c>
      <c r="O9" s="17" t="s">
        <v>31</v>
      </c>
      <c r="P9" s="17">
        <f>SUM(M9:N9) / Capacity!$B$2</f>
        <v>6.5714285714285712</v>
      </c>
      <c r="Q9" s="175">
        <f>SUM(M9:N9)/Capacity!$B$3</f>
        <v>5.75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20</v>
      </c>
      <c r="BF9" s="17" t="s">
        <v>20</v>
      </c>
      <c r="BG9" s="17" t="s">
        <v>20</v>
      </c>
      <c r="BH9" s="17" t="s">
        <v>20</v>
      </c>
      <c r="BI9" s="17"/>
      <c r="BJ9" s="17"/>
      <c r="BK9" s="17" t="s">
        <v>25</v>
      </c>
      <c r="BL9" s="17" t="s">
        <v>25</v>
      </c>
      <c r="BM9" s="17" t="s">
        <v>25</v>
      </c>
      <c r="BN9" s="17" t="s">
        <v>25</v>
      </c>
      <c r="BO9" s="17" t="s">
        <v>25</v>
      </c>
      <c r="BP9" s="17"/>
      <c r="BQ9" s="17"/>
      <c r="BR9" s="17" t="s">
        <v>25</v>
      </c>
      <c r="BS9" s="147" t="s">
        <v>26</v>
      </c>
      <c r="BT9" s="17" t="s">
        <v>20</v>
      </c>
      <c r="BU9" s="17" t="s">
        <v>20</v>
      </c>
      <c r="BV9" s="17" t="s">
        <v>20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>
        <f t="shared" si="7"/>
        <v>6</v>
      </c>
    </row>
    <row r="10" spans="2:110" ht="28.25" customHeight="1" thickBot="1">
      <c r="B10" s="152" t="s">
        <v>37</v>
      </c>
      <c r="C10" s="6" t="s">
        <v>19</v>
      </c>
      <c r="D10" s="6"/>
      <c r="E10" s="150">
        <v>46055</v>
      </c>
      <c r="F10" s="8">
        <f>E10+7</f>
        <v>46062</v>
      </c>
      <c r="G10" s="8">
        <f t="shared" si="9"/>
        <v>46069</v>
      </c>
      <c r="H10" s="8" t="s">
        <v>42</v>
      </c>
      <c r="I10" s="7">
        <f t="shared" si="10"/>
        <v>46076</v>
      </c>
      <c r="J10" s="30">
        <f t="shared" si="8"/>
        <v>46076</v>
      </c>
      <c r="K10" s="7"/>
      <c r="L10" s="48"/>
      <c r="M10" s="134">
        <v>40</v>
      </c>
      <c r="N10" s="17"/>
      <c r="O10" s="17" t="s">
        <v>39</v>
      </c>
      <c r="P10" s="17">
        <f>SUM(M10:N10) / Capacity!$B$2</f>
        <v>5.7142857142857144</v>
      </c>
      <c r="Q10" s="175">
        <f>SUM(M10:N10)/Capacity!$B$3</f>
        <v>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 t="s">
        <v>25</v>
      </c>
      <c r="BS10" s="17" t="s">
        <v>25</v>
      </c>
      <c r="BT10" s="17" t="s">
        <v>25</v>
      </c>
      <c r="BU10" s="17" t="s">
        <v>25</v>
      </c>
      <c r="BV10" s="17" t="s">
        <v>25</v>
      </c>
      <c r="BW10" s="17"/>
      <c r="BX10" s="17"/>
      <c r="BY10" s="127" t="s">
        <v>26</v>
      </c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>
        <f t="shared" si="7"/>
        <v>5</v>
      </c>
    </row>
    <row r="11" spans="2:110" ht="30" customHeight="1" thickBot="1">
      <c r="B11" s="148" t="s">
        <v>40</v>
      </c>
      <c r="C11" s="6" t="s">
        <v>41</v>
      </c>
      <c r="D11" s="6"/>
      <c r="E11" s="7">
        <v>46031</v>
      </c>
      <c r="F11" s="7">
        <v>46035</v>
      </c>
      <c r="G11" s="8">
        <f t="shared" si="9"/>
        <v>46042</v>
      </c>
      <c r="H11" s="8" t="s">
        <v>42</v>
      </c>
      <c r="I11" s="7">
        <f t="shared" ref="I11:I12" si="12">G11+7</f>
        <v>46049</v>
      </c>
      <c r="J11" s="30">
        <f t="shared" ref="J11:J22" si="13">I11</f>
        <v>46049</v>
      </c>
      <c r="K11" s="7" t="s">
        <v>43</v>
      </c>
      <c r="L11" s="48">
        <v>177</v>
      </c>
      <c r="M11" s="48">
        <v>200</v>
      </c>
      <c r="N11" s="17">
        <v>1</v>
      </c>
      <c r="O11" s="17" t="s">
        <v>31</v>
      </c>
      <c r="P11" s="17">
        <f>SUM(M11:N11) / Capacity!$B$2</f>
        <v>28.714285714285715</v>
      </c>
      <c r="Q11" s="175">
        <f>SUM(M11:N11)/Capacity!$B$3</f>
        <v>25.125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 t="s">
        <v>20</v>
      </c>
      <c r="AE11" s="17" t="s">
        <v>20</v>
      </c>
      <c r="AF11" s="17" t="s">
        <v>20</v>
      </c>
      <c r="AG11" s="17" t="s">
        <v>20</v>
      </c>
      <c r="AH11" s="17" t="s">
        <v>20</v>
      </c>
      <c r="AI11" s="17" t="s">
        <v>20</v>
      </c>
      <c r="AJ11" s="17"/>
      <c r="AK11" s="17"/>
      <c r="AL11" s="17"/>
      <c r="AM11" s="17"/>
      <c r="AN11" s="17"/>
      <c r="AO11" s="17"/>
      <c r="AP11" s="17"/>
      <c r="AQ11" s="17"/>
      <c r="AR11" s="17" t="s">
        <v>20</v>
      </c>
      <c r="AS11" s="17" t="s">
        <v>20</v>
      </c>
      <c r="AT11" s="17" t="s">
        <v>20</v>
      </c>
      <c r="AU11" s="17" t="s">
        <v>20</v>
      </c>
      <c r="AV11" s="17" t="s">
        <v>20</v>
      </c>
      <c r="AW11" s="17" t="s">
        <v>20</v>
      </c>
      <c r="AX11" s="17" t="s">
        <v>20</v>
      </c>
      <c r="AY11" s="17" t="s">
        <v>20</v>
      </c>
      <c r="AZ11" s="17"/>
      <c r="BA11" s="17"/>
      <c r="BB11" s="17" t="s">
        <v>20</v>
      </c>
      <c r="BC11" s="17" t="s">
        <v>20</v>
      </c>
      <c r="BD11" s="17" t="s">
        <v>20</v>
      </c>
      <c r="BE11" s="17" t="s">
        <v>20</v>
      </c>
      <c r="BF11" s="17" t="s">
        <v>20</v>
      </c>
      <c r="BG11" s="17" t="s">
        <v>20</v>
      </c>
      <c r="BH11" s="17"/>
      <c r="BI11" s="17"/>
      <c r="BJ11" s="17"/>
      <c r="BK11" s="17"/>
      <c r="BL11" s="17"/>
      <c r="BM11" s="17"/>
      <c r="BN11" s="17"/>
      <c r="BO11" s="17"/>
      <c r="BP11" s="17" t="s">
        <v>20</v>
      </c>
      <c r="BQ11" s="17" t="s">
        <v>20</v>
      </c>
      <c r="BR11" s="17" t="s">
        <v>20</v>
      </c>
      <c r="BS11" s="17" t="s">
        <v>25</v>
      </c>
      <c r="BT11" s="17" t="s">
        <v>25</v>
      </c>
      <c r="BU11" s="17" t="s">
        <v>25</v>
      </c>
      <c r="BV11" s="17" t="s">
        <v>25</v>
      </c>
      <c r="BW11" s="17" t="s">
        <v>20</v>
      </c>
      <c r="BX11" s="17" t="s">
        <v>20</v>
      </c>
      <c r="BY11" s="17" t="s">
        <v>25</v>
      </c>
      <c r="BZ11" s="17" t="s">
        <v>25</v>
      </c>
      <c r="CA11" s="17" t="s">
        <v>25</v>
      </c>
      <c r="CB11" s="17" t="s">
        <v>25</v>
      </c>
      <c r="CC11" s="17" t="s">
        <v>25</v>
      </c>
      <c r="CD11" s="17" t="s">
        <v>20</v>
      </c>
      <c r="CE11" s="17" t="s">
        <v>20</v>
      </c>
      <c r="CF11" s="17" t="s">
        <v>25</v>
      </c>
      <c r="CG11" s="17" t="s">
        <v>25</v>
      </c>
      <c r="CH11" s="17" t="s">
        <v>25</v>
      </c>
      <c r="CI11" s="17" t="s">
        <v>25</v>
      </c>
      <c r="CJ11" s="17" t="s">
        <v>25</v>
      </c>
      <c r="CK11" s="17" t="s">
        <v>20</v>
      </c>
      <c r="CL11" s="17" t="s">
        <v>20</v>
      </c>
      <c r="CM11" s="17" t="s">
        <v>25</v>
      </c>
      <c r="CN11" s="17" t="s">
        <v>25</v>
      </c>
      <c r="CO11" s="17" t="s">
        <v>25</v>
      </c>
      <c r="CP11" s="17" t="s">
        <v>25</v>
      </c>
      <c r="CQ11" s="17" t="s">
        <v>25</v>
      </c>
      <c r="CR11" s="17" t="s">
        <v>20</v>
      </c>
      <c r="CS11" s="17" t="s">
        <v>20</v>
      </c>
      <c r="CT11" s="17" t="s">
        <v>25</v>
      </c>
      <c r="CU11" s="17" t="s">
        <v>25</v>
      </c>
      <c r="CV11" s="17" t="s">
        <v>25</v>
      </c>
      <c r="CW11" s="17" t="s">
        <v>25</v>
      </c>
      <c r="CX11" s="17" t="s">
        <v>25</v>
      </c>
      <c r="CY11" s="17" t="s">
        <v>20</v>
      </c>
      <c r="CZ11" s="17" t="s">
        <v>20</v>
      </c>
      <c r="DA11" s="17" t="s">
        <v>25</v>
      </c>
      <c r="DB11" s="147" t="s">
        <v>26</v>
      </c>
      <c r="DC11" s="17"/>
      <c r="DD11" s="17"/>
      <c r="DE11" s="17"/>
      <c r="DF11" s="17">
        <f t="shared" si="7"/>
        <v>25</v>
      </c>
    </row>
    <row r="12" spans="2:110" ht="17" thickBot="1">
      <c r="B12" s="148" t="s">
        <v>44</v>
      </c>
      <c r="C12" s="6" t="s">
        <v>45</v>
      </c>
      <c r="D12" s="6"/>
      <c r="E12" s="151" t="s">
        <v>174</v>
      </c>
      <c r="F12" s="149">
        <v>46045</v>
      </c>
      <c r="G12" s="8">
        <f t="shared" si="9"/>
        <v>46052</v>
      </c>
      <c r="H12" s="8" t="s">
        <v>42</v>
      </c>
      <c r="I12" s="7">
        <f t="shared" si="12"/>
        <v>46059</v>
      </c>
      <c r="J12" s="30">
        <f t="shared" si="13"/>
        <v>46059</v>
      </c>
      <c r="K12" s="7" t="s">
        <v>47</v>
      </c>
      <c r="L12" s="48">
        <v>260</v>
      </c>
      <c r="M12" s="48">
        <v>180</v>
      </c>
      <c r="N12" s="17">
        <v>4</v>
      </c>
      <c r="O12" s="17" t="s">
        <v>48</v>
      </c>
      <c r="P12" s="17">
        <f>SUM(M12:N12) / Capacity!$B$2</f>
        <v>26.285714285714285</v>
      </c>
      <c r="Q12" s="175">
        <f>SUM(M12:N12)/(Capacity!$B$3*2)</f>
        <v>11.5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 t="s">
        <v>25</v>
      </c>
      <c r="BI12" s="17"/>
      <c r="BJ12" s="17"/>
      <c r="BK12" s="17" t="s">
        <v>25</v>
      </c>
      <c r="BL12" s="17" t="s">
        <v>25</v>
      </c>
      <c r="BM12" s="17" t="s">
        <v>25</v>
      </c>
      <c r="BN12" s="17" t="s">
        <v>25</v>
      </c>
      <c r="BO12" s="17" t="s">
        <v>25</v>
      </c>
      <c r="BP12" s="17"/>
      <c r="BQ12" s="17"/>
      <c r="BR12" s="17" t="s">
        <v>25</v>
      </c>
      <c r="BS12" s="17" t="s">
        <v>25</v>
      </c>
      <c r="BT12" s="17" t="s">
        <v>25</v>
      </c>
      <c r="BU12" s="17" t="s">
        <v>25</v>
      </c>
      <c r="BV12" s="17" t="s">
        <v>25</v>
      </c>
      <c r="BW12" s="17"/>
      <c r="BX12" s="17"/>
      <c r="BY12" s="17" t="s">
        <v>25</v>
      </c>
      <c r="BZ12" s="127" t="s">
        <v>26</v>
      </c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>
        <f t="shared" si="7"/>
        <v>12</v>
      </c>
    </row>
    <row r="13" spans="2:110" ht="22.25" customHeight="1" thickBot="1">
      <c r="B13" s="148" t="s">
        <v>49</v>
      </c>
      <c r="C13" s="6" t="s">
        <v>45</v>
      </c>
      <c r="D13" s="6" t="s">
        <v>50</v>
      </c>
      <c r="E13" s="151" t="s">
        <v>174</v>
      </c>
      <c r="F13" s="7">
        <v>46041</v>
      </c>
      <c r="G13" s="8">
        <f t="shared" si="9"/>
        <v>46048</v>
      </c>
      <c r="H13" s="8" t="s">
        <v>42</v>
      </c>
      <c r="I13" s="7">
        <f t="shared" ref="I13" si="14">G13+7</f>
        <v>46055</v>
      </c>
      <c r="J13" s="30">
        <f t="shared" ref="J13" si="15">I13</f>
        <v>46055</v>
      </c>
      <c r="K13" s="7" t="s">
        <v>52</v>
      </c>
      <c r="L13" s="48">
        <v>120</v>
      </c>
      <c r="M13" s="48">
        <v>120</v>
      </c>
      <c r="N13" s="17">
        <v>4</v>
      </c>
      <c r="O13" s="17" t="s">
        <v>53</v>
      </c>
      <c r="P13" s="17">
        <f>SUM(M13:N13) / Capacity!$B$2</f>
        <v>17.714285714285715</v>
      </c>
      <c r="Q13" s="175">
        <f>SUM(M13:N13)/Capacity!$B$3</f>
        <v>15.5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20</v>
      </c>
      <c r="BE13" s="17" t="s">
        <v>20</v>
      </c>
      <c r="BF13" s="17" t="s">
        <v>20</v>
      </c>
      <c r="BG13" s="17" t="s">
        <v>20</v>
      </c>
      <c r="BH13" s="17" t="s">
        <v>25</v>
      </c>
      <c r="BI13" s="17"/>
      <c r="BJ13" s="17"/>
      <c r="BK13" s="17" t="s">
        <v>25</v>
      </c>
      <c r="BL13" s="17" t="s">
        <v>25</v>
      </c>
      <c r="BM13" s="17" t="s">
        <v>25</v>
      </c>
      <c r="BN13" s="17" t="s">
        <v>25</v>
      </c>
      <c r="BO13" s="17" t="s">
        <v>25</v>
      </c>
      <c r="BP13" s="17"/>
      <c r="BQ13" s="17"/>
      <c r="BR13" s="17" t="s">
        <v>25</v>
      </c>
      <c r="BS13" s="17" t="s">
        <v>25</v>
      </c>
      <c r="BT13" s="17" t="s">
        <v>25</v>
      </c>
      <c r="BU13" s="17" t="s">
        <v>25</v>
      </c>
      <c r="BV13" s="17" t="s">
        <v>25</v>
      </c>
      <c r="BW13" s="17"/>
      <c r="BX13" s="17"/>
      <c r="BY13" s="17" t="s">
        <v>25</v>
      </c>
      <c r="BZ13" s="17" t="s">
        <v>25</v>
      </c>
      <c r="CA13" s="17" t="s">
        <v>25</v>
      </c>
      <c r="CB13" s="17" t="s">
        <v>25</v>
      </c>
      <c r="CC13" s="147" t="s">
        <v>26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>
        <f t="shared" si="7"/>
        <v>15</v>
      </c>
    </row>
    <row r="14" spans="2:110" ht="17" thickBot="1">
      <c r="B14" s="153" t="s">
        <v>54</v>
      </c>
      <c r="C14" s="154" t="s">
        <v>45</v>
      </c>
      <c r="D14" s="154" t="s">
        <v>50</v>
      </c>
      <c r="E14" s="155" t="s">
        <v>175</v>
      </c>
      <c r="F14" s="36">
        <v>46010</v>
      </c>
      <c r="G14" s="156" t="s">
        <v>42</v>
      </c>
      <c r="H14" s="157">
        <v>46031</v>
      </c>
      <c r="I14" s="157">
        <f>H14+7</f>
        <v>46038</v>
      </c>
      <c r="J14" s="158">
        <f t="shared" si="13"/>
        <v>46038</v>
      </c>
      <c r="K14" s="7" t="s">
        <v>56</v>
      </c>
      <c r="L14" s="48">
        <v>35</v>
      </c>
      <c r="M14" s="48">
        <v>35</v>
      </c>
      <c r="N14" s="17">
        <v>5</v>
      </c>
      <c r="O14" s="17" t="s">
        <v>39</v>
      </c>
      <c r="P14" s="17">
        <f>SUM(M14:N14) / Capacity!$B$2</f>
        <v>5.7142857142857144</v>
      </c>
      <c r="Q14" s="175">
        <f>SUM(M14:N14)/Capacity!$B$3</f>
        <v>5</v>
      </c>
      <c r="R14" s="17" t="s">
        <v>20</v>
      </c>
      <c r="S14" s="17"/>
      <c r="T14" s="17"/>
      <c r="U14" s="17" t="s">
        <v>25</v>
      </c>
      <c r="V14" s="17" t="s">
        <v>25</v>
      </c>
      <c r="W14" s="17" t="s">
        <v>25</v>
      </c>
      <c r="X14" s="17" t="s">
        <v>25</v>
      </c>
      <c r="Y14" s="17" t="s">
        <v>25</v>
      </c>
      <c r="Z14" s="17"/>
      <c r="AA14" s="17"/>
      <c r="AB14" s="127" t="s">
        <v>26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>
        <f t="shared" si="7"/>
        <v>5</v>
      </c>
    </row>
    <row r="15" spans="2:110" ht="27" customHeight="1" thickBot="1">
      <c r="B15" s="148" t="s">
        <v>59</v>
      </c>
      <c r="C15" s="9" t="s">
        <v>45</v>
      </c>
      <c r="D15" s="9"/>
      <c r="E15" s="151" t="s">
        <v>176</v>
      </c>
      <c r="F15" s="150">
        <v>46041</v>
      </c>
      <c r="G15" s="8">
        <f t="shared" si="9"/>
        <v>46048</v>
      </c>
      <c r="H15" s="8" t="s">
        <v>42</v>
      </c>
      <c r="I15" s="7">
        <f t="shared" ref="I15" si="16">G15+7</f>
        <v>46055</v>
      </c>
      <c r="J15" s="30">
        <f t="shared" ref="J15" si="17">I15</f>
        <v>46055</v>
      </c>
      <c r="K15" s="7" t="s">
        <v>60</v>
      </c>
      <c r="L15" s="48">
        <v>80</v>
      </c>
      <c r="M15" s="48">
        <v>60</v>
      </c>
      <c r="N15" s="17">
        <v>5</v>
      </c>
      <c r="O15" s="17" t="s">
        <v>39</v>
      </c>
      <c r="P15" s="17">
        <f>SUM(M15:N15) / Capacity!$B$2</f>
        <v>9.2857142857142865</v>
      </c>
      <c r="Q15" s="175">
        <f>SUM(M15:N15)/Capacity!$B$3</f>
        <v>8.125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20</v>
      </c>
      <c r="AM15" s="17" t="s">
        <v>20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25</v>
      </c>
      <c r="BE15" s="17" t="s">
        <v>25</v>
      </c>
      <c r="BF15" s="17" t="s">
        <v>25</v>
      </c>
      <c r="BG15" s="17" t="s">
        <v>25</v>
      </c>
      <c r="BH15" s="17" t="s">
        <v>25</v>
      </c>
      <c r="BI15" s="17"/>
      <c r="BJ15" s="17"/>
      <c r="BK15" s="17" t="s">
        <v>25</v>
      </c>
      <c r="BL15" s="17" t="s">
        <v>25</v>
      </c>
      <c r="BM15" s="17" t="s">
        <v>25</v>
      </c>
      <c r="BN15" s="127" t="s">
        <v>26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>
        <f t="shared" si="7"/>
        <v>8</v>
      </c>
    </row>
    <row r="16" spans="2:110" ht="17" thickBot="1">
      <c r="B16" s="153" t="s">
        <v>61</v>
      </c>
      <c r="C16" s="154" t="s">
        <v>62</v>
      </c>
      <c r="D16" s="154"/>
      <c r="E16" s="155" t="s">
        <v>177</v>
      </c>
      <c r="F16" s="157">
        <v>46015</v>
      </c>
      <c r="G16" s="156" t="s">
        <v>42</v>
      </c>
      <c r="H16" s="157">
        <v>46031</v>
      </c>
      <c r="I16" s="157">
        <f>H16+7</f>
        <v>46038</v>
      </c>
      <c r="J16" s="158">
        <f t="shared" si="13"/>
        <v>46038</v>
      </c>
      <c r="K16" s="7" t="s">
        <v>64</v>
      </c>
      <c r="L16" s="48">
        <v>20</v>
      </c>
      <c r="M16" s="48">
        <v>20</v>
      </c>
      <c r="N16" s="17">
        <v>6</v>
      </c>
      <c r="O16" s="17" t="s">
        <v>53</v>
      </c>
      <c r="P16" s="17">
        <f>SUM(M16:N16) / Capacity!$B$2</f>
        <v>3.7142857142857144</v>
      </c>
      <c r="Q16" s="175">
        <f>SUM(M16:N16)/Capacity!$B$3</f>
        <v>3.25</v>
      </c>
      <c r="R16" s="17"/>
      <c r="S16" s="17"/>
      <c r="T16" s="17"/>
      <c r="U16" s="17" t="s">
        <v>25</v>
      </c>
      <c r="V16" s="17" t="s">
        <v>25</v>
      </c>
      <c r="W16" s="17" t="s">
        <v>25</v>
      </c>
      <c r="X16" s="147" t="s">
        <v>26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>
        <f t="shared" si="7"/>
        <v>3</v>
      </c>
    </row>
    <row r="17" spans="2:110" ht="25" thickBot="1">
      <c r="B17" s="148" t="s">
        <v>65</v>
      </c>
      <c r="C17" s="6" t="s">
        <v>66</v>
      </c>
      <c r="D17" s="6"/>
      <c r="E17" s="56">
        <v>46027</v>
      </c>
      <c r="F17" s="7">
        <f>E17+7</f>
        <v>46034</v>
      </c>
      <c r="G17" s="8">
        <f t="shared" si="9"/>
        <v>46041</v>
      </c>
      <c r="H17" s="8" t="s">
        <v>42</v>
      </c>
      <c r="I17" s="7">
        <f t="shared" ref="I17" si="18">G17+7</f>
        <v>46048</v>
      </c>
      <c r="J17" s="30">
        <f t="shared" ref="J17" si="19">I17</f>
        <v>46048</v>
      </c>
      <c r="K17" s="7" t="s">
        <v>69</v>
      </c>
      <c r="L17" s="48">
        <v>140</v>
      </c>
      <c r="M17" s="48">
        <v>100</v>
      </c>
      <c r="N17" s="17">
        <v>5</v>
      </c>
      <c r="O17" s="17" t="s">
        <v>53</v>
      </c>
      <c r="P17" s="17">
        <f>SUM(M17:N17) / Capacity!$B$2</f>
        <v>15</v>
      </c>
      <c r="Q17" s="175">
        <f>SUM(M17:N17)/Capacity!$B$3</f>
        <v>13.125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 t="s">
        <v>25</v>
      </c>
      <c r="AQ17" s="17" t="s">
        <v>25</v>
      </c>
      <c r="AR17" s="17" t="s">
        <v>25</v>
      </c>
      <c r="AS17" s="17" t="s">
        <v>25</v>
      </c>
      <c r="AT17" s="17" t="s">
        <v>25</v>
      </c>
      <c r="AU17" s="17"/>
      <c r="AV17" s="17"/>
      <c r="AW17" s="17" t="s">
        <v>25</v>
      </c>
      <c r="AX17" s="17" t="s">
        <v>25</v>
      </c>
      <c r="AY17" s="17" t="s">
        <v>25</v>
      </c>
      <c r="AZ17" s="17" t="s">
        <v>25</v>
      </c>
      <c r="BA17" s="17" t="s">
        <v>25</v>
      </c>
      <c r="BB17" s="17"/>
      <c r="BC17" s="17"/>
      <c r="BD17" s="17"/>
      <c r="BE17" s="17" t="s">
        <v>25</v>
      </c>
      <c r="BF17" s="17" t="s">
        <v>25</v>
      </c>
      <c r="BG17" s="17" t="s">
        <v>25</v>
      </c>
      <c r="BH17" s="147" t="s">
        <v>26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>
        <f t="shared" si="7"/>
        <v>13</v>
      </c>
    </row>
    <row r="18" spans="2:110" ht="17" thickBot="1">
      <c r="B18" s="153" t="s">
        <v>70</v>
      </c>
      <c r="C18" s="154" t="s">
        <v>71</v>
      </c>
      <c r="D18" s="154"/>
      <c r="E18" s="157">
        <v>46045</v>
      </c>
      <c r="F18" s="157">
        <v>46052</v>
      </c>
      <c r="G18" s="156" t="s">
        <v>42</v>
      </c>
      <c r="H18" s="157">
        <v>46059</v>
      </c>
      <c r="I18" s="157">
        <f>H18+7</f>
        <v>46066</v>
      </c>
      <c r="J18" s="158">
        <f t="shared" si="13"/>
        <v>46066</v>
      </c>
      <c r="K18" s="7" t="s">
        <v>64</v>
      </c>
      <c r="L18" s="48">
        <v>90</v>
      </c>
      <c r="M18" s="48">
        <v>60</v>
      </c>
      <c r="N18" s="17" t="s">
        <v>20</v>
      </c>
      <c r="O18" s="135" t="s">
        <v>48</v>
      </c>
      <c r="P18" s="17">
        <f>SUM(M18:N18) / Capacity!$B$2</f>
        <v>8.5714285714285712</v>
      </c>
      <c r="Q18" s="175">
        <f>SUM(M18:N18)/Capacity!$B$3</f>
        <v>7.5</v>
      </c>
      <c r="R18" s="17"/>
      <c r="S18" s="17"/>
      <c r="T18" s="17"/>
      <c r="U18" s="17" t="s">
        <v>20</v>
      </c>
      <c r="V18" s="17" t="s">
        <v>20</v>
      </c>
      <c r="W18" s="17"/>
      <c r="X18" s="17"/>
      <c r="Y18" s="17"/>
      <c r="Z18" s="17"/>
      <c r="AA18" s="17"/>
      <c r="AB18" s="17" t="s">
        <v>25</v>
      </c>
      <c r="AC18" s="17" t="s">
        <v>25</v>
      </c>
      <c r="AD18" s="17" t="s">
        <v>25</v>
      </c>
      <c r="AE18" s="17" t="s">
        <v>25</v>
      </c>
      <c r="AF18" s="17" t="s">
        <v>25</v>
      </c>
      <c r="AG18" s="17"/>
      <c r="AH18" s="17"/>
      <c r="AI18" s="17" t="s">
        <v>25</v>
      </c>
      <c r="AJ18" s="17" t="s">
        <v>25</v>
      </c>
      <c r="AK18" s="17" t="s">
        <v>25</v>
      </c>
      <c r="AL18" s="127" t="s">
        <v>26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 t="s">
        <v>20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>
        <f t="shared" si="7"/>
        <v>8</v>
      </c>
    </row>
    <row r="19" spans="2:110" ht="15.75" customHeight="1" thickBot="1">
      <c r="B19" s="148" t="s">
        <v>72</v>
      </c>
      <c r="C19" s="6" t="s">
        <v>41</v>
      </c>
      <c r="D19" s="6"/>
      <c r="E19" s="56">
        <v>46041</v>
      </c>
      <c r="F19" s="19">
        <f>E19+7</f>
        <v>46048</v>
      </c>
      <c r="G19" s="8">
        <f t="shared" si="9"/>
        <v>46055</v>
      </c>
      <c r="H19" s="8" t="s">
        <v>42</v>
      </c>
      <c r="I19" s="7">
        <f t="shared" ref="I19:I20" si="20">G19+7</f>
        <v>46062</v>
      </c>
      <c r="J19" s="30">
        <f t="shared" ref="J19:J20" si="21">I19</f>
        <v>46062</v>
      </c>
      <c r="K19" s="19" t="s">
        <v>73</v>
      </c>
      <c r="L19" s="57">
        <v>350</v>
      </c>
      <c r="M19" s="124">
        <v>215</v>
      </c>
      <c r="N19" s="20">
        <v>4</v>
      </c>
      <c r="O19" s="146" t="s">
        <v>178</v>
      </c>
      <c r="P19" s="17">
        <f>SUM(M19:N19) / Capacity!$B$2</f>
        <v>31.285714285714285</v>
      </c>
      <c r="Q19" s="175">
        <f>SUM(M19:N19)/(Capacity!$B$3*2)</f>
        <v>13.6875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20</v>
      </c>
      <c r="BE19" s="17" t="s">
        <v>20</v>
      </c>
      <c r="BF19" s="17" t="s">
        <v>20</v>
      </c>
      <c r="BG19" s="17" t="s">
        <v>20</v>
      </c>
      <c r="BH19" s="17" t="s">
        <v>20</v>
      </c>
      <c r="BI19" s="17"/>
      <c r="BJ19" s="17"/>
      <c r="BK19" s="17" t="s">
        <v>20</v>
      </c>
      <c r="BL19" s="17" t="s">
        <v>20</v>
      </c>
      <c r="BM19" s="17" t="s">
        <v>20</v>
      </c>
      <c r="BN19" s="17" t="s">
        <v>25</v>
      </c>
      <c r="BO19" s="17" t="s">
        <v>25</v>
      </c>
      <c r="BP19" s="17" t="s">
        <v>20</v>
      </c>
      <c r="BQ19" s="17"/>
      <c r="BR19" s="17" t="s">
        <v>25</v>
      </c>
      <c r="BS19" s="17" t="s">
        <v>25</v>
      </c>
      <c r="BT19" s="17" t="s">
        <v>25</v>
      </c>
      <c r="BU19" s="17" t="s">
        <v>25</v>
      </c>
      <c r="BV19" s="17" t="s">
        <v>25</v>
      </c>
      <c r="BW19" s="17" t="s">
        <v>20</v>
      </c>
      <c r="BX19" s="17" t="s">
        <v>20</v>
      </c>
      <c r="BY19" s="17" t="s">
        <v>25</v>
      </c>
      <c r="BZ19" s="17" t="s">
        <v>25</v>
      </c>
      <c r="CA19" s="17" t="s">
        <v>25</v>
      </c>
      <c r="CB19" s="17" t="s">
        <v>25</v>
      </c>
      <c r="CC19" s="17" t="s">
        <v>25</v>
      </c>
      <c r="CD19" s="17"/>
      <c r="CE19" s="17"/>
      <c r="CF19" s="17" t="s">
        <v>25</v>
      </c>
      <c r="CG19" s="17" t="s">
        <v>25</v>
      </c>
      <c r="CH19" s="17" t="s">
        <v>25</v>
      </c>
      <c r="CI19" s="17" t="s">
        <v>25</v>
      </c>
      <c r="CJ19" s="17" t="s">
        <v>25</v>
      </c>
      <c r="CK19" s="17"/>
      <c r="CL19" s="17"/>
      <c r="CM19" s="17" t="s">
        <v>25</v>
      </c>
      <c r="CN19" s="17" t="s">
        <v>25</v>
      </c>
      <c r="CO19" s="17" t="s">
        <v>25</v>
      </c>
      <c r="CP19" s="17" t="s">
        <v>25</v>
      </c>
      <c r="CQ19" s="147" t="s">
        <v>26</v>
      </c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 t="s">
        <v>20</v>
      </c>
      <c r="DE19" s="17" t="s">
        <v>20</v>
      </c>
      <c r="DF19" s="17">
        <f t="shared" si="7"/>
        <v>21</v>
      </c>
    </row>
    <row r="20" spans="2:110" ht="29.25" customHeight="1" thickBot="1">
      <c r="B20" s="148" t="s">
        <v>74</v>
      </c>
      <c r="C20" s="6" t="s">
        <v>62</v>
      </c>
      <c r="D20" s="6"/>
      <c r="E20" s="7">
        <v>46038</v>
      </c>
      <c r="F20" s="159">
        <f>E20+7</f>
        <v>46045</v>
      </c>
      <c r="G20" s="8">
        <f t="shared" si="9"/>
        <v>46052</v>
      </c>
      <c r="H20" s="8" t="s">
        <v>42</v>
      </c>
      <c r="I20" s="7">
        <f t="shared" si="20"/>
        <v>46059</v>
      </c>
      <c r="J20" s="30">
        <f t="shared" si="21"/>
        <v>46059</v>
      </c>
      <c r="K20" s="7" t="s">
        <v>64</v>
      </c>
      <c r="L20" s="48">
        <v>40</v>
      </c>
      <c r="M20" s="48">
        <v>40</v>
      </c>
      <c r="N20" s="17">
        <v>2</v>
      </c>
      <c r="O20" s="135" t="s">
        <v>77</v>
      </c>
      <c r="P20" s="17">
        <f>SUM(M20:N20) / Capacity!$B$2</f>
        <v>6</v>
      </c>
      <c r="Q20" s="175">
        <f>SUM(M20:N20)/Capacity!$B$3</f>
        <v>5.25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25</v>
      </c>
      <c r="BE20" s="17" t="s">
        <v>25</v>
      </c>
      <c r="BF20" s="17" t="s">
        <v>25</v>
      </c>
      <c r="BG20" s="17" t="s">
        <v>25</v>
      </c>
      <c r="BH20" s="17" t="s">
        <v>25</v>
      </c>
      <c r="BI20" s="17"/>
      <c r="BJ20" s="17"/>
      <c r="BK20" s="127" t="s">
        <v>26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>
        <f t="shared" si="7"/>
        <v>5</v>
      </c>
    </row>
    <row r="21" spans="2:110" ht="15.75" customHeight="1" thickBot="1">
      <c r="B21" s="148" t="s">
        <v>78</v>
      </c>
      <c r="C21" s="6" t="s">
        <v>62</v>
      </c>
      <c r="D21" s="6"/>
      <c r="E21" s="7">
        <v>46031</v>
      </c>
      <c r="F21" s="7">
        <v>46036</v>
      </c>
      <c r="G21" s="8" t="s">
        <v>42</v>
      </c>
      <c r="H21" s="7">
        <v>46038</v>
      </c>
      <c r="I21" s="7">
        <f>H21+7</f>
        <v>46045</v>
      </c>
      <c r="J21" s="30">
        <f t="shared" si="13"/>
        <v>46045</v>
      </c>
      <c r="K21" s="7" t="s">
        <v>79</v>
      </c>
      <c r="L21" s="48">
        <v>90</v>
      </c>
      <c r="M21" s="48">
        <v>80</v>
      </c>
      <c r="N21" s="17">
        <v>3</v>
      </c>
      <c r="O21" s="135" t="s">
        <v>48</v>
      </c>
      <c r="P21" s="17">
        <f>SUM(M21:N21) / Capacity!$B$2</f>
        <v>11.857142857142858</v>
      </c>
      <c r="Q21" s="175">
        <f>SUM(M21:N21)/Capacity!$B$3</f>
        <v>10.375</v>
      </c>
      <c r="R21" s="17"/>
      <c r="S21" s="17"/>
      <c r="T21" s="17"/>
      <c r="U21" s="17" t="s">
        <v>20</v>
      </c>
      <c r="V21" s="17" t="s">
        <v>20</v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25</v>
      </c>
      <c r="AM21" s="17" t="s">
        <v>25</v>
      </c>
      <c r="AN21" s="17"/>
      <c r="AO21" s="17"/>
      <c r="AP21" s="17" t="s">
        <v>25</v>
      </c>
      <c r="AQ21" s="17" t="s">
        <v>25</v>
      </c>
      <c r="AR21" s="17" t="s">
        <v>25</v>
      </c>
      <c r="AS21" s="17" t="s">
        <v>25</v>
      </c>
      <c r="AT21" s="17" t="s">
        <v>25</v>
      </c>
      <c r="AU21" s="17"/>
      <c r="AV21" s="17"/>
      <c r="AW21" s="17" t="s">
        <v>25</v>
      </c>
      <c r="AX21" s="17" t="s">
        <v>25</v>
      </c>
      <c r="AY21" s="17" t="s">
        <v>25</v>
      </c>
      <c r="AZ21" s="127" t="s">
        <v>26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 t="s">
        <v>20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>
        <f t="shared" si="7"/>
        <v>10</v>
      </c>
    </row>
    <row r="22" spans="2:110" ht="15.75" customHeight="1" thickBot="1">
      <c r="B22" s="148" t="s">
        <v>80</v>
      </c>
      <c r="C22" s="6" t="s">
        <v>62</v>
      </c>
      <c r="D22" s="6"/>
      <c r="E22" s="7">
        <v>46052</v>
      </c>
      <c r="F22" s="8" t="s">
        <v>42</v>
      </c>
      <c r="G22" s="8" t="s">
        <v>42</v>
      </c>
      <c r="H22" s="7">
        <f>E22+7</f>
        <v>46059</v>
      </c>
      <c r="I22" s="7">
        <f>H22+7</f>
        <v>46066</v>
      </c>
      <c r="J22" s="30">
        <f t="shared" si="13"/>
        <v>46066</v>
      </c>
      <c r="K22" s="7" t="s">
        <v>64</v>
      </c>
      <c r="L22" s="48">
        <v>40</v>
      </c>
      <c r="M22" s="48">
        <v>40</v>
      </c>
      <c r="N22" s="17">
        <v>3</v>
      </c>
      <c r="O22" s="17" t="s">
        <v>53</v>
      </c>
      <c r="P22" s="17">
        <f>SUM(M22:N22) / Capacity!$B$2</f>
        <v>6.1428571428571432</v>
      </c>
      <c r="Q22" s="175">
        <f>SUM(M22:N22)/Capacity!$B$3</f>
        <v>5.375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 t="s">
        <v>20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 t="s">
        <v>20</v>
      </c>
      <c r="BZ22" s="17" t="s">
        <v>20</v>
      </c>
      <c r="CA22" s="17" t="s">
        <v>20</v>
      </c>
      <c r="CB22" s="17" t="s">
        <v>20</v>
      </c>
      <c r="CC22" s="17" t="s">
        <v>25</v>
      </c>
      <c r="CD22" s="17"/>
      <c r="CE22" s="17"/>
      <c r="CF22" s="17" t="s">
        <v>25</v>
      </c>
      <c r="CG22" s="17" t="s">
        <v>25</v>
      </c>
      <c r="CH22" s="17" t="s">
        <v>25</v>
      </c>
      <c r="CI22" s="17" t="s">
        <v>25</v>
      </c>
      <c r="CJ22" s="147" t="s">
        <v>26</v>
      </c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>
        <f t="shared" si="7"/>
        <v>5</v>
      </c>
    </row>
    <row r="23" spans="2:110" ht="15.75" customHeight="1" thickBot="1">
      <c r="B23" s="148" t="s">
        <v>81</v>
      </c>
      <c r="C23" s="6" t="s">
        <v>62</v>
      </c>
      <c r="D23" s="6"/>
      <c r="E23" s="7">
        <v>46031</v>
      </c>
      <c r="F23" s="7">
        <f>E23+7</f>
        <v>46038</v>
      </c>
      <c r="G23" s="8" t="s">
        <v>42</v>
      </c>
      <c r="H23" s="7">
        <f>F23+7</f>
        <v>46045</v>
      </c>
      <c r="I23" s="56">
        <v>46045</v>
      </c>
      <c r="J23" s="30">
        <f>I23</f>
        <v>46045</v>
      </c>
      <c r="K23" s="7" t="s">
        <v>82</v>
      </c>
      <c r="L23" s="48">
        <v>10</v>
      </c>
      <c r="M23" s="48">
        <v>11</v>
      </c>
      <c r="N23" s="17" t="s">
        <v>20</v>
      </c>
      <c r="O23" s="17" t="s">
        <v>53</v>
      </c>
      <c r="P23" s="17">
        <f>SUM(M23:N23) / Capacity!$B$2</f>
        <v>1.5714285714285714</v>
      </c>
      <c r="Q23" s="175">
        <f>SUM(M23:N23)/Capacity!$B$3</f>
        <v>1.375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25</v>
      </c>
      <c r="AM23" s="147" t="s">
        <v>26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20</v>
      </c>
      <c r="BQ23" s="17"/>
      <c r="BR23" s="17" t="s">
        <v>20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>
        <f t="shared" si="7"/>
        <v>1</v>
      </c>
    </row>
    <row r="24" spans="2:110" ht="15.75" customHeight="1" thickBot="1">
      <c r="B24" s="5" t="s">
        <v>83</v>
      </c>
      <c r="C24" s="6" t="s">
        <v>45</v>
      </c>
      <c r="D24" s="6"/>
      <c r="E24" s="14" t="s">
        <v>84</v>
      </c>
      <c r="F24" s="14" t="s">
        <v>84</v>
      </c>
      <c r="G24" s="15" t="s">
        <v>84</v>
      </c>
      <c r="H24" s="15" t="s">
        <v>84</v>
      </c>
      <c r="I24" s="15" t="s">
        <v>84</v>
      </c>
      <c r="J24" s="15" t="s">
        <v>84</v>
      </c>
      <c r="K24" s="7" t="s">
        <v>85</v>
      </c>
      <c r="L24" s="48" t="s">
        <v>86</v>
      </c>
      <c r="M24" s="48" t="s">
        <v>86</v>
      </c>
      <c r="N24" s="17" t="s">
        <v>20</v>
      </c>
      <c r="O24" s="17" t="s">
        <v>39</v>
      </c>
      <c r="P24" s="17">
        <f>SUM(M24:N24) / Capacity!$B$2</f>
        <v>0</v>
      </c>
      <c r="Q24" s="175">
        <f>SUM(M24:N24)/Capacity!$B$3</f>
        <v>0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 t="s">
        <v>20</v>
      </c>
      <c r="BR24" s="17"/>
      <c r="BS24" s="17" t="s">
        <v>20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>
        <f t="shared" si="7"/>
        <v>0</v>
      </c>
    </row>
    <row r="25" spans="2:110" ht="16.25" customHeight="1" thickBot="1">
      <c r="B25" s="5" t="s">
        <v>87</v>
      </c>
      <c r="C25" s="6" t="s">
        <v>45</v>
      </c>
      <c r="D25" s="6"/>
      <c r="E25" s="14" t="s">
        <v>84</v>
      </c>
      <c r="F25" s="14" t="s">
        <v>84</v>
      </c>
      <c r="G25" s="15" t="s">
        <v>84</v>
      </c>
      <c r="H25" s="15" t="s">
        <v>84</v>
      </c>
      <c r="I25" s="15" t="s">
        <v>84</v>
      </c>
      <c r="J25" s="15" t="s">
        <v>84</v>
      </c>
      <c r="K25" s="7" t="s">
        <v>88</v>
      </c>
      <c r="L25" s="48">
        <v>19</v>
      </c>
      <c r="M25" s="48">
        <v>19</v>
      </c>
      <c r="N25" s="17" t="s">
        <v>20</v>
      </c>
      <c r="O25" s="17" t="s">
        <v>39</v>
      </c>
      <c r="P25" s="17">
        <f>SUM(M25:N25) / Capacity!$B$2</f>
        <v>2.7142857142857144</v>
      </c>
      <c r="Q25" s="175">
        <f>SUM(M25:N25)/Capacity!$B$3</f>
        <v>2.375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 t="s">
        <v>25</v>
      </c>
      <c r="AC25" s="17" t="s">
        <v>25</v>
      </c>
      <c r="AD25" s="127" t="s">
        <v>26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 t="s">
        <v>20</v>
      </c>
      <c r="BS25" s="17"/>
      <c r="BT25" s="17" t="s">
        <v>20</v>
      </c>
      <c r="BU25" s="17" t="s">
        <v>20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>
        <f t="shared" si="7"/>
        <v>2</v>
      </c>
    </row>
    <row r="26" spans="2:110" ht="15.75" customHeight="1" thickBot="1">
      <c r="B26" s="5" t="s">
        <v>89</v>
      </c>
      <c r="C26" s="6" t="s">
        <v>45</v>
      </c>
      <c r="D26" s="6"/>
      <c r="E26" s="14" t="s">
        <v>84</v>
      </c>
      <c r="F26" s="14" t="s">
        <v>84</v>
      </c>
      <c r="G26" s="15" t="s">
        <v>84</v>
      </c>
      <c r="H26" s="15" t="s">
        <v>84</v>
      </c>
      <c r="I26" s="15" t="s">
        <v>84</v>
      </c>
      <c r="J26" s="15" t="s">
        <v>84</v>
      </c>
      <c r="K26" s="7" t="s">
        <v>90</v>
      </c>
      <c r="L26" s="48">
        <v>41</v>
      </c>
      <c r="M26" s="48">
        <v>41</v>
      </c>
      <c r="N26" s="17" t="s">
        <v>20</v>
      </c>
      <c r="O26" s="17" t="s">
        <v>48</v>
      </c>
      <c r="P26" s="17">
        <f>SUM(M26:N26) / Capacity!$B$2</f>
        <v>5.8571428571428568</v>
      </c>
      <c r="Q26" s="175">
        <f>SUM(M26:N26)/Capacity!$B$3</f>
        <v>5.125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 t="s">
        <v>25</v>
      </c>
      <c r="BA26" s="17" t="s">
        <v>25</v>
      </c>
      <c r="BB26" s="17"/>
      <c r="BC26" s="17"/>
      <c r="BD26" s="17" t="s">
        <v>25</v>
      </c>
      <c r="BE26" s="17" t="s">
        <v>25</v>
      </c>
      <c r="BF26" s="17" t="s">
        <v>25</v>
      </c>
      <c r="BG26" s="127" t="s">
        <v>26</v>
      </c>
      <c r="BH26" s="17" t="s">
        <v>20</v>
      </c>
      <c r="BI26" s="17" t="s">
        <v>20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 t="s">
        <v>20</v>
      </c>
      <c r="BT26" s="17" t="s">
        <v>20</v>
      </c>
      <c r="BU26" s="17"/>
      <c r="BV26" s="17" t="s">
        <v>20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>
        <f t="shared" si="7"/>
        <v>5</v>
      </c>
    </row>
    <row r="27" spans="2:110" ht="15.75" customHeight="1" thickBot="1">
      <c r="B27" s="10"/>
      <c r="C27" s="11"/>
      <c r="D27" s="11"/>
      <c r="E27" s="12"/>
      <c r="F27" s="12"/>
      <c r="G27" s="12"/>
      <c r="H27" s="12"/>
      <c r="I27" s="12"/>
      <c r="J27" s="12"/>
      <c r="K27" s="12"/>
      <c r="L27" s="54"/>
      <c r="M27" s="54"/>
      <c r="N27" s="12"/>
      <c r="O27" s="12"/>
      <c r="P27" s="17">
        <f>SUM(M27:N27) / Capacity!$B$2</f>
        <v>0</v>
      </c>
      <c r="Q27" s="175">
        <f>SUM(M27:N27)/Capacity!$B$3</f>
        <v>0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>
        <f t="shared" si="7"/>
        <v>0</v>
      </c>
    </row>
    <row r="28" spans="2:110" ht="15.75" customHeight="1" thickBot="1">
      <c r="B28" s="5" t="s">
        <v>91</v>
      </c>
      <c r="C28" s="13"/>
      <c r="D28" s="13"/>
      <c r="E28" s="14" t="s">
        <v>84</v>
      </c>
      <c r="F28" s="14" t="s">
        <v>84</v>
      </c>
      <c r="G28" s="15" t="s">
        <v>84</v>
      </c>
      <c r="H28" s="15" t="s">
        <v>84</v>
      </c>
      <c r="I28" s="14" t="s">
        <v>84</v>
      </c>
      <c r="J28" s="14" t="s">
        <v>84</v>
      </c>
      <c r="K28" s="17" t="s">
        <v>92</v>
      </c>
      <c r="L28" s="48">
        <v>47</v>
      </c>
      <c r="M28" s="48">
        <v>47</v>
      </c>
      <c r="N28" s="17" t="s">
        <v>20</v>
      </c>
      <c r="O28" s="17" t="s">
        <v>39</v>
      </c>
      <c r="P28" s="17">
        <f>SUM(M28:N28) / Capacity!$B$2</f>
        <v>6.7142857142857144</v>
      </c>
      <c r="Q28" s="175">
        <f>SUM(M28:N28)/Capacity!$B$3</f>
        <v>5.875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 t="s">
        <v>25</v>
      </c>
      <c r="AQ28" s="17" t="s">
        <v>25</v>
      </c>
      <c r="AR28" s="17" t="s">
        <v>25</v>
      </c>
      <c r="AS28" s="17" t="s">
        <v>25</v>
      </c>
      <c r="AT28" s="17" t="s">
        <v>25</v>
      </c>
      <c r="AU28" s="17"/>
      <c r="AV28" s="17"/>
      <c r="AW28" s="17" t="s">
        <v>25</v>
      </c>
      <c r="AX28" s="127" t="s">
        <v>26</v>
      </c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>
        <f t="shared" si="7"/>
        <v>6</v>
      </c>
    </row>
    <row r="29" spans="2:110" ht="15.75" customHeight="1" thickBot="1">
      <c r="B29" s="21" t="s">
        <v>93</v>
      </c>
      <c r="C29" s="22"/>
      <c r="D29" s="22"/>
      <c r="E29" s="23" t="s">
        <v>84</v>
      </c>
      <c r="F29" s="23" t="s">
        <v>84</v>
      </c>
      <c r="G29" s="24" t="s">
        <v>84</v>
      </c>
      <c r="H29" s="24" t="s">
        <v>84</v>
      </c>
      <c r="I29" s="23" t="s">
        <v>84</v>
      </c>
      <c r="J29" s="23" t="s">
        <v>84</v>
      </c>
      <c r="K29" s="25" t="s">
        <v>94</v>
      </c>
      <c r="L29" s="64">
        <v>5</v>
      </c>
      <c r="M29" s="64">
        <v>5</v>
      </c>
      <c r="N29" s="25" t="s">
        <v>20</v>
      </c>
      <c r="O29" s="25" t="s">
        <v>39</v>
      </c>
      <c r="P29" s="17">
        <f>SUM(M29:N29) / Capacity!$B$2</f>
        <v>0.7142857142857143</v>
      </c>
      <c r="Q29" s="175">
        <f>SUM(M29:N29)/Capacity!$B$3</f>
        <v>0.625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 t="s">
        <v>25</v>
      </c>
      <c r="AY29" s="127" t="s">
        <v>26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>
        <f t="shared" si="7"/>
        <v>1</v>
      </c>
    </row>
    <row r="30" spans="2:110" ht="15.75" customHeight="1" thickBot="1">
      <c r="B30" s="26"/>
      <c r="C30" s="27"/>
      <c r="D30" s="27"/>
      <c r="E30" s="28"/>
      <c r="F30" s="28"/>
      <c r="G30" s="28"/>
      <c r="H30" s="28"/>
      <c r="I30" s="28"/>
      <c r="J30" s="28"/>
      <c r="K30" s="28"/>
      <c r="L30" s="66">
        <f>SUM(L3:L29)</f>
        <v>2139</v>
      </c>
      <c r="M30" s="66">
        <f>SUM(M3:M29)</f>
        <v>1768</v>
      </c>
      <c r="N30" s="29">
        <f>SUM(M3:N29)</f>
        <v>1838</v>
      </c>
      <c r="O30" s="29"/>
      <c r="P30" s="29">
        <f>SUM(P3:P29)</f>
        <v>262.57142857142861</v>
      </c>
      <c r="Q30" s="29">
        <f>SUM(Q3:Q29)</f>
        <v>204.5625</v>
      </c>
      <c r="R30" s="29">
        <f t="shared" ref="R30:AW30" si="22">COUNTIF(R3:R29, "X")</f>
        <v>0</v>
      </c>
      <c r="S30" s="29">
        <f t="shared" si="22"/>
        <v>0</v>
      </c>
      <c r="T30" s="29">
        <f t="shared" si="22"/>
        <v>0</v>
      </c>
      <c r="U30" s="29">
        <f t="shared" si="22"/>
        <v>2</v>
      </c>
      <c r="V30" s="29">
        <f t="shared" si="22"/>
        <v>2</v>
      </c>
      <c r="W30" s="29">
        <f t="shared" si="22"/>
        <v>2</v>
      </c>
      <c r="X30" s="29">
        <f t="shared" si="22"/>
        <v>1</v>
      </c>
      <c r="Y30" s="29">
        <f t="shared" si="22"/>
        <v>1</v>
      </c>
      <c r="Z30" s="29">
        <f t="shared" si="22"/>
        <v>0</v>
      </c>
      <c r="AA30" s="29">
        <f t="shared" si="22"/>
        <v>0</v>
      </c>
      <c r="AB30" s="29">
        <f t="shared" si="22"/>
        <v>2</v>
      </c>
      <c r="AC30" s="29">
        <f t="shared" si="22"/>
        <v>2</v>
      </c>
      <c r="AD30" s="29">
        <f t="shared" si="22"/>
        <v>1</v>
      </c>
      <c r="AE30" s="29">
        <f t="shared" si="22"/>
        <v>1</v>
      </c>
      <c r="AF30" s="29">
        <f t="shared" si="22"/>
        <v>3</v>
      </c>
      <c r="AG30" s="29">
        <f t="shared" si="22"/>
        <v>0</v>
      </c>
      <c r="AH30" s="29">
        <f t="shared" si="22"/>
        <v>0</v>
      </c>
      <c r="AI30" s="29">
        <f t="shared" si="22"/>
        <v>3</v>
      </c>
      <c r="AJ30" s="29">
        <f t="shared" si="22"/>
        <v>3</v>
      </c>
      <c r="AK30" s="29">
        <f t="shared" si="22"/>
        <v>3</v>
      </c>
      <c r="AL30" s="29">
        <f t="shared" si="22"/>
        <v>4</v>
      </c>
      <c r="AM30" s="29">
        <f t="shared" si="22"/>
        <v>3</v>
      </c>
      <c r="AN30" s="29">
        <f t="shared" si="22"/>
        <v>0</v>
      </c>
      <c r="AO30" s="29">
        <f t="shared" si="22"/>
        <v>0</v>
      </c>
      <c r="AP30" s="29">
        <f t="shared" si="22"/>
        <v>5</v>
      </c>
      <c r="AQ30" s="29">
        <f t="shared" si="22"/>
        <v>5</v>
      </c>
      <c r="AR30" s="29">
        <f t="shared" si="22"/>
        <v>5</v>
      </c>
      <c r="AS30" s="29">
        <f t="shared" si="22"/>
        <v>5</v>
      </c>
      <c r="AT30" s="29">
        <f t="shared" si="22"/>
        <v>5</v>
      </c>
      <c r="AU30" s="29">
        <f t="shared" si="22"/>
        <v>0</v>
      </c>
      <c r="AV30" s="29">
        <f t="shared" si="22"/>
        <v>0</v>
      </c>
      <c r="AW30" s="29">
        <f t="shared" si="22"/>
        <v>5</v>
      </c>
      <c r="AX30" s="29">
        <f t="shared" ref="AX30:CC30" si="23">COUNTIF(AX3:AX29, "X")</f>
        <v>5</v>
      </c>
      <c r="AY30" s="29">
        <f t="shared" si="23"/>
        <v>4</v>
      </c>
      <c r="AZ30" s="29">
        <f t="shared" si="23"/>
        <v>4</v>
      </c>
      <c r="BA30" s="29">
        <f t="shared" si="23"/>
        <v>4</v>
      </c>
      <c r="BB30" s="29">
        <f t="shared" si="23"/>
        <v>0</v>
      </c>
      <c r="BC30" s="29">
        <f t="shared" si="23"/>
        <v>0</v>
      </c>
      <c r="BD30" s="29">
        <f t="shared" si="23"/>
        <v>5</v>
      </c>
      <c r="BE30" s="29">
        <f t="shared" si="23"/>
        <v>6</v>
      </c>
      <c r="BF30" s="29">
        <f t="shared" si="23"/>
        <v>6</v>
      </c>
      <c r="BG30" s="29">
        <f t="shared" si="23"/>
        <v>5</v>
      </c>
      <c r="BH30" s="29">
        <f t="shared" si="23"/>
        <v>6</v>
      </c>
      <c r="BI30" s="29">
        <f t="shared" si="23"/>
        <v>0</v>
      </c>
      <c r="BJ30" s="29">
        <f t="shared" si="23"/>
        <v>0</v>
      </c>
      <c r="BK30" s="29">
        <f t="shared" si="23"/>
        <v>5</v>
      </c>
      <c r="BL30" s="29">
        <f t="shared" si="23"/>
        <v>4</v>
      </c>
      <c r="BM30" s="29">
        <f t="shared" si="23"/>
        <v>5</v>
      </c>
      <c r="BN30" s="29">
        <f t="shared" si="23"/>
        <v>5</v>
      </c>
      <c r="BO30" s="29">
        <f t="shared" si="23"/>
        <v>5</v>
      </c>
      <c r="BP30" s="29">
        <f t="shared" si="23"/>
        <v>0</v>
      </c>
      <c r="BQ30" s="29">
        <f t="shared" si="23"/>
        <v>0</v>
      </c>
      <c r="BR30" s="29">
        <f t="shared" si="23"/>
        <v>6</v>
      </c>
      <c r="BS30" s="29">
        <f t="shared" si="23"/>
        <v>6</v>
      </c>
      <c r="BT30" s="29">
        <f t="shared" si="23"/>
        <v>6</v>
      </c>
      <c r="BU30" s="29">
        <f t="shared" si="23"/>
        <v>6</v>
      </c>
      <c r="BV30" s="29">
        <f t="shared" si="23"/>
        <v>6</v>
      </c>
      <c r="BW30" s="29">
        <f t="shared" si="23"/>
        <v>0</v>
      </c>
      <c r="BX30" s="29">
        <f t="shared" si="23"/>
        <v>0</v>
      </c>
      <c r="BY30" s="29">
        <f t="shared" si="23"/>
        <v>5</v>
      </c>
      <c r="BZ30" s="29">
        <f t="shared" si="23"/>
        <v>4</v>
      </c>
      <c r="CA30" s="29">
        <f t="shared" si="23"/>
        <v>4</v>
      </c>
      <c r="CB30" s="29">
        <f t="shared" si="23"/>
        <v>4</v>
      </c>
      <c r="CC30" s="29">
        <f t="shared" si="23"/>
        <v>3</v>
      </c>
      <c r="CD30" s="29">
        <f t="shared" ref="CD30:DE30" si="24">COUNTIF(CD3:CD29, "X")</f>
        <v>0</v>
      </c>
      <c r="CE30" s="29">
        <f t="shared" si="24"/>
        <v>0</v>
      </c>
      <c r="CF30" s="29">
        <f t="shared" si="24"/>
        <v>3</v>
      </c>
      <c r="CG30" s="29">
        <f t="shared" si="24"/>
        <v>3</v>
      </c>
      <c r="CH30" s="29">
        <f t="shared" si="24"/>
        <v>3</v>
      </c>
      <c r="CI30" s="29">
        <f t="shared" si="24"/>
        <v>3</v>
      </c>
      <c r="CJ30" s="29">
        <f t="shared" si="24"/>
        <v>2</v>
      </c>
      <c r="CK30" s="29">
        <f t="shared" si="24"/>
        <v>0</v>
      </c>
      <c r="CL30" s="29">
        <f t="shared" si="24"/>
        <v>0</v>
      </c>
      <c r="CM30" s="29">
        <f t="shared" si="24"/>
        <v>2</v>
      </c>
      <c r="CN30" s="29">
        <f t="shared" si="24"/>
        <v>2</v>
      </c>
      <c r="CO30" s="29">
        <f t="shared" si="24"/>
        <v>2</v>
      </c>
      <c r="CP30" s="29">
        <f t="shared" si="24"/>
        <v>2</v>
      </c>
      <c r="CQ30" s="29">
        <f t="shared" si="24"/>
        <v>1</v>
      </c>
      <c r="CR30" s="29">
        <f t="shared" si="24"/>
        <v>0</v>
      </c>
      <c r="CS30" s="29">
        <f t="shared" si="24"/>
        <v>0</v>
      </c>
      <c r="CT30" s="29">
        <f t="shared" si="24"/>
        <v>1</v>
      </c>
      <c r="CU30" s="29">
        <f t="shared" si="24"/>
        <v>1</v>
      </c>
      <c r="CV30" s="29">
        <f t="shared" si="24"/>
        <v>1</v>
      </c>
      <c r="CW30" s="29">
        <f t="shared" si="24"/>
        <v>1</v>
      </c>
      <c r="CX30" s="29">
        <f t="shared" si="24"/>
        <v>1</v>
      </c>
      <c r="CY30" s="29">
        <f t="shared" si="24"/>
        <v>0</v>
      </c>
      <c r="CZ30" s="29">
        <f t="shared" si="24"/>
        <v>0</v>
      </c>
      <c r="DA30" s="29">
        <f t="shared" si="24"/>
        <v>1</v>
      </c>
      <c r="DB30" s="29">
        <f t="shared" si="24"/>
        <v>0</v>
      </c>
      <c r="DC30" s="29">
        <f t="shared" si="24"/>
        <v>0</v>
      </c>
      <c r="DD30" s="29">
        <f t="shared" si="24"/>
        <v>0</v>
      </c>
      <c r="DE30" s="29">
        <f t="shared" si="24"/>
        <v>0</v>
      </c>
      <c r="DF30" s="29">
        <f>SUM(DF3:DF29)</f>
        <v>211</v>
      </c>
    </row>
    <row r="31" spans="2:110" ht="15.75" customHeight="1">
      <c r="B31" s="174" t="s">
        <v>20</v>
      </c>
      <c r="C31" s="1"/>
      <c r="D31" s="1"/>
    </row>
    <row r="32" spans="2:110" ht="15.75" customHeight="1">
      <c r="C32" s="1"/>
      <c r="D32" s="1"/>
    </row>
    <row r="33" spans="3:4" ht="15.75" customHeight="1">
      <c r="C33" s="1"/>
      <c r="D33" s="1"/>
    </row>
    <row r="34" spans="3:4" ht="15.75" customHeight="1">
      <c r="C34" s="1"/>
      <c r="D34" s="1"/>
    </row>
    <row r="35" spans="3:4" ht="15.75" customHeight="1">
      <c r="C35" s="1"/>
      <c r="D35" s="1"/>
    </row>
    <row r="36" spans="3:4" ht="15.75" customHeight="1">
      <c r="C36" s="1"/>
      <c r="D36" s="1"/>
    </row>
    <row r="37" spans="3:4" ht="15.75" customHeight="1">
      <c r="C37" s="1"/>
      <c r="D37" s="1"/>
    </row>
    <row r="38" spans="3:4" ht="15.75" customHeight="1">
      <c r="C38" s="1"/>
      <c r="D38" s="1"/>
    </row>
    <row r="39" spans="3:4" ht="15.75" customHeight="1">
      <c r="C39" s="1"/>
      <c r="D39" s="1"/>
    </row>
    <row r="40" spans="3:4" ht="15.75" customHeight="1">
      <c r="C40" s="1"/>
      <c r="D40" s="1"/>
    </row>
    <row r="41" spans="3:4" ht="15.75" customHeight="1">
      <c r="C41" s="1"/>
      <c r="D41" s="1"/>
    </row>
    <row r="42" spans="3:4" ht="15.75" customHeight="1">
      <c r="C42" s="1"/>
      <c r="D42" s="1"/>
    </row>
    <row r="43" spans="3:4" ht="15.75" customHeight="1">
      <c r="C43" s="1"/>
      <c r="D43" s="1"/>
    </row>
    <row r="44" spans="3:4" ht="15.75" customHeight="1">
      <c r="C44" s="1"/>
      <c r="D44" s="1"/>
    </row>
    <row r="45" spans="3:4" ht="15.75" customHeight="1">
      <c r="C45" s="1"/>
      <c r="D45" s="1"/>
    </row>
    <row r="46" spans="3:4" ht="15.75" customHeight="1">
      <c r="C46" s="1"/>
      <c r="D46" s="1"/>
    </row>
    <row r="47" spans="3:4" ht="15.75" customHeight="1">
      <c r="C47" s="1"/>
      <c r="D47" s="1"/>
    </row>
    <row r="48" spans="3:4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</sheetData>
  <autoFilter ref="B2:DF30" xr:uid="{E58B0F6C-01A3-A049-8659-44FC6E38DD51}"/>
  <mergeCells count="1">
    <mergeCell ref="E1:J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178B-40C2-DA4A-B870-7CEC98D6269B}">
  <dimension ref="A1:D4"/>
  <sheetViews>
    <sheetView zoomScale="125" zoomScaleNormal="125" workbookViewId="0">
      <selection activeCell="C2" sqref="C2"/>
    </sheetView>
  </sheetViews>
  <sheetFormatPr baseColWidth="10" defaultColWidth="11" defaultRowHeight="16"/>
  <cols>
    <col min="1" max="1" width="24.1640625" customWidth="1"/>
  </cols>
  <sheetData>
    <row r="1" spans="1:4">
      <c r="C1" s="130" t="s">
        <v>95</v>
      </c>
      <c r="D1" s="130" t="s">
        <v>96</v>
      </c>
    </row>
    <row r="2" spans="1:4">
      <c r="A2" t="s">
        <v>97</v>
      </c>
      <c r="B2">
        <v>7</v>
      </c>
      <c r="C2">
        <f>B2*5</f>
        <v>35</v>
      </c>
      <c r="D2">
        <f>C2*5</f>
        <v>175</v>
      </c>
    </row>
    <row r="3" spans="1:4">
      <c r="A3" t="s">
        <v>98</v>
      </c>
      <c r="B3">
        <v>8</v>
      </c>
      <c r="C3">
        <f>B3*5</f>
        <v>40</v>
      </c>
      <c r="D3">
        <f>C3*5</f>
        <v>200</v>
      </c>
    </row>
    <row r="4" spans="1:4">
      <c r="A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1224-EC89-4D9C-9846-A57B969ACCBE}">
  <dimension ref="B1:O1003"/>
  <sheetViews>
    <sheetView zoomScaleNormal="120" workbookViewId="0">
      <selection activeCell="M1" sqref="M1:M1048576"/>
    </sheetView>
  </sheetViews>
  <sheetFormatPr baseColWidth="10" defaultColWidth="8.6640625" defaultRowHeight="16"/>
  <cols>
    <col min="1" max="1" width="3" customWidth="1"/>
    <col min="2" max="2" width="26.1640625" customWidth="1"/>
    <col min="3" max="3" width="10.6640625" customWidth="1"/>
    <col min="4" max="4" width="10" customWidth="1"/>
    <col min="5" max="5" width="16.6640625" customWidth="1"/>
    <col min="6" max="7" width="13.1640625" customWidth="1"/>
    <col min="8" max="8" width="12.5" customWidth="1"/>
    <col min="9" max="9" width="13.5" customWidth="1"/>
    <col min="10" max="10" width="12.6640625" customWidth="1"/>
    <col min="11" max="11" width="21.6640625" customWidth="1"/>
    <col min="12" max="12" width="11.6640625" customWidth="1"/>
    <col min="13" max="13" width="8.6640625" customWidth="1"/>
    <col min="14" max="15" width="10.6640625" customWidth="1"/>
  </cols>
  <sheetData>
    <row r="1" spans="2:15" ht="17" thickBot="1">
      <c r="C1" s="39"/>
      <c r="D1" s="39"/>
      <c r="E1" s="162" t="s">
        <v>0</v>
      </c>
      <c r="F1" s="163"/>
      <c r="G1" s="163"/>
      <c r="H1" s="163"/>
      <c r="I1" s="163"/>
      <c r="J1" s="163"/>
      <c r="K1" s="40"/>
      <c r="L1" s="41"/>
      <c r="M1" s="41"/>
      <c r="N1" s="41"/>
      <c r="O1" s="41"/>
    </row>
    <row r="2" spans="2:15" ht="37" thickBot="1">
      <c r="B2" s="42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99</v>
      </c>
      <c r="M2" s="43"/>
      <c r="N2" s="43" t="s">
        <v>100</v>
      </c>
      <c r="O2" s="43" t="s">
        <v>15</v>
      </c>
    </row>
    <row r="3" spans="2:15" ht="27" thickTop="1" thickBot="1">
      <c r="B3" s="44" t="s">
        <v>101</v>
      </c>
      <c r="C3" s="45" t="s">
        <v>19</v>
      </c>
      <c r="D3" s="45"/>
      <c r="E3" s="46">
        <v>46015</v>
      </c>
      <c r="F3" s="8">
        <v>46021</v>
      </c>
      <c r="G3" s="8">
        <v>46038</v>
      </c>
      <c r="H3" s="8" t="s">
        <v>42</v>
      </c>
      <c r="I3" s="46">
        <f>G3+7</f>
        <v>46045</v>
      </c>
      <c r="J3" s="47">
        <f t="shared" ref="J3:J9" si="0">I3</f>
        <v>46045</v>
      </c>
      <c r="K3" s="46" t="s">
        <v>21</v>
      </c>
      <c r="L3" s="48">
        <v>575</v>
      </c>
      <c r="M3" s="124">
        <v>414</v>
      </c>
      <c r="N3" s="48" t="s">
        <v>20</v>
      </c>
      <c r="O3" s="48">
        <f>SUM(L3:N3) / Capacity!$B$2</f>
        <v>141.28571428571428</v>
      </c>
    </row>
    <row r="4" spans="2:15" ht="50" thickBot="1">
      <c r="B4" s="44" t="s">
        <v>102</v>
      </c>
      <c r="C4" s="45" t="s">
        <v>41</v>
      </c>
      <c r="D4" s="45"/>
      <c r="E4" s="46">
        <v>46031</v>
      </c>
      <c r="F4" s="46">
        <v>46035</v>
      </c>
      <c r="G4" s="8">
        <v>46043</v>
      </c>
      <c r="H4" s="8" t="s">
        <v>42</v>
      </c>
      <c r="I4" s="46">
        <f>G4+7</f>
        <v>46050</v>
      </c>
      <c r="J4" s="47">
        <f t="shared" si="0"/>
        <v>46050</v>
      </c>
      <c r="K4" s="46" t="s">
        <v>43</v>
      </c>
      <c r="L4" s="48">
        <v>177</v>
      </c>
      <c r="M4" s="48">
        <v>200</v>
      </c>
      <c r="N4" s="48" t="s">
        <v>20</v>
      </c>
      <c r="O4" s="48">
        <f>SUM(L4:N4) / Capacity!$B$2</f>
        <v>53.857142857142854</v>
      </c>
    </row>
    <row r="5" spans="2:15" ht="25" thickBot="1">
      <c r="B5" s="44" t="s">
        <v>44</v>
      </c>
      <c r="C5" s="45" t="s">
        <v>45</v>
      </c>
      <c r="D5" s="45"/>
      <c r="E5" s="49" t="s">
        <v>46</v>
      </c>
      <c r="F5" s="50">
        <v>46008</v>
      </c>
      <c r="G5" s="38">
        <v>46037</v>
      </c>
      <c r="H5" s="8" t="s">
        <v>42</v>
      </c>
      <c r="I5" s="46">
        <f>G5+7</f>
        <v>46044</v>
      </c>
      <c r="J5" s="47">
        <f t="shared" si="0"/>
        <v>46044</v>
      </c>
      <c r="K5" s="46" t="s">
        <v>47</v>
      </c>
      <c r="L5" s="48">
        <v>260</v>
      </c>
      <c r="M5" s="48">
        <v>200</v>
      </c>
      <c r="N5" s="48" t="s">
        <v>20</v>
      </c>
      <c r="O5" s="48">
        <f>SUM(L5:N5) / Capacity!$B$2</f>
        <v>65.714285714285708</v>
      </c>
    </row>
    <row r="6" spans="2:15" ht="17" thickBot="1">
      <c r="B6" s="44" t="s">
        <v>49</v>
      </c>
      <c r="C6" s="45" t="s">
        <v>45</v>
      </c>
      <c r="D6" s="45" t="s">
        <v>50</v>
      </c>
      <c r="E6" s="49" t="s">
        <v>51</v>
      </c>
      <c r="F6" s="46">
        <v>46015</v>
      </c>
      <c r="G6" s="38">
        <v>46037</v>
      </c>
      <c r="H6" s="8" t="s">
        <v>42</v>
      </c>
      <c r="I6" s="46">
        <f>G6+7</f>
        <v>46044</v>
      </c>
      <c r="J6" s="47">
        <f t="shared" si="0"/>
        <v>46044</v>
      </c>
      <c r="K6" s="46" t="s">
        <v>52</v>
      </c>
      <c r="L6" s="48">
        <v>120</v>
      </c>
      <c r="M6" s="48">
        <v>120</v>
      </c>
      <c r="N6" s="48" t="s">
        <v>20</v>
      </c>
      <c r="O6" s="48">
        <f>SUM(L6:N6) / Capacity!$B$2</f>
        <v>34.285714285714285</v>
      </c>
    </row>
    <row r="7" spans="2:15" ht="25" thickBot="1">
      <c r="B7" s="44" t="s">
        <v>54</v>
      </c>
      <c r="C7" s="45" t="s">
        <v>45</v>
      </c>
      <c r="D7" s="45" t="s">
        <v>50</v>
      </c>
      <c r="E7" s="49" t="s">
        <v>55</v>
      </c>
      <c r="F7" s="50">
        <v>46010</v>
      </c>
      <c r="G7" s="8" t="s">
        <v>42</v>
      </c>
      <c r="H7" s="46">
        <v>46031</v>
      </c>
      <c r="I7" s="46">
        <f>H7+7</f>
        <v>46038</v>
      </c>
      <c r="J7" s="47">
        <f t="shared" si="0"/>
        <v>46038</v>
      </c>
      <c r="K7" s="46" t="s">
        <v>56</v>
      </c>
      <c r="L7" s="48">
        <v>35</v>
      </c>
      <c r="M7" s="48">
        <v>35</v>
      </c>
      <c r="N7" s="48" t="s">
        <v>20</v>
      </c>
      <c r="O7" s="48">
        <f>SUM(L7:N7) / Capacity!$B$2</f>
        <v>10</v>
      </c>
    </row>
    <row r="8" spans="2:15" ht="25" thickBot="1">
      <c r="B8" s="44" t="s">
        <v>57</v>
      </c>
      <c r="C8" s="45" t="s">
        <v>45</v>
      </c>
      <c r="D8" s="45"/>
      <c r="E8" s="49" t="s">
        <v>55</v>
      </c>
      <c r="F8" s="50">
        <v>46010</v>
      </c>
      <c r="G8" s="8" t="s">
        <v>42</v>
      </c>
      <c r="H8" s="46">
        <v>46031</v>
      </c>
      <c r="I8" s="46">
        <f>H8+7</f>
        <v>46038</v>
      </c>
      <c r="J8" s="47">
        <f t="shared" si="0"/>
        <v>46038</v>
      </c>
      <c r="K8" s="46" t="s">
        <v>58</v>
      </c>
      <c r="L8" s="48">
        <v>40</v>
      </c>
      <c r="M8" s="125">
        <v>0</v>
      </c>
      <c r="N8" s="48" t="s">
        <v>20</v>
      </c>
      <c r="O8" s="48">
        <f>SUM(L8:N8) / Capacity!$B$2</f>
        <v>5.7142857142857144</v>
      </c>
    </row>
    <row r="9" spans="2:15" ht="25" thickBot="1">
      <c r="B9" s="44" t="s">
        <v>59</v>
      </c>
      <c r="C9" s="51" t="s">
        <v>45</v>
      </c>
      <c r="D9" s="51"/>
      <c r="E9" s="49" t="s">
        <v>46</v>
      </c>
      <c r="F9" s="50">
        <v>46008</v>
      </c>
      <c r="G9" s="37">
        <v>46044</v>
      </c>
      <c r="H9" s="8" t="s">
        <v>42</v>
      </c>
      <c r="I9" s="46">
        <f>G9+7</f>
        <v>46051</v>
      </c>
      <c r="J9" s="47">
        <f t="shared" si="0"/>
        <v>46051</v>
      </c>
      <c r="K9" s="46" t="s">
        <v>60</v>
      </c>
      <c r="L9" s="48">
        <v>80</v>
      </c>
      <c r="M9" s="48">
        <v>60</v>
      </c>
      <c r="N9" s="48" t="s">
        <v>20</v>
      </c>
      <c r="O9" s="48">
        <f>SUM(L9:N9) / Capacity!$B$2</f>
        <v>20</v>
      </c>
    </row>
    <row r="10" spans="2:15" ht="17" thickBot="1">
      <c r="B10" s="52"/>
      <c r="C10" s="53"/>
      <c r="D10" s="53"/>
      <c r="E10" s="54"/>
      <c r="F10" s="54"/>
      <c r="G10" s="54"/>
      <c r="H10" s="54"/>
      <c r="I10" s="54"/>
      <c r="J10" s="54"/>
      <c r="K10" s="54"/>
      <c r="L10" s="55"/>
      <c r="M10" s="55"/>
      <c r="N10" s="55"/>
      <c r="O10" s="48">
        <f>SUM(L10:N10) / Capacity!$B$2</f>
        <v>0</v>
      </c>
    </row>
    <row r="11" spans="2:15" ht="25" thickBot="1">
      <c r="B11" s="44" t="s">
        <v>61</v>
      </c>
      <c r="C11" s="45" t="s">
        <v>62</v>
      </c>
      <c r="D11" s="45"/>
      <c r="E11" s="49" t="s">
        <v>63</v>
      </c>
      <c r="F11" s="46">
        <v>46015</v>
      </c>
      <c r="G11" s="8" t="s">
        <v>42</v>
      </c>
      <c r="H11" s="46">
        <v>46031</v>
      </c>
      <c r="I11" s="46">
        <f>H11+7</f>
        <v>46038</v>
      </c>
      <c r="J11" s="47">
        <f t="shared" ref="J11:J17" si="1">I11</f>
        <v>46038</v>
      </c>
      <c r="K11" s="46" t="s">
        <v>64</v>
      </c>
      <c r="L11" s="48">
        <v>20</v>
      </c>
      <c r="M11" s="48">
        <v>20</v>
      </c>
      <c r="N11" s="48" t="s">
        <v>20</v>
      </c>
      <c r="O11" s="48">
        <f>SUM(L11:N11) / Capacity!$B$2</f>
        <v>5.7142857142857144</v>
      </c>
    </row>
    <row r="12" spans="2:15" ht="25" thickBot="1">
      <c r="B12" s="44" t="s">
        <v>65</v>
      </c>
      <c r="C12" s="45" t="s">
        <v>66</v>
      </c>
      <c r="D12" s="45"/>
      <c r="E12" s="46" t="s">
        <v>67</v>
      </c>
      <c r="F12" s="46" t="s">
        <v>68</v>
      </c>
      <c r="G12" s="34">
        <v>46051</v>
      </c>
      <c r="H12" s="8" t="s">
        <v>42</v>
      </c>
      <c r="I12" s="35">
        <f>G12+7</f>
        <v>46058</v>
      </c>
      <c r="J12" s="47">
        <f t="shared" si="1"/>
        <v>46058</v>
      </c>
      <c r="K12" s="46" t="s">
        <v>69</v>
      </c>
      <c r="L12" s="48">
        <v>140</v>
      </c>
      <c r="M12" s="48">
        <v>100</v>
      </c>
      <c r="N12" s="48" t="s">
        <v>20</v>
      </c>
      <c r="O12" s="48">
        <f>SUM(L12:N12) / Capacity!$B$2</f>
        <v>34.285714285714285</v>
      </c>
    </row>
    <row r="13" spans="2:15" ht="17" thickBot="1">
      <c r="B13" s="44" t="s">
        <v>70</v>
      </c>
      <c r="C13" s="45" t="s">
        <v>71</v>
      </c>
      <c r="D13" s="45"/>
      <c r="E13" s="46">
        <v>46045</v>
      </c>
      <c r="F13" s="46">
        <v>46052</v>
      </c>
      <c r="G13" s="8" t="s">
        <v>42</v>
      </c>
      <c r="H13" s="46">
        <v>46059</v>
      </c>
      <c r="I13" s="46">
        <f>H13+7</f>
        <v>46066</v>
      </c>
      <c r="J13" s="47">
        <f t="shared" si="1"/>
        <v>46066</v>
      </c>
      <c r="K13" s="46" t="s">
        <v>64</v>
      </c>
      <c r="L13" s="48">
        <v>90</v>
      </c>
      <c r="M13" s="48">
        <v>60</v>
      </c>
      <c r="N13" s="48" t="s">
        <v>20</v>
      </c>
      <c r="O13" s="48">
        <f>SUM(L13:N13) / Capacity!$B$2</f>
        <v>21.428571428571427</v>
      </c>
    </row>
    <row r="14" spans="2:15" ht="17" thickBot="1">
      <c r="B14" s="44" t="s">
        <v>72</v>
      </c>
      <c r="C14" s="45" t="s">
        <v>41</v>
      </c>
      <c r="D14" s="45"/>
      <c r="E14" s="56">
        <v>46045</v>
      </c>
      <c r="F14" s="56">
        <v>46050</v>
      </c>
      <c r="G14" s="8">
        <v>46059</v>
      </c>
      <c r="H14" s="8" t="s">
        <v>42</v>
      </c>
      <c r="I14" s="46">
        <f>G14+7</f>
        <v>46066</v>
      </c>
      <c r="J14" s="47">
        <f t="shared" si="1"/>
        <v>46066</v>
      </c>
      <c r="K14" s="56" t="s">
        <v>73</v>
      </c>
      <c r="L14" s="57">
        <v>350</v>
      </c>
      <c r="M14" s="124">
        <v>160</v>
      </c>
      <c r="N14" s="57" t="s">
        <v>20</v>
      </c>
      <c r="O14" s="48">
        <f>SUM(L14:N14) / Capacity!$B$2</f>
        <v>72.857142857142861</v>
      </c>
    </row>
    <row r="15" spans="2:15" ht="17" thickBot="1">
      <c r="B15" s="44" t="s">
        <v>74</v>
      </c>
      <c r="C15" s="45" t="s">
        <v>62</v>
      </c>
      <c r="D15" s="45"/>
      <c r="E15" s="50">
        <v>46015</v>
      </c>
      <c r="F15" s="46">
        <v>46022</v>
      </c>
      <c r="G15" s="8">
        <v>46051</v>
      </c>
      <c r="H15" s="8" t="s">
        <v>42</v>
      </c>
      <c r="I15" s="46">
        <f>G15+7</f>
        <v>46058</v>
      </c>
      <c r="J15" s="47">
        <f t="shared" si="1"/>
        <v>46058</v>
      </c>
      <c r="K15" s="46" t="s">
        <v>64</v>
      </c>
      <c r="L15" s="48">
        <v>40</v>
      </c>
      <c r="M15" s="48">
        <v>40</v>
      </c>
      <c r="N15" s="48" t="s">
        <v>20</v>
      </c>
      <c r="O15" s="48">
        <f>SUM(L15:N15) / Capacity!$B$2</f>
        <v>11.428571428571429</v>
      </c>
    </row>
    <row r="16" spans="2:15" ht="17" thickBot="1">
      <c r="B16" s="44" t="s">
        <v>78</v>
      </c>
      <c r="C16" s="45" t="s">
        <v>62</v>
      </c>
      <c r="D16" s="45"/>
      <c r="E16" s="46">
        <v>46031</v>
      </c>
      <c r="F16" s="46">
        <v>46036</v>
      </c>
      <c r="G16" s="8" t="s">
        <v>42</v>
      </c>
      <c r="H16" s="46">
        <v>46038</v>
      </c>
      <c r="I16" s="46">
        <f>H16+7</f>
        <v>46045</v>
      </c>
      <c r="J16" s="47">
        <f t="shared" si="1"/>
        <v>46045</v>
      </c>
      <c r="K16" s="46" t="s">
        <v>79</v>
      </c>
      <c r="L16" s="48">
        <v>90</v>
      </c>
      <c r="M16" s="48">
        <v>80</v>
      </c>
      <c r="N16" s="48" t="s">
        <v>20</v>
      </c>
      <c r="O16" s="48">
        <f>SUM(L16:N16) / Capacity!$B$2</f>
        <v>24.285714285714285</v>
      </c>
    </row>
    <row r="17" spans="2:15" ht="17" thickBot="1">
      <c r="B17" s="44" t="s">
        <v>80</v>
      </c>
      <c r="C17" s="45" t="s">
        <v>62</v>
      </c>
      <c r="D17" s="45"/>
      <c r="E17" s="46">
        <v>46038</v>
      </c>
      <c r="F17" s="8" t="s">
        <v>42</v>
      </c>
      <c r="G17" s="8" t="s">
        <v>42</v>
      </c>
      <c r="H17" s="46">
        <v>46038</v>
      </c>
      <c r="I17" s="46">
        <f>H17+7</f>
        <v>46045</v>
      </c>
      <c r="J17" s="47">
        <f t="shared" si="1"/>
        <v>46045</v>
      </c>
      <c r="K17" s="46" t="s">
        <v>64</v>
      </c>
      <c r="L17" s="48">
        <v>40</v>
      </c>
      <c r="M17" s="48">
        <v>40</v>
      </c>
      <c r="N17" s="48" t="s">
        <v>20</v>
      </c>
      <c r="O17" s="48">
        <f>SUM(L17:N17) / Capacity!$B$2</f>
        <v>11.428571428571429</v>
      </c>
    </row>
    <row r="18" spans="2:15" ht="17" thickBot="1">
      <c r="B18" s="44" t="s">
        <v>81</v>
      </c>
      <c r="C18" s="45" t="s">
        <v>62</v>
      </c>
      <c r="D18" s="45"/>
      <c r="E18" s="46">
        <v>46052</v>
      </c>
      <c r="F18" s="46">
        <v>46059</v>
      </c>
      <c r="G18" s="8" t="s">
        <v>42</v>
      </c>
      <c r="H18" s="46">
        <v>46066</v>
      </c>
      <c r="I18" s="35" t="s">
        <v>38</v>
      </c>
      <c r="J18" s="46"/>
      <c r="K18" s="46" t="s">
        <v>82</v>
      </c>
      <c r="L18" s="48">
        <v>10</v>
      </c>
      <c r="M18" s="48">
        <v>11</v>
      </c>
      <c r="N18" s="48" t="s">
        <v>20</v>
      </c>
      <c r="O18" s="48">
        <f>SUM(L18:N18) / Capacity!$B$2</f>
        <v>3</v>
      </c>
    </row>
    <row r="19" spans="2:15" ht="26" thickBot="1">
      <c r="B19" s="44" t="s">
        <v>83</v>
      </c>
      <c r="C19" s="45" t="s">
        <v>45</v>
      </c>
      <c r="D19" s="45"/>
      <c r="E19" s="49" t="s">
        <v>84</v>
      </c>
      <c r="F19" s="49" t="s">
        <v>84</v>
      </c>
      <c r="G19" s="58" t="s">
        <v>84</v>
      </c>
      <c r="H19" s="58" t="s">
        <v>84</v>
      </c>
      <c r="I19" s="58" t="s">
        <v>84</v>
      </c>
      <c r="J19" s="58" t="s">
        <v>84</v>
      </c>
      <c r="K19" s="46" t="s">
        <v>85</v>
      </c>
      <c r="L19" s="48" t="s">
        <v>86</v>
      </c>
      <c r="M19" s="48" t="s">
        <v>86</v>
      </c>
      <c r="N19" s="48" t="s">
        <v>20</v>
      </c>
      <c r="O19" s="48">
        <f>SUM(L19:N19) / Capacity!$B$2</f>
        <v>0</v>
      </c>
    </row>
    <row r="20" spans="2:15" ht="17" thickBot="1">
      <c r="B20" s="44" t="s">
        <v>87</v>
      </c>
      <c r="C20" s="45" t="s">
        <v>45</v>
      </c>
      <c r="D20" s="45"/>
      <c r="E20" s="49" t="s">
        <v>84</v>
      </c>
      <c r="F20" s="49" t="s">
        <v>84</v>
      </c>
      <c r="G20" s="58" t="s">
        <v>84</v>
      </c>
      <c r="H20" s="58" t="s">
        <v>84</v>
      </c>
      <c r="I20" s="58" t="s">
        <v>84</v>
      </c>
      <c r="J20" s="58" t="s">
        <v>84</v>
      </c>
      <c r="K20" s="46" t="s">
        <v>88</v>
      </c>
      <c r="L20" s="48">
        <v>19</v>
      </c>
      <c r="M20" s="48">
        <v>19</v>
      </c>
      <c r="N20" s="48" t="s">
        <v>20</v>
      </c>
      <c r="O20" s="48">
        <f>SUM(L20:N20) / Capacity!$B$2</f>
        <v>5.4285714285714288</v>
      </c>
    </row>
    <row r="21" spans="2:15" ht="17" thickBot="1">
      <c r="B21" s="44" t="s">
        <v>89</v>
      </c>
      <c r="C21" s="45" t="s">
        <v>45</v>
      </c>
      <c r="D21" s="45"/>
      <c r="E21" s="49" t="s">
        <v>84</v>
      </c>
      <c r="F21" s="49" t="s">
        <v>84</v>
      </c>
      <c r="G21" s="58" t="s">
        <v>84</v>
      </c>
      <c r="H21" s="58" t="s">
        <v>84</v>
      </c>
      <c r="I21" s="58" t="s">
        <v>84</v>
      </c>
      <c r="J21" s="58" t="s">
        <v>84</v>
      </c>
      <c r="K21" s="46" t="s">
        <v>90</v>
      </c>
      <c r="L21" s="48">
        <v>41</v>
      </c>
      <c r="M21" s="48">
        <v>41</v>
      </c>
      <c r="N21" s="48" t="s">
        <v>20</v>
      </c>
      <c r="O21" s="48">
        <f>SUM(L21:N21) / Capacity!$B$2</f>
        <v>11.714285714285714</v>
      </c>
    </row>
    <row r="22" spans="2:15" ht="17" thickBot="1">
      <c r="B22" s="52"/>
      <c r="C22" s="53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>
        <f>SUM(L22:N22) / Capacity!$B$2</f>
        <v>0</v>
      </c>
    </row>
    <row r="23" spans="2:15" ht="17" thickBot="1">
      <c r="B23" s="44" t="s">
        <v>91</v>
      </c>
      <c r="C23" s="59"/>
      <c r="D23" s="59"/>
      <c r="E23" s="49" t="s">
        <v>84</v>
      </c>
      <c r="F23" s="49" t="s">
        <v>84</v>
      </c>
      <c r="G23" s="58" t="s">
        <v>84</v>
      </c>
      <c r="H23" s="58" t="s">
        <v>84</v>
      </c>
      <c r="I23" s="49" t="s">
        <v>84</v>
      </c>
      <c r="J23" s="49" t="s">
        <v>84</v>
      </c>
      <c r="K23" s="48" t="s">
        <v>92</v>
      </c>
      <c r="L23" s="48">
        <v>47</v>
      </c>
      <c r="M23" s="48">
        <v>47</v>
      </c>
      <c r="N23" s="48" t="s">
        <v>20</v>
      </c>
      <c r="O23" s="48">
        <f>SUM(L23:N23) / Capacity!$B$2</f>
        <v>13.428571428571429</v>
      </c>
    </row>
    <row r="24" spans="2:15" ht="17" thickBot="1">
      <c r="B24" s="60" t="s">
        <v>93</v>
      </c>
      <c r="C24" s="61"/>
      <c r="D24" s="61"/>
      <c r="E24" s="62" t="s">
        <v>84</v>
      </c>
      <c r="F24" s="62" t="s">
        <v>84</v>
      </c>
      <c r="G24" s="63" t="s">
        <v>84</v>
      </c>
      <c r="H24" s="63" t="s">
        <v>84</v>
      </c>
      <c r="I24" s="62" t="s">
        <v>84</v>
      </c>
      <c r="J24" s="62" t="s">
        <v>84</v>
      </c>
      <c r="K24" s="64" t="s">
        <v>94</v>
      </c>
      <c r="L24" s="64">
        <v>5</v>
      </c>
      <c r="M24" s="64">
        <v>5</v>
      </c>
      <c r="N24" s="64" t="s">
        <v>20</v>
      </c>
      <c r="O24" s="48">
        <f>SUM(L24:N24) / Capacity!$B$2</f>
        <v>1.4285714285714286</v>
      </c>
    </row>
    <row r="25" spans="2:15" ht="17" thickBot="1">
      <c r="B25" s="26"/>
      <c r="C25" s="65"/>
      <c r="D25" s="65"/>
      <c r="E25" s="28"/>
      <c r="F25" s="28"/>
      <c r="G25" s="28"/>
      <c r="H25" s="28"/>
      <c r="I25" s="28"/>
      <c r="J25" s="28"/>
      <c r="K25" s="28"/>
      <c r="L25" s="66">
        <f>SUM(L3:L24)</f>
        <v>2179</v>
      </c>
      <c r="M25" s="66">
        <f>SUM(M3:M24)</f>
        <v>1652</v>
      </c>
      <c r="N25" s="29"/>
      <c r="O25" s="29">
        <f>SUM(O3:O24)</f>
        <v>547.28571428571422</v>
      </c>
    </row>
    <row r="26" spans="2:15">
      <c r="C26" s="39"/>
      <c r="D26" s="39"/>
    </row>
    <row r="27" spans="2:15">
      <c r="C27" s="39"/>
      <c r="D27" s="39"/>
    </row>
    <row r="28" spans="2:15">
      <c r="C28" s="39"/>
      <c r="D28" s="39"/>
    </row>
    <row r="29" spans="2:15">
      <c r="C29" s="39"/>
      <c r="D29" s="39"/>
    </row>
    <row r="30" spans="2:15">
      <c r="C30" s="39"/>
      <c r="D30" s="39"/>
    </row>
    <row r="31" spans="2:15">
      <c r="C31" s="39"/>
      <c r="D31" s="39"/>
    </row>
    <row r="32" spans="2:15">
      <c r="C32" s="39"/>
      <c r="D32" s="39"/>
    </row>
    <row r="33" spans="3:4">
      <c r="C33" s="39"/>
      <c r="D33" s="39"/>
    </row>
    <row r="34" spans="3:4">
      <c r="C34" s="39"/>
      <c r="D34" s="39"/>
    </row>
    <row r="35" spans="3:4">
      <c r="C35" s="39"/>
      <c r="D35" s="39"/>
    </row>
    <row r="36" spans="3:4">
      <c r="C36" s="39"/>
      <c r="D36" s="39"/>
    </row>
    <row r="37" spans="3:4">
      <c r="C37" s="39"/>
      <c r="D37" s="39"/>
    </row>
    <row r="38" spans="3:4">
      <c r="C38" s="39"/>
      <c r="D38" s="39"/>
    </row>
    <row r="39" spans="3:4">
      <c r="C39" s="39"/>
      <c r="D39" s="39"/>
    </row>
    <row r="40" spans="3:4">
      <c r="C40" s="39"/>
      <c r="D40" s="39"/>
    </row>
    <row r="41" spans="3:4">
      <c r="C41" s="39"/>
      <c r="D41" s="39"/>
    </row>
    <row r="42" spans="3:4">
      <c r="C42" s="39"/>
      <c r="D42" s="39"/>
    </row>
    <row r="43" spans="3:4">
      <c r="C43" s="39"/>
      <c r="D43" s="39"/>
    </row>
    <row r="44" spans="3:4">
      <c r="C44" s="39"/>
      <c r="D44" s="39"/>
    </row>
    <row r="45" spans="3:4">
      <c r="C45" s="39"/>
      <c r="D45" s="39"/>
    </row>
    <row r="46" spans="3:4">
      <c r="C46" s="39"/>
      <c r="D46" s="39"/>
    </row>
    <row r="47" spans="3:4">
      <c r="C47" s="39"/>
      <c r="D47" s="39"/>
    </row>
    <row r="48" spans="3:4">
      <c r="C48" s="39"/>
      <c r="D48" s="39"/>
    </row>
    <row r="49" spans="3:4">
      <c r="C49" s="39"/>
      <c r="D49" s="39"/>
    </row>
    <row r="50" spans="3:4">
      <c r="C50" s="39"/>
      <c r="D50" s="39"/>
    </row>
    <row r="51" spans="3:4">
      <c r="C51" s="39"/>
      <c r="D51" s="39"/>
    </row>
    <row r="52" spans="3:4">
      <c r="C52" s="39"/>
      <c r="D52" s="39"/>
    </row>
    <row r="53" spans="3:4">
      <c r="C53" s="39"/>
      <c r="D53" s="39"/>
    </row>
    <row r="54" spans="3:4">
      <c r="C54" s="39"/>
      <c r="D54" s="39"/>
    </row>
    <row r="55" spans="3:4">
      <c r="C55" s="39"/>
      <c r="D55" s="39"/>
    </row>
    <row r="56" spans="3:4">
      <c r="C56" s="39"/>
      <c r="D56" s="39"/>
    </row>
    <row r="57" spans="3:4">
      <c r="C57" s="39"/>
      <c r="D57" s="39"/>
    </row>
    <row r="58" spans="3:4">
      <c r="C58" s="39"/>
      <c r="D58" s="39"/>
    </row>
    <row r="59" spans="3:4">
      <c r="C59" s="39"/>
      <c r="D59" s="39"/>
    </row>
    <row r="60" spans="3:4">
      <c r="C60" s="39"/>
      <c r="D60" s="39"/>
    </row>
    <row r="61" spans="3:4">
      <c r="C61" s="39"/>
      <c r="D61" s="39"/>
    </row>
    <row r="62" spans="3:4">
      <c r="C62" s="39"/>
      <c r="D62" s="39"/>
    </row>
    <row r="63" spans="3:4">
      <c r="C63" s="39"/>
      <c r="D63" s="39"/>
    </row>
    <row r="64" spans="3:4">
      <c r="C64" s="39"/>
      <c r="D64" s="39"/>
    </row>
    <row r="65" spans="3:4">
      <c r="C65" s="39"/>
      <c r="D65" s="39"/>
    </row>
    <row r="66" spans="3:4">
      <c r="C66" s="39"/>
      <c r="D66" s="39"/>
    </row>
    <row r="67" spans="3:4">
      <c r="C67" s="39"/>
      <c r="D67" s="39"/>
    </row>
    <row r="68" spans="3:4">
      <c r="C68" s="39"/>
      <c r="D68" s="39"/>
    </row>
    <row r="69" spans="3:4">
      <c r="C69" s="39"/>
      <c r="D69" s="39"/>
    </row>
    <row r="70" spans="3:4">
      <c r="C70" s="39"/>
      <c r="D70" s="39"/>
    </row>
    <row r="71" spans="3:4">
      <c r="C71" s="39"/>
      <c r="D71" s="39"/>
    </row>
    <row r="72" spans="3:4">
      <c r="C72" s="39"/>
      <c r="D72" s="39"/>
    </row>
    <row r="73" spans="3:4">
      <c r="C73" s="39"/>
      <c r="D73" s="39"/>
    </row>
    <row r="74" spans="3:4">
      <c r="C74" s="39"/>
      <c r="D74" s="39"/>
    </row>
    <row r="75" spans="3:4">
      <c r="C75" s="39"/>
      <c r="D75" s="39"/>
    </row>
    <row r="76" spans="3:4">
      <c r="C76" s="39"/>
      <c r="D76" s="39"/>
    </row>
    <row r="77" spans="3:4">
      <c r="C77" s="39"/>
      <c r="D77" s="39"/>
    </row>
    <row r="78" spans="3:4">
      <c r="C78" s="39"/>
      <c r="D78" s="39"/>
    </row>
    <row r="79" spans="3:4">
      <c r="C79" s="39"/>
      <c r="D79" s="39"/>
    </row>
    <row r="80" spans="3:4">
      <c r="C80" s="39"/>
      <c r="D80" s="39"/>
    </row>
    <row r="81" spans="3:4">
      <c r="C81" s="39"/>
      <c r="D81" s="39"/>
    </row>
    <row r="82" spans="3:4">
      <c r="C82" s="39"/>
      <c r="D82" s="39"/>
    </row>
    <row r="83" spans="3:4">
      <c r="C83" s="39"/>
      <c r="D83" s="39"/>
    </row>
    <row r="84" spans="3:4">
      <c r="C84" s="39"/>
      <c r="D84" s="39"/>
    </row>
    <row r="85" spans="3:4">
      <c r="C85" s="39"/>
      <c r="D85" s="39"/>
    </row>
    <row r="86" spans="3:4">
      <c r="C86" s="39"/>
      <c r="D86" s="39"/>
    </row>
    <row r="87" spans="3:4">
      <c r="C87" s="39"/>
      <c r="D87" s="39"/>
    </row>
    <row r="88" spans="3:4">
      <c r="C88" s="39"/>
      <c r="D88" s="39"/>
    </row>
    <row r="89" spans="3:4">
      <c r="C89" s="39"/>
      <c r="D89" s="39"/>
    </row>
    <row r="90" spans="3:4">
      <c r="C90" s="39"/>
      <c r="D90" s="39"/>
    </row>
    <row r="91" spans="3:4">
      <c r="C91" s="39"/>
      <c r="D91" s="39"/>
    </row>
    <row r="92" spans="3:4">
      <c r="C92" s="39"/>
      <c r="D92" s="39"/>
    </row>
    <row r="93" spans="3:4">
      <c r="C93" s="39"/>
      <c r="D93" s="39"/>
    </row>
    <row r="94" spans="3:4">
      <c r="C94" s="39"/>
      <c r="D94" s="39"/>
    </row>
    <row r="95" spans="3:4">
      <c r="C95" s="39"/>
      <c r="D95" s="39"/>
    </row>
    <row r="96" spans="3:4">
      <c r="C96" s="39"/>
      <c r="D96" s="39"/>
    </row>
    <row r="97" spans="3:4">
      <c r="C97" s="39"/>
      <c r="D97" s="39"/>
    </row>
    <row r="98" spans="3:4">
      <c r="C98" s="39"/>
      <c r="D98" s="39"/>
    </row>
    <row r="99" spans="3:4">
      <c r="C99" s="39"/>
      <c r="D99" s="39"/>
    </row>
    <row r="100" spans="3:4">
      <c r="C100" s="39"/>
      <c r="D100" s="39"/>
    </row>
    <row r="101" spans="3:4">
      <c r="C101" s="39"/>
      <c r="D101" s="39"/>
    </row>
    <row r="102" spans="3:4">
      <c r="C102" s="39"/>
      <c r="D102" s="39"/>
    </row>
    <row r="103" spans="3:4">
      <c r="C103" s="39"/>
      <c r="D103" s="39"/>
    </row>
    <row r="104" spans="3:4">
      <c r="C104" s="39"/>
      <c r="D104" s="39"/>
    </row>
    <row r="105" spans="3:4">
      <c r="C105" s="39"/>
      <c r="D105" s="39"/>
    </row>
    <row r="106" spans="3:4">
      <c r="C106" s="39"/>
      <c r="D106" s="39"/>
    </row>
    <row r="107" spans="3:4">
      <c r="C107" s="39"/>
      <c r="D107" s="39"/>
    </row>
    <row r="108" spans="3:4">
      <c r="C108" s="39"/>
      <c r="D108" s="39"/>
    </row>
    <row r="109" spans="3:4">
      <c r="C109" s="39"/>
      <c r="D109" s="39"/>
    </row>
    <row r="110" spans="3:4">
      <c r="C110" s="39"/>
      <c r="D110" s="39"/>
    </row>
    <row r="111" spans="3:4">
      <c r="C111" s="39"/>
      <c r="D111" s="39"/>
    </row>
    <row r="112" spans="3:4">
      <c r="C112" s="39"/>
      <c r="D112" s="39"/>
    </row>
    <row r="113" spans="3:4">
      <c r="C113" s="39"/>
      <c r="D113" s="39"/>
    </row>
    <row r="114" spans="3:4">
      <c r="C114" s="39"/>
      <c r="D114" s="39"/>
    </row>
    <row r="115" spans="3:4">
      <c r="C115" s="39"/>
      <c r="D115" s="39"/>
    </row>
    <row r="116" spans="3:4">
      <c r="C116" s="39"/>
      <c r="D116" s="39"/>
    </row>
    <row r="117" spans="3:4">
      <c r="C117" s="39"/>
      <c r="D117" s="39"/>
    </row>
    <row r="118" spans="3:4">
      <c r="C118" s="39"/>
      <c r="D118" s="39"/>
    </row>
    <row r="119" spans="3:4">
      <c r="C119" s="39"/>
      <c r="D119" s="39"/>
    </row>
    <row r="120" spans="3:4">
      <c r="C120" s="39"/>
      <c r="D120" s="39"/>
    </row>
    <row r="121" spans="3:4">
      <c r="C121" s="39"/>
      <c r="D121" s="39"/>
    </row>
    <row r="122" spans="3:4">
      <c r="C122" s="39"/>
      <c r="D122" s="39"/>
    </row>
    <row r="123" spans="3:4">
      <c r="C123" s="39"/>
      <c r="D123" s="39"/>
    </row>
    <row r="124" spans="3:4">
      <c r="C124" s="39"/>
      <c r="D124" s="39"/>
    </row>
    <row r="125" spans="3:4">
      <c r="C125" s="39"/>
      <c r="D125" s="39"/>
    </row>
    <row r="126" spans="3:4">
      <c r="C126" s="39"/>
      <c r="D126" s="39"/>
    </row>
    <row r="127" spans="3:4">
      <c r="C127" s="39"/>
      <c r="D127" s="39"/>
    </row>
    <row r="128" spans="3:4">
      <c r="C128" s="39"/>
      <c r="D128" s="39"/>
    </row>
    <row r="129" spans="3:4">
      <c r="C129" s="39"/>
      <c r="D129" s="39"/>
    </row>
    <row r="130" spans="3:4">
      <c r="C130" s="39"/>
      <c r="D130" s="39"/>
    </row>
    <row r="131" spans="3:4">
      <c r="C131" s="39"/>
      <c r="D131" s="39"/>
    </row>
    <row r="132" spans="3:4">
      <c r="C132" s="39"/>
      <c r="D132" s="39"/>
    </row>
    <row r="133" spans="3:4">
      <c r="C133" s="39"/>
      <c r="D133" s="39"/>
    </row>
    <row r="134" spans="3:4">
      <c r="C134" s="39"/>
      <c r="D134" s="39"/>
    </row>
    <row r="135" spans="3:4">
      <c r="C135" s="39"/>
      <c r="D135" s="39"/>
    </row>
    <row r="136" spans="3:4">
      <c r="C136" s="39"/>
      <c r="D136" s="39"/>
    </row>
    <row r="137" spans="3:4">
      <c r="C137" s="39"/>
      <c r="D137" s="39"/>
    </row>
    <row r="138" spans="3:4">
      <c r="C138" s="39"/>
      <c r="D138" s="39"/>
    </row>
    <row r="139" spans="3:4">
      <c r="C139" s="39"/>
      <c r="D139" s="39"/>
    </row>
    <row r="140" spans="3:4">
      <c r="C140" s="39"/>
      <c r="D140" s="39"/>
    </row>
    <row r="141" spans="3:4">
      <c r="C141" s="39"/>
      <c r="D141" s="39"/>
    </row>
    <row r="142" spans="3:4">
      <c r="C142" s="39"/>
      <c r="D142" s="39"/>
    </row>
    <row r="143" spans="3:4">
      <c r="C143" s="39"/>
      <c r="D143" s="39"/>
    </row>
    <row r="144" spans="3:4">
      <c r="C144" s="39"/>
      <c r="D144" s="39"/>
    </row>
    <row r="145" spans="3:4">
      <c r="C145" s="39"/>
      <c r="D145" s="39"/>
    </row>
    <row r="146" spans="3:4">
      <c r="C146" s="39"/>
      <c r="D146" s="39"/>
    </row>
    <row r="147" spans="3:4">
      <c r="C147" s="39"/>
      <c r="D147" s="39"/>
    </row>
    <row r="148" spans="3:4">
      <c r="C148" s="39"/>
      <c r="D148" s="39"/>
    </row>
    <row r="149" spans="3:4">
      <c r="C149" s="39"/>
      <c r="D149" s="39"/>
    </row>
    <row r="150" spans="3:4">
      <c r="C150" s="39"/>
      <c r="D150" s="39"/>
    </row>
    <row r="151" spans="3:4">
      <c r="C151" s="39"/>
      <c r="D151" s="39"/>
    </row>
    <row r="152" spans="3:4">
      <c r="C152" s="39"/>
      <c r="D152" s="39"/>
    </row>
    <row r="153" spans="3:4">
      <c r="C153" s="39"/>
      <c r="D153" s="39"/>
    </row>
    <row r="154" spans="3:4">
      <c r="C154" s="39"/>
      <c r="D154" s="39"/>
    </row>
    <row r="155" spans="3:4">
      <c r="C155" s="39"/>
      <c r="D155" s="39"/>
    </row>
    <row r="156" spans="3:4">
      <c r="C156" s="39"/>
      <c r="D156" s="39"/>
    </row>
    <row r="157" spans="3:4">
      <c r="C157" s="39"/>
      <c r="D157" s="39"/>
    </row>
    <row r="158" spans="3:4">
      <c r="C158" s="39"/>
      <c r="D158" s="39"/>
    </row>
    <row r="159" spans="3:4">
      <c r="C159" s="39"/>
      <c r="D159" s="39"/>
    </row>
    <row r="160" spans="3:4">
      <c r="C160" s="39"/>
      <c r="D160" s="39"/>
    </row>
    <row r="161" spans="3:4">
      <c r="C161" s="39"/>
      <c r="D161" s="39"/>
    </row>
    <row r="162" spans="3:4">
      <c r="C162" s="39"/>
      <c r="D162" s="39"/>
    </row>
    <row r="163" spans="3:4">
      <c r="C163" s="39"/>
      <c r="D163" s="39"/>
    </row>
    <row r="164" spans="3:4">
      <c r="C164" s="39"/>
      <c r="D164" s="39"/>
    </row>
    <row r="165" spans="3:4">
      <c r="C165" s="39"/>
      <c r="D165" s="39"/>
    </row>
    <row r="166" spans="3:4">
      <c r="C166" s="39"/>
      <c r="D166" s="39"/>
    </row>
    <row r="167" spans="3:4">
      <c r="C167" s="39"/>
      <c r="D167" s="39"/>
    </row>
    <row r="168" spans="3:4">
      <c r="C168" s="39"/>
      <c r="D168" s="39"/>
    </row>
    <row r="169" spans="3:4">
      <c r="C169" s="39"/>
      <c r="D169" s="39"/>
    </row>
    <row r="170" spans="3:4">
      <c r="C170" s="39"/>
      <c r="D170" s="39"/>
    </row>
    <row r="171" spans="3:4">
      <c r="C171" s="39"/>
      <c r="D171" s="39"/>
    </row>
    <row r="172" spans="3:4">
      <c r="C172" s="39"/>
      <c r="D172" s="39"/>
    </row>
    <row r="173" spans="3:4">
      <c r="C173" s="39"/>
      <c r="D173" s="39"/>
    </row>
    <row r="174" spans="3:4">
      <c r="C174" s="39"/>
      <c r="D174" s="39"/>
    </row>
    <row r="175" spans="3:4">
      <c r="C175" s="39"/>
      <c r="D175" s="39"/>
    </row>
    <row r="176" spans="3:4">
      <c r="C176" s="39"/>
      <c r="D176" s="39"/>
    </row>
    <row r="177" spans="3:4">
      <c r="C177" s="39"/>
      <c r="D177" s="39"/>
    </row>
    <row r="178" spans="3:4">
      <c r="C178" s="39"/>
      <c r="D178" s="39"/>
    </row>
    <row r="179" spans="3:4">
      <c r="C179" s="39"/>
      <c r="D179" s="39"/>
    </row>
    <row r="180" spans="3:4">
      <c r="C180" s="39"/>
      <c r="D180" s="39"/>
    </row>
    <row r="181" spans="3:4">
      <c r="C181" s="39"/>
      <c r="D181" s="39"/>
    </row>
    <row r="182" spans="3:4">
      <c r="C182" s="39"/>
      <c r="D182" s="39"/>
    </row>
    <row r="183" spans="3:4">
      <c r="C183" s="39"/>
      <c r="D183" s="39"/>
    </row>
    <row r="184" spans="3:4">
      <c r="C184" s="39"/>
      <c r="D184" s="39"/>
    </row>
    <row r="185" spans="3:4">
      <c r="C185" s="39"/>
      <c r="D185" s="39"/>
    </row>
    <row r="186" spans="3:4">
      <c r="C186" s="39"/>
      <c r="D186" s="39"/>
    </row>
    <row r="187" spans="3:4">
      <c r="C187" s="39"/>
      <c r="D187" s="39"/>
    </row>
    <row r="188" spans="3:4">
      <c r="C188" s="39"/>
      <c r="D188" s="39"/>
    </row>
    <row r="189" spans="3:4">
      <c r="C189" s="39"/>
      <c r="D189" s="39"/>
    </row>
    <row r="190" spans="3:4">
      <c r="C190" s="39"/>
      <c r="D190" s="39"/>
    </row>
    <row r="191" spans="3:4">
      <c r="C191" s="39"/>
      <c r="D191" s="39"/>
    </row>
    <row r="192" spans="3:4">
      <c r="C192" s="39"/>
      <c r="D192" s="39"/>
    </row>
    <row r="193" spans="3:4">
      <c r="C193" s="39"/>
      <c r="D193" s="39"/>
    </row>
    <row r="194" spans="3:4">
      <c r="C194" s="39"/>
      <c r="D194" s="39"/>
    </row>
    <row r="195" spans="3:4">
      <c r="C195" s="39"/>
      <c r="D195" s="39"/>
    </row>
    <row r="196" spans="3:4">
      <c r="C196" s="39"/>
      <c r="D196" s="39"/>
    </row>
    <row r="197" spans="3:4">
      <c r="C197" s="39"/>
      <c r="D197" s="39"/>
    </row>
    <row r="198" spans="3:4">
      <c r="C198" s="39"/>
      <c r="D198" s="39"/>
    </row>
    <row r="199" spans="3:4">
      <c r="C199" s="39"/>
      <c r="D199" s="39"/>
    </row>
    <row r="200" spans="3:4">
      <c r="C200" s="39"/>
      <c r="D200" s="39"/>
    </row>
    <row r="201" spans="3:4">
      <c r="C201" s="39"/>
      <c r="D201" s="39"/>
    </row>
    <row r="202" spans="3:4">
      <c r="C202" s="39"/>
      <c r="D202" s="39"/>
    </row>
    <row r="203" spans="3:4">
      <c r="C203" s="39"/>
      <c r="D203" s="39"/>
    </row>
    <row r="204" spans="3:4">
      <c r="C204" s="39"/>
      <c r="D204" s="39"/>
    </row>
    <row r="205" spans="3:4">
      <c r="C205" s="39"/>
      <c r="D205" s="39"/>
    </row>
    <row r="206" spans="3:4">
      <c r="C206" s="39"/>
      <c r="D206" s="39"/>
    </row>
    <row r="207" spans="3:4">
      <c r="C207" s="39"/>
      <c r="D207" s="39"/>
    </row>
    <row r="208" spans="3:4">
      <c r="C208" s="39"/>
      <c r="D208" s="39"/>
    </row>
    <row r="209" spans="3:4">
      <c r="C209" s="39"/>
      <c r="D209" s="39"/>
    </row>
    <row r="210" spans="3:4">
      <c r="C210" s="39"/>
      <c r="D210" s="39"/>
    </row>
    <row r="211" spans="3:4">
      <c r="C211" s="39"/>
      <c r="D211" s="39"/>
    </row>
    <row r="212" spans="3:4">
      <c r="C212" s="39"/>
      <c r="D212" s="39"/>
    </row>
    <row r="213" spans="3:4">
      <c r="C213" s="39"/>
      <c r="D213" s="39"/>
    </row>
    <row r="214" spans="3:4">
      <c r="C214" s="39"/>
      <c r="D214" s="39"/>
    </row>
    <row r="215" spans="3:4">
      <c r="C215" s="39"/>
      <c r="D215" s="39"/>
    </row>
    <row r="216" spans="3:4">
      <c r="C216" s="39"/>
      <c r="D216" s="39"/>
    </row>
    <row r="217" spans="3:4">
      <c r="C217" s="39"/>
      <c r="D217" s="39"/>
    </row>
    <row r="218" spans="3:4">
      <c r="C218" s="39"/>
      <c r="D218" s="39"/>
    </row>
    <row r="219" spans="3:4">
      <c r="C219" s="39"/>
      <c r="D219" s="39"/>
    </row>
    <row r="220" spans="3:4">
      <c r="C220" s="39"/>
      <c r="D220" s="39"/>
    </row>
    <row r="221" spans="3:4">
      <c r="C221" s="39"/>
      <c r="D221" s="39"/>
    </row>
    <row r="222" spans="3:4">
      <c r="C222" s="39"/>
      <c r="D222" s="39"/>
    </row>
    <row r="223" spans="3:4">
      <c r="C223" s="39"/>
      <c r="D223" s="39"/>
    </row>
    <row r="224" spans="3:4">
      <c r="C224" s="39"/>
      <c r="D224" s="39"/>
    </row>
    <row r="225" spans="3:4">
      <c r="C225" s="39"/>
      <c r="D225" s="39"/>
    </row>
    <row r="226" spans="3:4">
      <c r="C226" s="39"/>
      <c r="D226" s="39"/>
    </row>
    <row r="227" spans="3:4">
      <c r="C227" s="39"/>
      <c r="D227" s="39"/>
    </row>
    <row r="228" spans="3:4">
      <c r="C228" s="39"/>
      <c r="D228" s="39"/>
    </row>
    <row r="229" spans="3:4">
      <c r="C229" s="39"/>
      <c r="D229" s="39"/>
    </row>
    <row r="230" spans="3:4">
      <c r="C230" s="39"/>
      <c r="D230" s="39"/>
    </row>
    <row r="231" spans="3:4">
      <c r="C231" s="39"/>
      <c r="D231" s="39"/>
    </row>
    <row r="232" spans="3:4">
      <c r="C232" s="39"/>
      <c r="D232" s="39"/>
    </row>
    <row r="233" spans="3:4">
      <c r="C233" s="39"/>
      <c r="D233" s="39"/>
    </row>
    <row r="234" spans="3:4">
      <c r="C234" s="39"/>
      <c r="D234" s="39"/>
    </row>
    <row r="235" spans="3:4">
      <c r="C235" s="39"/>
      <c r="D235" s="39"/>
    </row>
    <row r="236" spans="3:4">
      <c r="C236" s="39"/>
      <c r="D236" s="39"/>
    </row>
    <row r="237" spans="3:4">
      <c r="C237" s="39"/>
      <c r="D237" s="39"/>
    </row>
    <row r="238" spans="3:4">
      <c r="C238" s="39"/>
      <c r="D238" s="39"/>
    </row>
    <row r="239" spans="3:4">
      <c r="C239" s="39"/>
      <c r="D239" s="39"/>
    </row>
    <row r="240" spans="3:4">
      <c r="C240" s="39"/>
      <c r="D240" s="39"/>
    </row>
    <row r="241" spans="3:4">
      <c r="C241" s="39"/>
      <c r="D241" s="39"/>
    </row>
    <row r="242" spans="3:4">
      <c r="C242" s="39"/>
      <c r="D242" s="39"/>
    </row>
    <row r="243" spans="3:4">
      <c r="C243" s="39"/>
      <c r="D243" s="39"/>
    </row>
    <row r="244" spans="3:4">
      <c r="C244" s="39"/>
      <c r="D244" s="39"/>
    </row>
    <row r="245" spans="3:4">
      <c r="C245" s="39"/>
      <c r="D245" s="39"/>
    </row>
    <row r="246" spans="3:4">
      <c r="C246" s="39"/>
      <c r="D246" s="39"/>
    </row>
    <row r="247" spans="3:4">
      <c r="C247" s="39"/>
      <c r="D247" s="39"/>
    </row>
    <row r="248" spans="3:4">
      <c r="C248" s="39"/>
      <c r="D248" s="39"/>
    </row>
    <row r="249" spans="3:4">
      <c r="C249" s="39"/>
      <c r="D249" s="39"/>
    </row>
    <row r="250" spans="3:4">
      <c r="C250" s="39"/>
      <c r="D250" s="39"/>
    </row>
    <row r="251" spans="3:4">
      <c r="C251" s="39"/>
      <c r="D251" s="39"/>
    </row>
    <row r="252" spans="3:4">
      <c r="C252" s="39"/>
      <c r="D252" s="39"/>
    </row>
    <row r="253" spans="3:4">
      <c r="C253" s="39"/>
      <c r="D253" s="39"/>
    </row>
    <row r="254" spans="3:4">
      <c r="C254" s="39"/>
      <c r="D254" s="39"/>
    </row>
    <row r="255" spans="3:4">
      <c r="C255" s="39"/>
      <c r="D255" s="39"/>
    </row>
    <row r="256" spans="3:4">
      <c r="C256" s="39"/>
      <c r="D256" s="39"/>
    </row>
    <row r="257" spans="3:4">
      <c r="C257" s="39"/>
      <c r="D257" s="39"/>
    </row>
    <row r="258" spans="3:4">
      <c r="C258" s="39"/>
      <c r="D258" s="39"/>
    </row>
    <row r="259" spans="3:4">
      <c r="C259" s="39"/>
      <c r="D259" s="39"/>
    </row>
    <row r="260" spans="3:4">
      <c r="C260" s="39"/>
      <c r="D260" s="39"/>
    </row>
    <row r="261" spans="3:4">
      <c r="C261" s="39"/>
      <c r="D261" s="39"/>
    </row>
    <row r="262" spans="3:4">
      <c r="C262" s="39"/>
      <c r="D262" s="39"/>
    </row>
    <row r="263" spans="3:4">
      <c r="C263" s="39"/>
      <c r="D263" s="39"/>
    </row>
    <row r="264" spans="3:4">
      <c r="C264" s="39"/>
      <c r="D264" s="39"/>
    </row>
    <row r="265" spans="3:4">
      <c r="C265" s="39"/>
      <c r="D265" s="39"/>
    </row>
    <row r="266" spans="3:4">
      <c r="C266" s="39"/>
      <c r="D266" s="39"/>
    </row>
    <row r="267" spans="3:4">
      <c r="C267" s="39"/>
      <c r="D267" s="39"/>
    </row>
    <row r="268" spans="3:4">
      <c r="C268" s="39"/>
      <c r="D268" s="39"/>
    </row>
    <row r="269" spans="3:4">
      <c r="C269" s="39"/>
      <c r="D269" s="39"/>
    </row>
    <row r="270" spans="3:4">
      <c r="C270" s="39"/>
      <c r="D270" s="39"/>
    </row>
    <row r="271" spans="3:4">
      <c r="C271" s="39"/>
      <c r="D271" s="39"/>
    </row>
    <row r="272" spans="3:4">
      <c r="C272" s="39"/>
      <c r="D272" s="39"/>
    </row>
    <row r="273" spans="3:4">
      <c r="C273" s="39"/>
      <c r="D273" s="39"/>
    </row>
    <row r="274" spans="3:4">
      <c r="C274" s="39"/>
      <c r="D274" s="39"/>
    </row>
    <row r="275" spans="3:4">
      <c r="C275" s="39"/>
      <c r="D275" s="39"/>
    </row>
    <row r="276" spans="3:4">
      <c r="C276" s="39"/>
      <c r="D276" s="39"/>
    </row>
    <row r="277" spans="3:4">
      <c r="C277" s="39"/>
      <c r="D277" s="39"/>
    </row>
    <row r="278" spans="3:4">
      <c r="C278" s="39"/>
      <c r="D278" s="39"/>
    </row>
    <row r="279" spans="3:4">
      <c r="C279" s="39"/>
      <c r="D279" s="39"/>
    </row>
    <row r="280" spans="3:4">
      <c r="C280" s="39"/>
      <c r="D280" s="39"/>
    </row>
    <row r="281" spans="3:4">
      <c r="C281" s="39"/>
      <c r="D281" s="39"/>
    </row>
    <row r="282" spans="3:4">
      <c r="C282" s="39"/>
      <c r="D282" s="39"/>
    </row>
    <row r="283" spans="3:4">
      <c r="C283" s="39"/>
      <c r="D283" s="39"/>
    </row>
    <row r="284" spans="3:4">
      <c r="C284" s="39"/>
      <c r="D284" s="39"/>
    </row>
    <row r="285" spans="3:4">
      <c r="C285" s="39"/>
      <c r="D285" s="39"/>
    </row>
    <row r="286" spans="3:4">
      <c r="C286" s="39"/>
      <c r="D286" s="39"/>
    </row>
    <row r="287" spans="3:4">
      <c r="C287" s="39"/>
      <c r="D287" s="39"/>
    </row>
    <row r="288" spans="3:4">
      <c r="C288" s="39"/>
      <c r="D288" s="39"/>
    </row>
    <row r="289" spans="3:4">
      <c r="C289" s="39"/>
      <c r="D289" s="39"/>
    </row>
    <row r="290" spans="3:4">
      <c r="C290" s="39"/>
      <c r="D290" s="39"/>
    </row>
    <row r="291" spans="3:4">
      <c r="C291" s="39"/>
      <c r="D291" s="39"/>
    </row>
    <row r="292" spans="3:4">
      <c r="C292" s="39"/>
      <c r="D292" s="39"/>
    </row>
    <row r="293" spans="3:4">
      <c r="C293" s="39"/>
      <c r="D293" s="39"/>
    </row>
    <row r="294" spans="3:4">
      <c r="C294" s="39"/>
      <c r="D294" s="39"/>
    </row>
    <row r="295" spans="3:4">
      <c r="C295" s="39"/>
      <c r="D295" s="39"/>
    </row>
    <row r="296" spans="3:4">
      <c r="C296" s="39"/>
      <c r="D296" s="39"/>
    </row>
    <row r="297" spans="3:4">
      <c r="C297" s="39"/>
      <c r="D297" s="39"/>
    </row>
    <row r="298" spans="3:4">
      <c r="C298" s="39"/>
      <c r="D298" s="39"/>
    </row>
    <row r="299" spans="3:4">
      <c r="C299" s="39"/>
      <c r="D299" s="39"/>
    </row>
    <row r="300" spans="3:4">
      <c r="C300" s="39"/>
      <c r="D300" s="39"/>
    </row>
    <row r="301" spans="3:4">
      <c r="C301" s="39"/>
      <c r="D301" s="39"/>
    </row>
    <row r="302" spans="3:4">
      <c r="C302" s="39"/>
      <c r="D302" s="39"/>
    </row>
    <row r="303" spans="3:4">
      <c r="C303" s="39"/>
      <c r="D303" s="39"/>
    </row>
    <row r="304" spans="3:4">
      <c r="C304" s="39"/>
      <c r="D304" s="39"/>
    </row>
    <row r="305" spans="3:4">
      <c r="C305" s="39"/>
      <c r="D305" s="39"/>
    </row>
    <row r="306" spans="3:4">
      <c r="C306" s="39"/>
      <c r="D306" s="39"/>
    </row>
    <row r="307" spans="3:4">
      <c r="C307" s="39"/>
      <c r="D307" s="39"/>
    </row>
    <row r="308" spans="3:4">
      <c r="C308" s="39"/>
      <c r="D308" s="39"/>
    </row>
    <row r="309" spans="3:4">
      <c r="C309" s="39"/>
      <c r="D309" s="39"/>
    </row>
    <row r="310" spans="3:4">
      <c r="C310" s="39"/>
      <c r="D310" s="39"/>
    </row>
    <row r="311" spans="3:4">
      <c r="C311" s="39"/>
      <c r="D311" s="39"/>
    </row>
    <row r="312" spans="3:4">
      <c r="C312" s="39"/>
      <c r="D312" s="39"/>
    </row>
    <row r="313" spans="3:4">
      <c r="C313" s="39"/>
      <c r="D313" s="39"/>
    </row>
    <row r="314" spans="3:4">
      <c r="C314" s="39"/>
      <c r="D314" s="39"/>
    </row>
    <row r="315" spans="3:4">
      <c r="C315" s="39"/>
      <c r="D315" s="39"/>
    </row>
    <row r="316" spans="3:4">
      <c r="C316" s="39"/>
      <c r="D316" s="39"/>
    </row>
    <row r="317" spans="3:4">
      <c r="C317" s="39"/>
      <c r="D317" s="39"/>
    </row>
    <row r="318" spans="3:4">
      <c r="C318" s="39"/>
      <c r="D318" s="39"/>
    </row>
    <row r="319" spans="3:4">
      <c r="C319" s="39"/>
      <c r="D319" s="39"/>
    </row>
    <row r="320" spans="3:4">
      <c r="C320" s="39"/>
      <c r="D320" s="39"/>
    </row>
    <row r="321" spans="3:4">
      <c r="C321" s="39"/>
      <c r="D321" s="39"/>
    </row>
    <row r="322" spans="3:4">
      <c r="C322" s="39"/>
      <c r="D322" s="39"/>
    </row>
    <row r="323" spans="3:4">
      <c r="C323" s="39"/>
      <c r="D323" s="39"/>
    </row>
    <row r="324" spans="3:4">
      <c r="C324" s="39"/>
      <c r="D324" s="39"/>
    </row>
    <row r="325" spans="3:4">
      <c r="C325" s="39"/>
      <c r="D325" s="39"/>
    </row>
    <row r="326" spans="3:4">
      <c r="C326" s="39"/>
      <c r="D326" s="39"/>
    </row>
    <row r="327" spans="3:4">
      <c r="C327" s="39"/>
      <c r="D327" s="39"/>
    </row>
    <row r="328" spans="3:4">
      <c r="C328" s="39"/>
      <c r="D328" s="39"/>
    </row>
    <row r="329" spans="3:4">
      <c r="C329" s="39"/>
      <c r="D329" s="39"/>
    </row>
    <row r="330" spans="3:4">
      <c r="C330" s="39"/>
      <c r="D330" s="39"/>
    </row>
    <row r="331" spans="3:4">
      <c r="C331" s="39"/>
      <c r="D331" s="39"/>
    </row>
    <row r="332" spans="3:4">
      <c r="C332" s="39"/>
      <c r="D332" s="39"/>
    </row>
    <row r="333" spans="3:4">
      <c r="C333" s="39"/>
      <c r="D333" s="39"/>
    </row>
    <row r="334" spans="3:4">
      <c r="C334" s="39"/>
      <c r="D334" s="39"/>
    </row>
    <row r="335" spans="3:4">
      <c r="C335" s="39"/>
      <c r="D335" s="39"/>
    </row>
    <row r="336" spans="3:4">
      <c r="C336" s="39"/>
      <c r="D336" s="39"/>
    </row>
    <row r="337" spans="3:4">
      <c r="C337" s="39"/>
      <c r="D337" s="39"/>
    </row>
    <row r="338" spans="3:4">
      <c r="C338" s="39"/>
      <c r="D338" s="39"/>
    </row>
    <row r="339" spans="3:4">
      <c r="C339" s="39"/>
      <c r="D339" s="39"/>
    </row>
    <row r="340" spans="3:4">
      <c r="C340" s="39"/>
      <c r="D340" s="39"/>
    </row>
    <row r="341" spans="3:4">
      <c r="C341" s="39"/>
      <c r="D341" s="39"/>
    </row>
    <row r="342" spans="3:4">
      <c r="C342" s="39"/>
      <c r="D342" s="39"/>
    </row>
    <row r="343" spans="3:4">
      <c r="C343" s="39"/>
      <c r="D343" s="39"/>
    </row>
    <row r="344" spans="3:4">
      <c r="C344" s="39"/>
      <c r="D344" s="39"/>
    </row>
    <row r="345" spans="3:4">
      <c r="C345" s="39"/>
      <c r="D345" s="39"/>
    </row>
    <row r="346" spans="3:4">
      <c r="C346" s="39"/>
      <c r="D346" s="39"/>
    </row>
    <row r="347" spans="3:4">
      <c r="C347" s="39"/>
      <c r="D347" s="39"/>
    </row>
    <row r="348" spans="3:4">
      <c r="C348" s="39"/>
      <c r="D348" s="39"/>
    </row>
    <row r="349" spans="3:4">
      <c r="C349" s="39"/>
      <c r="D349" s="39"/>
    </row>
    <row r="350" spans="3:4">
      <c r="C350" s="39"/>
      <c r="D350" s="39"/>
    </row>
    <row r="351" spans="3:4">
      <c r="C351" s="39"/>
      <c r="D351" s="39"/>
    </row>
    <row r="352" spans="3:4">
      <c r="C352" s="39"/>
      <c r="D352" s="39"/>
    </row>
    <row r="353" spans="3:4">
      <c r="C353" s="39"/>
      <c r="D353" s="39"/>
    </row>
    <row r="354" spans="3:4">
      <c r="C354" s="39"/>
      <c r="D354" s="39"/>
    </row>
    <row r="355" spans="3:4">
      <c r="C355" s="39"/>
      <c r="D355" s="39"/>
    </row>
    <row r="356" spans="3:4">
      <c r="C356" s="39"/>
      <c r="D356" s="39"/>
    </row>
    <row r="357" spans="3:4">
      <c r="C357" s="39"/>
      <c r="D357" s="39"/>
    </row>
    <row r="358" spans="3:4">
      <c r="C358" s="39"/>
      <c r="D358" s="39"/>
    </row>
    <row r="359" spans="3:4">
      <c r="C359" s="39"/>
      <c r="D359" s="39"/>
    </row>
    <row r="360" spans="3:4">
      <c r="C360" s="39"/>
      <c r="D360" s="39"/>
    </row>
    <row r="361" spans="3:4">
      <c r="C361" s="39"/>
      <c r="D361" s="39"/>
    </row>
    <row r="362" spans="3:4">
      <c r="C362" s="39"/>
      <c r="D362" s="39"/>
    </row>
    <row r="363" spans="3:4">
      <c r="C363" s="39"/>
      <c r="D363" s="39"/>
    </row>
    <row r="364" spans="3:4">
      <c r="C364" s="39"/>
      <c r="D364" s="39"/>
    </row>
    <row r="365" spans="3:4">
      <c r="C365" s="39"/>
      <c r="D365" s="39"/>
    </row>
    <row r="366" spans="3:4">
      <c r="C366" s="39"/>
      <c r="D366" s="39"/>
    </row>
    <row r="367" spans="3:4">
      <c r="C367" s="39"/>
      <c r="D367" s="39"/>
    </row>
    <row r="368" spans="3:4">
      <c r="C368" s="39"/>
      <c r="D368" s="39"/>
    </row>
    <row r="369" spans="3:4">
      <c r="C369" s="39"/>
      <c r="D369" s="39"/>
    </row>
    <row r="370" spans="3:4">
      <c r="C370" s="39"/>
      <c r="D370" s="39"/>
    </row>
    <row r="371" spans="3:4">
      <c r="C371" s="39"/>
      <c r="D371" s="39"/>
    </row>
    <row r="372" spans="3:4">
      <c r="C372" s="39"/>
      <c r="D372" s="39"/>
    </row>
    <row r="373" spans="3:4">
      <c r="C373" s="39"/>
      <c r="D373" s="39"/>
    </row>
    <row r="374" spans="3:4">
      <c r="C374" s="39"/>
      <c r="D374" s="39"/>
    </row>
    <row r="375" spans="3:4">
      <c r="C375" s="39"/>
      <c r="D375" s="39"/>
    </row>
    <row r="376" spans="3:4">
      <c r="C376" s="39"/>
      <c r="D376" s="39"/>
    </row>
    <row r="377" spans="3:4">
      <c r="C377" s="39"/>
      <c r="D377" s="39"/>
    </row>
    <row r="378" spans="3:4">
      <c r="C378" s="39"/>
      <c r="D378" s="39"/>
    </row>
    <row r="379" spans="3:4">
      <c r="C379" s="39"/>
      <c r="D379" s="39"/>
    </row>
    <row r="380" spans="3:4">
      <c r="C380" s="39"/>
      <c r="D380" s="39"/>
    </row>
    <row r="381" spans="3:4">
      <c r="C381" s="39"/>
      <c r="D381" s="39"/>
    </row>
    <row r="382" spans="3:4">
      <c r="C382" s="39"/>
      <c r="D382" s="39"/>
    </row>
    <row r="383" spans="3:4">
      <c r="C383" s="39"/>
      <c r="D383" s="39"/>
    </row>
    <row r="384" spans="3:4">
      <c r="C384" s="39"/>
      <c r="D384" s="39"/>
    </row>
    <row r="385" spans="3:4">
      <c r="C385" s="39"/>
      <c r="D385" s="39"/>
    </row>
    <row r="386" spans="3:4">
      <c r="C386" s="39"/>
      <c r="D386" s="39"/>
    </row>
    <row r="387" spans="3:4">
      <c r="C387" s="39"/>
      <c r="D387" s="39"/>
    </row>
    <row r="388" spans="3:4">
      <c r="C388" s="39"/>
      <c r="D388" s="39"/>
    </row>
    <row r="389" spans="3:4">
      <c r="C389" s="39"/>
      <c r="D389" s="39"/>
    </row>
    <row r="390" spans="3:4">
      <c r="C390" s="39"/>
      <c r="D390" s="39"/>
    </row>
    <row r="391" spans="3:4">
      <c r="C391" s="39"/>
      <c r="D391" s="39"/>
    </row>
    <row r="392" spans="3:4">
      <c r="C392" s="39"/>
      <c r="D392" s="39"/>
    </row>
    <row r="393" spans="3:4">
      <c r="C393" s="39"/>
      <c r="D393" s="39"/>
    </row>
    <row r="394" spans="3:4">
      <c r="C394" s="39"/>
      <c r="D394" s="39"/>
    </row>
    <row r="395" spans="3:4">
      <c r="C395" s="39"/>
      <c r="D395" s="39"/>
    </row>
    <row r="396" spans="3:4">
      <c r="C396" s="39"/>
      <c r="D396" s="39"/>
    </row>
    <row r="397" spans="3:4">
      <c r="C397" s="39"/>
      <c r="D397" s="39"/>
    </row>
    <row r="398" spans="3:4">
      <c r="C398" s="39"/>
      <c r="D398" s="39"/>
    </row>
    <row r="399" spans="3:4">
      <c r="C399" s="39"/>
      <c r="D399" s="39"/>
    </row>
    <row r="400" spans="3:4">
      <c r="C400" s="39"/>
      <c r="D400" s="39"/>
    </row>
    <row r="401" spans="3:4">
      <c r="C401" s="39"/>
      <c r="D401" s="39"/>
    </row>
    <row r="402" spans="3:4">
      <c r="C402" s="39"/>
      <c r="D402" s="39"/>
    </row>
    <row r="403" spans="3:4">
      <c r="C403" s="39"/>
      <c r="D403" s="39"/>
    </row>
    <row r="404" spans="3:4">
      <c r="C404" s="39"/>
      <c r="D404" s="39"/>
    </row>
    <row r="405" spans="3:4">
      <c r="C405" s="39"/>
      <c r="D405" s="39"/>
    </row>
    <row r="406" spans="3:4">
      <c r="C406" s="39"/>
      <c r="D406" s="39"/>
    </row>
    <row r="407" spans="3:4">
      <c r="C407" s="39"/>
      <c r="D407" s="39"/>
    </row>
    <row r="408" spans="3:4">
      <c r="C408" s="39"/>
      <c r="D408" s="39"/>
    </row>
    <row r="409" spans="3:4">
      <c r="C409" s="39"/>
      <c r="D409" s="39"/>
    </row>
    <row r="410" spans="3:4">
      <c r="C410" s="39"/>
      <c r="D410" s="39"/>
    </row>
    <row r="411" spans="3:4">
      <c r="C411" s="39"/>
      <c r="D411" s="39"/>
    </row>
    <row r="412" spans="3:4">
      <c r="C412" s="39"/>
      <c r="D412" s="39"/>
    </row>
    <row r="413" spans="3:4">
      <c r="C413" s="39"/>
      <c r="D413" s="39"/>
    </row>
    <row r="414" spans="3:4">
      <c r="C414" s="39"/>
      <c r="D414" s="39"/>
    </row>
    <row r="415" spans="3:4">
      <c r="C415" s="39"/>
      <c r="D415" s="39"/>
    </row>
    <row r="416" spans="3:4">
      <c r="C416" s="39"/>
      <c r="D416" s="39"/>
    </row>
    <row r="417" spans="3:4">
      <c r="C417" s="39"/>
      <c r="D417" s="39"/>
    </row>
    <row r="418" spans="3:4">
      <c r="C418" s="39"/>
      <c r="D418" s="39"/>
    </row>
    <row r="419" spans="3:4">
      <c r="C419" s="39"/>
      <c r="D419" s="39"/>
    </row>
    <row r="420" spans="3:4">
      <c r="C420" s="39"/>
      <c r="D420" s="39"/>
    </row>
    <row r="421" spans="3:4">
      <c r="C421" s="39"/>
      <c r="D421" s="39"/>
    </row>
    <row r="422" spans="3:4">
      <c r="C422" s="39"/>
      <c r="D422" s="39"/>
    </row>
    <row r="423" spans="3:4">
      <c r="C423" s="39"/>
      <c r="D423" s="39"/>
    </row>
    <row r="424" spans="3:4">
      <c r="C424" s="39"/>
      <c r="D424" s="39"/>
    </row>
    <row r="425" spans="3:4">
      <c r="C425" s="39"/>
      <c r="D425" s="39"/>
    </row>
    <row r="426" spans="3:4">
      <c r="C426" s="39"/>
      <c r="D426" s="39"/>
    </row>
    <row r="427" spans="3:4">
      <c r="C427" s="39"/>
      <c r="D427" s="39"/>
    </row>
    <row r="428" spans="3:4">
      <c r="C428" s="39"/>
      <c r="D428" s="39"/>
    </row>
    <row r="429" spans="3:4">
      <c r="C429" s="39"/>
      <c r="D429" s="39"/>
    </row>
    <row r="430" spans="3:4">
      <c r="C430" s="39"/>
      <c r="D430" s="39"/>
    </row>
    <row r="431" spans="3:4">
      <c r="C431" s="39"/>
      <c r="D431" s="39"/>
    </row>
    <row r="432" spans="3:4">
      <c r="C432" s="39"/>
      <c r="D432" s="39"/>
    </row>
    <row r="433" spans="3:4">
      <c r="C433" s="39"/>
      <c r="D433" s="39"/>
    </row>
    <row r="434" spans="3:4">
      <c r="C434" s="39"/>
      <c r="D434" s="39"/>
    </row>
    <row r="435" spans="3:4">
      <c r="C435" s="39"/>
      <c r="D435" s="39"/>
    </row>
    <row r="436" spans="3:4">
      <c r="C436" s="39"/>
      <c r="D436" s="39"/>
    </row>
    <row r="437" spans="3:4">
      <c r="C437" s="39"/>
      <c r="D437" s="39"/>
    </row>
    <row r="438" spans="3:4">
      <c r="C438" s="39"/>
      <c r="D438" s="39"/>
    </row>
    <row r="439" spans="3:4">
      <c r="C439" s="39"/>
      <c r="D439" s="39"/>
    </row>
    <row r="440" spans="3:4">
      <c r="C440" s="39"/>
      <c r="D440" s="39"/>
    </row>
    <row r="441" spans="3:4">
      <c r="C441" s="39"/>
      <c r="D441" s="39"/>
    </row>
    <row r="442" spans="3:4">
      <c r="C442" s="39"/>
      <c r="D442" s="39"/>
    </row>
    <row r="443" spans="3:4">
      <c r="C443" s="39"/>
      <c r="D443" s="39"/>
    </row>
    <row r="444" spans="3:4">
      <c r="C444" s="39"/>
      <c r="D444" s="39"/>
    </row>
    <row r="445" spans="3:4">
      <c r="C445" s="39"/>
      <c r="D445" s="39"/>
    </row>
    <row r="446" spans="3:4">
      <c r="C446" s="39"/>
      <c r="D446" s="39"/>
    </row>
    <row r="447" spans="3:4">
      <c r="C447" s="39"/>
      <c r="D447" s="39"/>
    </row>
    <row r="448" spans="3:4">
      <c r="C448" s="39"/>
      <c r="D448" s="39"/>
    </row>
    <row r="449" spans="3:4">
      <c r="C449" s="39"/>
      <c r="D449" s="39"/>
    </row>
    <row r="450" spans="3:4">
      <c r="C450" s="39"/>
      <c r="D450" s="39"/>
    </row>
    <row r="451" spans="3:4">
      <c r="C451" s="39"/>
      <c r="D451" s="39"/>
    </row>
    <row r="452" spans="3:4">
      <c r="C452" s="39"/>
      <c r="D452" s="39"/>
    </row>
    <row r="453" spans="3:4">
      <c r="C453" s="39"/>
      <c r="D453" s="39"/>
    </row>
    <row r="454" spans="3:4">
      <c r="C454" s="39"/>
      <c r="D454" s="39"/>
    </row>
    <row r="455" spans="3:4">
      <c r="C455" s="39"/>
      <c r="D455" s="39"/>
    </row>
    <row r="456" spans="3:4">
      <c r="C456" s="39"/>
      <c r="D456" s="39"/>
    </row>
    <row r="457" spans="3:4">
      <c r="C457" s="39"/>
      <c r="D457" s="39"/>
    </row>
    <row r="458" spans="3:4">
      <c r="C458" s="39"/>
      <c r="D458" s="39"/>
    </row>
    <row r="459" spans="3:4">
      <c r="C459" s="39"/>
      <c r="D459" s="39"/>
    </row>
    <row r="460" spans="3:4">
      <c r="C460" s="39"/>
      <c r="D460" s="39"/>
    </row>
    <row r="461" spans="3:4">
      <c r="C461" s="39"/>
      <c r="D461" s="39"/>
    </row>
    <row r="462" spans="3:4">
      <c r="C462" s="39"/>
      <c r="D462" s="39"/>
    </row>
    <row r="463" spans="3:4">
      <c r="C463" s="39"/>
      <c r="D463" s="39"/>
    </row>
    <row r="464" spans="3:4">
      <c r="C464" s="39"/>
      <c r="D464" s="39"/>
    </row>
    <row r="465" spans="3:4">
      <c r="C465" s="39"/>
      <c r="D465" s="39"/>
    </row>
    <row r="466" spans="3:4">
      <c r="C466" s="39"/>
      <c r="D466" s="39"/>
    </row>
    <row r="467" spans="3:4">
      <c r="C467" s="39"/>
      <c r="D467" s="39"/>
    </row>
    <row r="468" spans="3:4">
      <c r="C468" s="39"/>
      <c r="D468" s="39"/>
    </row>
    <row r="469" spans="3:4">
      <c r="C469" s="39"/>
      <c r="D469" s="39"/>
    </row>
    <row r="470" spans="3:4">
      <c r="C470" s="39"/>
      <c r="D470" s="39"/>
    </row>
    <row r="471" spans="3:4">
      <c r="C471" s="39"/>
      <c r="D471" s="39"/>
    </row>
    <row r="472" spans="3:4">
      <c r="C472" s="39"/>
      <c r="D472" s="39"/>
    </row>
    <row r="473" spans="3:4">
      <c r="C473" s="39"/>
      <c r="D473" s="39"/>
    </row>
    <row r="474" spans="3:4">
      <c r="C474" s="39"/>
      <c r="D474" s="39"/>
    </row>
    <row r="475" spans="3:4">
      <c r="C475" s="39"/>
      <c r="D475" s="39"/>
    </row>
    <row r="476" spans="3:4">
      <c r="C476" s="39"/>
      <c r="D476" s="39"/>
    </row>
    <row r="477" spans="3:4">
      <c r="C477" s="39"/>
      <c r="D477" s="39"/>
    </row>
    <row r="478" spans="3:4">
      <c r="C478" s="39"/>
      <c r="D478" s="39"/>
    </row>
    <row r="479" spans="3:4">
      <c r="C479" s="39"/>
      <c r="D479" s="39"/>
    </row>
    <row r="480" spans="3:4">
      <c r="C480" s="39"/>
      <c r="D480" s="39"/>
    </row>
    <row r="481" spans="3:4">
      <c r="C481" s="39"/>
      <c r="D481" s="39"/>
    </row>
    <row r="482" spans="3:4">
      <c r="C482" s="39"/>
      <c r="D482" s="39"/>
    </row>
    <row r="483" spans="3:4">
      <c r="C483" s="39"/>
      <c r="D483" s="39"/>
    </row>
    <row r="484" spans="3:4">
      <c r="C484" s="39"/>
      <c r="D484" s="39"/>
    </row>
    <row r="485" spans="3:4">
      <c r="C485" s="39"/>
      <c r="D485" s="39"/>
    </row>
    <row r="486" spans="3:4">
      <c r="C486" s="39"/>
      <c r="D486" s="39"/>
    </row>
    <row r="487" spans="3:4">
      <c r="C487" s="39"/>
      <c r="D487" s="39"/>
    </row>
    <row r="488" spans="3:4">
      <c r="C488" s="39"/>
      <c r="D488" s="39"/>
    </row>
    <row r="489" spans="3:4">
      <c r="C489" s="39"/>
      <c r="D489" s="39"/>
    </row>
    <row r="490" spans="3:4">
      <c r="C490" s="39"/>
      <c r="D490" s="39"/>
    </row>
    <row r="491" spans="3:4">
      <c r="C491" s="39"/>
      <c r="D491" s="39"/>
    </row>
    <row r="492" spans="3:4">
      <c r="C492" s="39"/>
      <c r="D492" s="39"/>
    </row>
    <row r="493" spans="3:4">
      <c r="C493" s="39"/>
      <c r="D493" s="39"/>
    </row>
    <row r="494" spans="3:4">
      <c r="C494" s="39"/>
      <c r="D494" s="39"/>
    </row>
    <row r="495" spans="3:4">
      <c r="C495" s="39"/>
      <c r="D495" s="39"/>
    </row>
    <row r="496" spans="3:4">
      <c r="C496" s="39"/>
      <c r="D496" s="39"/>
    </row>
    <row r="497" spans="3:4">
      <c r="C497" s="39"/>
      <c r="D497" s="39"/>
    </row>
    <row r="498" spans="3:4">
      <c r="C498" s="39"/>
      <c r="D498" s="39"/>
    </row>
    <row r="499" spans="3:4">
      <c r="C499" s="39"/>
      <c r="D499" s="39"/>
    </row>
    <row r="500" spans="3:4">
      <c r="C500" s="39"/>
      <c r="D500" s="39"/>
    </row>
    <row r="501" spans="3:4">
      <c r="C501" s="39"/>
      <c r="D501" s="39"/>
    </row>
    <row r="502" spans="3:4">
      <c r="C502" s="39"/>
      <c r="D502" s="39"/>
    </row>
    <row r="503" spans="3:4">
      <c r="C503" s="39"/>
      <c r="D503" s="39"/>
    </row>
    <row r="504" spans="3:4">
      <c r="C504" s="39"/>
      <c r="D504" s="39"/>
    </row>
    <row r="505" spans="3:4">
      <c r="C505" s="39"/>
      <c r="D505" s="39"/>
    </row>
    <row r="506" spans="3:4">
      <c r="C506" s="39"/>
      <c r="D506" s="39"/>
    </row>
    <row r="507" spans="3:4">
      <c r="C507" s="39"/>
      <c r="D507" s="39"/>
    </row>
    <row r="508" spans="3:4">
      <c r="C508" s="39"/>
      <c r="D508" s="39"/>
    </row>
    <row r="509" spans="3:4">
      <c r="C509" s="39"/>
      <c r="D509" s="39"/>
    </row>
    <row r="510" spans="3:4">
      <c r="C510" s="39"/>
      <c r="D510" s="39"/>
    </row>
    <row r="511" spans="3:4">
      <c r="C511" s="39"/>
      <c r="D511" s="39"/>
    </row>
    <row r="512" spans="3:4">
      <c r="C512" s="39"/>
      <c r="D512" s="39"/>
    </row>
    <row r="513" spans="3:4">
      <c r="C513" s="39"/>
      <c r="D513" s="39"/>
    </row>
    <row r="514" spans="3:4">
      <c r="C514" s="39"/>
      <c r="D514" s="39"/>
    </row>
    <row r="515" spans="3:4">
      <c r="C515" s="39"/>
      <c r="D515" s="39"/>
    </row>
    <row r="516" spans="3:4">
      <c r="C516" s="39"/>
      <c r="D516" s="39"/>
    </row>
    <row r="517" spans="3:4">
      <c r="C517" s="39"/>
      <c r="D517" s="39"/>
    </row>
    <row r="518" spans="3:4">
      <c r="C518" s="39"/>
      <c r="D518" s="39"/>
    </row>
    <row r="519" spans="3:4">
      <c r="C519" s="39"/>
      <c r="D519" s="39"/>
    </row>
    <row r="520" spans="3:4">
      <c r="C520" s="39"/>
      <c r="D520" s="39"/>
    </row>
    <row r="521" spans="3:4">
      <c r="C521" s="39"/>
      <c r="D521" s="39"/>
    </row>
    <row r="522" spans="3:4">
      <c r="C522" s="39"/>
      <c r="D522" s="39"/>
    </row>
    <row r="523" spans="3:4">
      <c r="C523" s="39"/>
      <c r="D523" s="39"/>
    </row>
    <row r="524" spans="3:4">
      <c r="C524" s="39"/>
      <c r="D524" s="39"/>
    </row>
    <row r="525" spans="3:4">
      <c r="C525" s="39"/>
      <c r="D525" s="39"/>
    </row>
    <row r="526" spans="3:4">
      <c r="C526" s="39"/>
      <c r="D526" s="39"/>
    </row>
    <row r="527" spans="3:4">
      <c r="C527" s="39"/>
      <c r="D527" s="39"/>
    </row>
    <row r="528" spans="3:4">
      <c r="C528" s="39"/>
      <c r="D528" s="39"/>
    </row>
    <row r="529" spans="3:4">
      <c r="C529" s="39"/>
      <c r="D529" s="39"/>
    </row>
    <row r="530" spans="3:4">
      <c r="C530" s="39"/>
      <c r="D530" s="39"/>
    </row>
    <row r="531" spans="3:4">
      <c r="C531" s="39"/>
      <c r="D531" s="39"/>
    </row>
    <row r="532" spans="3:4">
      <c r="C532" s="39"/>
      <c r="D532" s="39"/>
    </row>
    <row r="533" spans="3:4">
      <c r="C533" s="39"/>
      <c r="D533" s="39"/>
    </row>
    <row r="534" spans="3:4">
      <c r="C534" s="39"/>
      <c r="D534" s="39"/>
    </row>
    <row r="535" spans="3:4">
      <c r="C535" s="39"/>
      <c r="D535" s="39"/>
    </row>
    <row r="536" spans="3:4">
      <c r="C536" s="39"/>
      <c r="D536" s="39"/>
    </row>
    <row r="537" spans="3:4">
      <c r="C537" s="39"/>
      <c r="D537" s="39"/>
    </row>
    <row r="538" spans="3:4">
      <c r="C538" s="39"/>
      <c r="D538" s="39"/>
    </row>
    <row r="539" spans="3:4">
      <c r="C539" s="39"/>
      <c r="D539" s="39"/>
    </row>
    <row r="540" spans="3:4">
      <c r="C540" s="39"/>
      <c r="D540" s="39"/>
    </row>
    <row r="541" spans="3:4">
      <c r="C541" s="39"/>
      <c r="D541" s="39"/>
    </row>
    <row r="542" spans="3:4">
      <c r="C542" s="39"/>
      <c r="D542" s="39"/>
    </row>
    <row r="543" spans="3:4">
      <c r="C543" s="39"/>
      <c r="D543" s="39"/>
    </row>
    <row r="544" spans="3:4">
      <c r="C544" s="39"/>
      <c r="D544" s="39"/>
    </row>
    <row r="545" spans="3:4">
      <c r="C545" s="39"/>
      <c r="D545" s="39"/>
    </row>
    <row r="546" spans="3:4">
      <c r="C546" s="39"/>
      <c r="D546" s="39"/>
    </row>
    <row r="547" spans="3:4">
      <c r="C547" s="39"/>
      <c r="D547" s="39"/>
    </row>
    <row r="548" spans="3:4">
      <c r="C548" s="39"/>
      <c r="D548" s="39"/>
    </row>
    <row r="549" spans="3:4">
      <c r="C549" s="39"/>
      <c r="D549" s="39"/>
    </row>
    <row r="550" spans="3:4">
      <c r="C550" s="39"/>
      <c r="D550" s="39"/>
    </row>
    <row r="551" spans="3:4">
      <c r="C551" s="39"/>
      <c r="D551" s="39"/>
    </row>
    <row r="552" spans="3:4">
      <c r="C552" s="39"/>
      <c r="D552" s="39"/>
    </row>
    <row r="553" spans="3:4">
      <c r="C553" s="39"/>
      <c r="D553" s="39"/>
    </row>
    <row r="554" spans="3:4">
      <c r="C554" s="39"/>
      <c r="D554" s="39"/>
    </row>
    <row r="555" spans="3:4">
      <c r="C555" s="39"/>
      <c r="D555" s="39"/>
    </row>
    <row r="556" spans="3:4">
      <c r="C556" s="39"/>
      <c r="D556" s="39"/>
    </row>
    <row r="557" spans="3:4">
      <c r="C557" s="39"/>
      <c r="D557" s="39"/>
    </row>
    <row r="558" spans="3:4">
      <c r="C558" s="39"/>
      <c r="D558" s="39"/>
    </row>
    <row r="559" spans="3:4">
      <c r="C559" s="39"/>
      <c r="D559" s="39"/>
    </row>
    <row r="560" spans="3:4">
      <c r="C560" s="39"/>
      <c r="D560" s="39"/>
    </row>
    <row r="561" spans="3:4">
      <c r="C561" s="39"/>
      <c r="D561" s="39"/>
    </row>
    <row r="562" spans="3:4">
      <c r="C562" s="39"/>
      <c r="D562" s="39"/>
    </row>
    <row r="563" spans="3:4">
      <c r="C563" s="39"/>
      <c r="D563" s="39"/>
    </row>
    <row r="564" spans="3:4">
      <c r="C564" s="39"/>
      <c r="D564" s="39"/>
    </row>
    <row r="565" spans="3:4">
      <c r="C565" s="39"/>
      <c r="D565" s="39"/>
    </row>
    <row r="566" spans="3:4">
      <c r="C566" s="39"/>
      <c r="D566" s="39"/>
    </row>
    <row r="567" spans="3:4">
      <c r="C567" s="39"/>
      <c r="D567" s="39"/>
    </row>
    <row r="568" spans="3:4">
      <c r="C568" s="39"/>
      <c r="D568" s="39"/>
    </row>
    <row r="569" spans="3:4">
      <c r="C569" s="39"/>
      <c r="D569" s="39"/>
    </row>
    <row r="570" spans="3:4">
      <c r="C570" s="39"/>
      <c r="D570" s="39"/>
    </row>
    <row r="571" spans="3:4">
      <c r="C571" s="39"/>
      <c r="D571" s="39"/>
    </row>
    <row r="572" spans="3:4">
      <c r="C572" s="39"/>
      <c r="D572" s="39"/>
    </row>
    <row r="573" spans="3:4">
      <c r="C573" s="39"/>
      <c r="D573" s="39"/>
    </row>
    <row r="574" spans="3:4">
      <c r="C574" s="39"/>
      <c r="D574" s="39"/>
    </row>
    <row r="575" spans="3:4">
      <c r="C575" s="39"/>
      <c r="D575" s="39"/>
    </row>
    <row r="576" spans="3:4">
      <c r="C576" s="39"/>
      <c r="D576" s="39"/>
    </row>
    <row r="577" spans="3:4">
      <c r="C577" s="39"/>
      <c r="D577" s="39"/>
    </row>
    <row r="578" spans="3:4">
      <c r="C578" s="39"/>
      <c r="D578" s="39"/>
    </row>
    <row r="579" spans="3:4">
      <c r="C579" s="39"/>
      <c r="D579" s="39"/>
    </row>
    <row r="580" spans="3:4">
      <c r="C580" s="39"/>
      <c r="D580" s="39"/>
    </row>
    <row r="581" spans="3:4">
      <c r="C581" s="39"/>
      <c r="D581" s="39"/>
    </row>
    <row r="582" spans="3:4">
      <c r="C582" s="39"/>
      <c r="D582" s="39"/>
    </row>
    <row r="583" spans="3:4">
      <c r="C583" s="39"/>
      <c r="D583" s="39"/>
    </row>
    <row r="584" spans="3:4">
      <c r="C584" s="39"/>
      <c r="D584" s="39"/>
    </row>
    <row r="585" spans="3:4">
      <c r="C585" s="39"/>
      <c r="D585" s="39"/>
    </row>
    <row r="586" spans="3:4">
      <c r="C586" s="39"/>
      <c r="D586" s="39"/>
    </row>
    <row r="587" spans="3:4">
      <c r="C587" s="39"/>
      <c r="D587" s="39"/>
    </row>
    <row r="588" spans="3:4">
      <c r="C588" s="39"/>
      <c r="D588" s="39"/>
    </row>
    <row r="589" spans="3:4">
      <c r="C589" s="39"/>
      <c r="D589" s="39"/>
    </row>
    <row r="590" spans="3:4">
      <c r="C590" s="39"/>
      <c r="D590" s="39"/>
    </row>
    <row r="591" spans="3:4">
      <c r="C591" s="39"/>
      <c r="D591" s="39"/>
    </row>
    <row r="592" spans="3:4">
      <c r="C592" s="39"/>
      <c r="D592" s="39"/>
    </row>
    <row r="593" spans="3:4">
      <c r="C593" s="39"/>
      <c r="D593" s="39"/>
    </row>
    <row r="594" spans="3:4">
      <c r="C594" s="39"/>
      <c r="D594" s="39"/>
    </row>
    <row r="595" spans="3:4">
      <c r="C595" s="39"/>
      <c r="D595" s="39"/>
    </row>
    <row r="596" spans="3:4">
      <c r="C596" s="39"/>
      <c r="D596" s="39"/>
    </row>
    <row r="597" spans="3:4">
      <c r="C597" s="39"/>
      <c r="D597" s="39"/>
    </row>
    <row r="598" spans="3:4">
      <c r="C598" s="39"/>
      <c r="D598" s="39"/>
    </row>
    <row r="599" spans="3:4">
      <c r="C599" s="39"/>
      <c r="D599" s="39"/>
    </row>
    <row r="600" spans="3:4">
      <c r="C600" s="39"/>
      <c r="D600" s="39"/>
    </row>
    <row r="601" spans="3:4">
      <c r="C601" s="39"/>
      <c r="D601" s="39"/>
    </row>
    <row r="602" spans="3:4">
      <c r="C602" s="39"/>
      <c r="D602" s="39"/>
    </row>
    <row r="603" spans="3:4">
      <c r="C603" s="39"/>
      <c r="D603" s="39"/>
    </row>
    <row r="604" spans="3:4">
      <c r="C604" s="39"/>
      <c r="D604" s="39"/>
    </row>
    <row r="605" spans="3:4">
      <c r="C605" s="39"/>
      <c r="D605" s="39"/>
    </row>
    <row r="606" spans="3:4">
      <c r="C606" s="39"/>
      <c r="D606" s="39"/>
    </row>
    <row r="607" spans="3:4">
      <c r="C607" s="39"/>
      <c r="D607" s="39"/>
    </row>
    <row r="608" spans="3:4">
      <c r="C608" s="39"/>
      <c r="D608" s="39"/>
    </row>
    <row r="609" spans="3:4">
      <c r="C609" s="39"/>
      <c r="D609" s="39"/>
    </row>
    <row r="610" spans="3:4">
      <c r="C610" s="39"/>
      <c r="D610" s="39"/>
    </row>
    <row r="611" spans="3:4">
      <c r="C611" s="39"/>
      <c r="D611" s="39"/>
    </row>
    <row r="612" spans="3:4">
      <c r="C612" s="39"/>
      <c r="D612" s="39"/>
    </row>
    <row r="613" spans="3:4">
      <c r="C613" s="39"/>
      <c r="D613" s="39"/>
    </row>
    <row r="614" spans="3:4">
      <c r="C614" s="39"/>
      <c r="D614" s="39"/>
    </row>
    <row r="615" spans="3:4">
      <c r="C615" s="39"/>
      <c r="D615" s="39"/>
    </row>
    <row r="616" spans="3:4">
      <c r="C616" s="39"/>
      <c r="D616" s="39"/>
    </row>
    <row r="617" spans="3:4">
      <c r="C617" s="39"/>
      <c r="D617" s="39"/>
    </row>
    <row r="618" spans="3:4">
      <c r="C618" s="39"/>
      <c r="D618" s="39"/>
    </row>
    <row r="619" spans="3:4">
      <c r="C619" s="39"/>
      <c r="D619" s="39"/>
    </row>
    <row r="620" spans="3:4">
      <c r="C620" s="39"/>
      <c r="D620" s="39"/>
    </row>
    <row r="621" spans="3:4">
      <c r="C621" s="39"/>
      <c r="D621" s="39"/>
    </row>
    <row r="622" spans="3:4">
      <c r="C622" s="39"/>
      <c r="D622" s="39"/>
    </row>
    <row r="623" spans="3:4">
      <c r="C623" s="39"/>
      <c r="D623" s="39"/>
    </row>
    <row r="624" spans="3:4">
      <c r="C624" s="39"/>
      <c r="D624" s="39"/>
    </row>
    <row r="625" spans="3:4">
      <c r="C625" s="39"/>
      <c r="D625" s="39"/>
    </row>
    <row r="626" spans="3:4">
      <c r="C626" s="39"/>
      <c r="D626" s="39"/>
    </row>
    <row r="627" spans="3:4">
      <c r="C627" s="39"/>
      <c r="D627" s="39"/>
    </row>
    <row r="628" spans="3:4">
      <c r="C628" s="39"/>
      <c r="D628" s="39"/>
    </row>
    <row r="629" spans="3:4">
      <c r="C629" s="39"/>
      <c r="D629" s="39"/>
    </row>
    <row r="630" spans="3:4">
      <c r="C630" s="39"/>
      <c r="D630" s="39"/>
    </row>
    <row r="631" spans="3:4">
      <c r="C631" s="39"/>
      <c r="D631" s="39"/>
    </row>
    <row r="632" spans="3:4">
      <c r="C632" s="39"/>
      <c r="D632" s="39"/>
    </row>
    <row r="633" spans="3:4">
      <c r="C633" s="39"/>
      <c r="D633" s="39"/>
    </row>
    <row r="634" spans="3:4">
      <c r="C634" s="39"/>
      <c r="D634" s="39"/>
    </row>
    <row r="635" spans="3:4">
      <c r="C635" s="39"/>
      <c r="D635" s="39"/>
    </row>
    <row r="636" spans="3:4">
      <c r="C636" s="39"/>
      <c r="D636" s="39"/>
    </row>
    <row r="637" spans="3:4">
      <c r="C637" s="39"/>
      <c r="D637" s="39"/>
    </row>
    <row r="638" spans="3:4">
      <c r="C638" s="39"/>
      <c r="D638" s="39"/>
    </row>
    <row r="639" spans="3:4">
      <c r="C639" s="39"/>
      <c r="D639" s="39"/>
    </row>
    <row r="640" spans="3:4">
      <c r="C640" s="39"/>
      <c r="D640" s="39"/>
    </row>
    <row r="641" spans="3:4">
      <c r="C641" s="39"/>
      <c r="D641" s="39"/>
    </row>
    <row r="642" spans="3:4">
      <c r="C642" s="39"/>
      <c r="D642" s="39"/>
    </row>
    <row r="643" spans="3:4">
      <c r="C643" s="39"/>
      <c r="D643" s="39"/>
    </row>
    <row r="644" spans="3:4">
      <c r="C644" s="39"/>
      <c r="D644" s="39"/>
    </row>
    <row r="645" spans="3:4">
      <c r="C645" s="39"/>
      <c r="D645" s="39"/>
    </row>
    <row r="646" spans="3:4">
      <c r="C646" s="39"/>
      <c r="D646" s="39"/>
    </row>
    <row r="647" spans="3:4">
      <c r="C647" s="39"/>
      <c r="D647" s="39"/>
    </row>
    <row r="648" spans="3:4">
      <c r="C648" s="39"/>
      <c r="D648" s="39"/>
    </row>
    <row r="649" spans="3:4">
      <c r="C649" s="39"/>
      <c r="D649" s="39"/>
    </row>
    <row r="650" spans="3:4">
      <c r="C650" s="39"/>
      <c r="D650" s="39"/>
    </row>
    <row r="651" spans="3:4">
      <c r="C651" s="39"/>
      <c r="D651" s="39"/>
    </row>
    <row r="652" spans="3:4">
      <c r="C652" s="39"/>
      <c r="D652" s="39"/>
    </row>
    <row r="653" spans="3:4">
      <c r="C653" s="39"/>
      <c r="D653" s="39"/>
    </row>
    <row r="654" spans="3:4">
      <c r="C654" s="39"/>
      <c r="D654" s="39"/>
    </row>
    <row r="655" spans="3:4">
      <c r="C655" s="39"/>
      <c r="D655" s="39"/>
    </row>
    <row r="656" spans="3:4">
      <c r="C656" s="39"/>
      <c r="D656" s="39"/>
    </row>
    <row r="657" spans="3:4">
      <c r="C657" s="39"/>
      <c r="D657" s="39"/>
    </row>
    <row r="658" spans="3:4">
      <c r="C658" s="39"/>
      <c r="D658" s="39"/>
    </row>
    <row r="659" spans="3:4">
      <c r="C659" s="39"/>
      <c r="D659" s="39"/>
    </row>
    <row r="660" spans="3:4">
      <c r="C660" s="39"/>
      <c r="D660" s="39"/>
    </row>
    <row r="661" spans="3:4">
      <c r="C661" s="39"/>
      <c r="D661" s="39"/>
    </row>
    <row r="662" spans="3:4">
      <c r="C662" s="39"/>
      <c r="D662" s="39"/>
    </row>
    <row r="663" spans="3:4">
      <c r="C663" s="39"/>
      <c r="D663" s="39"/>
    </row>
    <row r="664" spans="3:4">
      <c r="C664" s="39"/>
      <c r="D664" s="39"/>
    </row>
    <row r="665" spans="3:4">
      <c r="C665" s="39"/>
      <c r="D665" s="39"/>
    </row>
    <row r="666" spans="3:4">
      <c r="C666" s="39"/>
      <c r="D666" s="39"/>
    </row>
    <row r="667" spans="3:4">
      <c r="C667" s="39"/>
      <c r="D667" s="39"/>
    </row>
    <row r="668" spans="3:4">
      <c r="C668" s="39"/>
      <c r="D668" s="39"/>
    </row>
    <row r="669" spans="3:4">
      <c r="C669" s="39"/>
      <c r="D669" s="39"/>
    </row>
    <row r="670" spans="3:4">
      <c r="C670" s="39"/>
      <c r="D670" s="39"/>
    </row>
    <row r="671" spans="3:4">
      <c r="C671" s="39"/>
      <c r="D671" s="39"/>
    </row>
    <row r="672" spans="3:4">
      <c r="C672" s="39"/>
      <c r="D672" s="39"/>
    </row>
    <row r="673" spans="3:4">
      <c r="C673" s="39"/>
      <c r="D673" s="39"/>
    </row>
    <row r="674" spans="3:4">
      <c r="C674" s="39"/>
      <c r="D674" s="39"/>
    </row>
    <row r="675" spans="3:4">
      <c r="C675" s="39"/>
      <c r="D675" s="39"/>
    </row>
    <row r="676" spans="3:4">
      <c r="C676" s="39"/>
      <c r="D676" s="39"/>
    </row>
    <row r="677" spans="3:4">
      <c r="C677" s="39"/>
      <c r="D677" s="39"/>
    </row>
    <row r="678" spans="3:4">
      <c r="C678" s="39"/>
      <c r="D678" s="39"/>
    </row>
    <row r="679" spans="3:4">
      <c r="C679" s="39"/>
      <c r="D679" s="39"/>
    </row>
    <row r="680" spans="3:4">
      <c r="C680" s="39"/>
      <c r="D680" s="39"/>
    </row>
    <row r="681" spans="3:4">
      <c r="C681" s="39"/>
      <c r="D681" s="39"/>
    </row>
    <row r="682" spans="3:4">
      <c r="C682" s="39"/>
      <c r="D682" s="39"/>
    </row>
    <row r="683" spans="3:4">
      <c r="C683" s="39"/>
      <c r="D683" s="39"/>
    </row>
    <row r="684" spans="3:4">
      <c r="C684" s="39"/>
      <c r="D684" s="39"/>
    </row>
    <row r="685" spans="3:4">
      <c r="C685" s="39"/>
      <c r="D685" s="39"/>
    </row>
    <row r="686" spans="3:4">
      <c r="C686" s="39"/>
      <c r="D686" s="39"/>
    </row>
    <row r="687" spans="3:4">
      <c r="C687" s="39"/>
      <c r="D687" s="39"/>
    </row>
    <row r="688" spans="3:4">
      <c r="C688" s="39"/>
      <c r="D688" s="39"/>
    </row>
    <row r="689" spans="3:4">
      <c r="C689" s="39"/>
      <c r="D689" s="39"/>
    </row>
    <row r="690" spans="3:4">
      <c r="C690" s="39"/>
      <c r="D690" s="39"/>
    </row>
    <row r="691" spans="3:4">
      <c r="C691" s="39"/>
      <c r="D691" s="39"/>
    </row>
    <row r="692" spans="3:4">
      <c r="C692" s="39"/>
      <c r="D692" s="39"/>
    </row>
    <row r="693" spans="3:4">
      <c r="C693" s="39"/>
      <c r="D693" s="39"/>
    </row>
    <row r="694" spans="3:4">
      <c r="C694" s="39"/>
      <c r="D694" s="39"/>
    </row>
    <row r="695" spans="3:4">
      <c r="C695" s="39"/>
      <c r="D695" s="39"/>
    </row>
    <row r="696" spans="3:4">
      <c r="C696" s="39"/>
      <c r="D696" s="39"/>
    </row>
    <row r="697" spans="3:4">
      <c r="C697" s="39"/>
      <c r="D697" s="39"/>
    </row>
    <row r="698" spans="3:4">
      <c r="C698" s="39"/>
      <c r="D698" s="39"/>
    </row>
    <row r="699" spans="3:4">
      <c r="C699" s="39"/>
      <c r="D699" s="39"/>
    </row>
    <row r="700" spans="3:4">
      <c r="C700" s="39"/>
      <c r="D700" s="39"/>
    </row>
    <row r="701" spans="3:4">
      <c r="C701" s="39"/>
      <c r="D701" s="39"/>
    </row>
    <row r="702" spans="3:4">
      <c r="C702" s="39"/>
      <c r="D702" s="39"/>
    </row>
    <row r="703" spans="3:4">
      <c r="C703" s="39"/>
      <c r="D703" s="39"/>
    </row>
    <row r="704" spans="3:4">
      <c r="C704" s="39"/>
      <c r="D704" s="39"/>
    </row>
    <row r="705" spans="3:4">
      <c r="C705" s="39"/>
      <c r="D705" s="39"/>
    </row>
    <row r="706" spans="3:4">
      <c r="C706" s="39"/>
      <c r="D706" s="39"/>
    </row>
    <row r="707" spans="3:4">
      <c r="C707" s="39"/>
      <c r="D707" s="39"/>
    </row>
    <row r="708" spans="3:4">
      <c r="C708" s="39"/>
      <c r="D708" s="39"/>
    </row>
    <row r="709" spans="3:4">
      <c r="C709" s="39"/>
      <c r="D709" s="39"/>
    </row>
    <row r="710" spans="3:4">
      <c r="C710" s="39"/>
      <c r="D710" s="39"/>
    </row>
    <row r="711" spans="3:4">
      <c r="C711" s="39"/>
      <c r="D711" s="39"/>
    </row>
    <row r="712" spans="3:4">
      <c r="C712" s="39"/>
      <c r="D712" s="39"/>
    </row>
    <row r="713" spans="3:4">
      <c r="C713" s="39"/>
      <c r="D713" s="39"/>
    </row>
    <row r="714" spans="3:4">
      <c r="C714" s="39"/>
      <c r="D714" s="39"/>
    </row>
    <row r="715" spans="3:4">
      <c r="C715" s="39"/>
      <c r="D715" s="39"/>
    </row>
    <row r="716" spans="3:4">
      <c r="C716" s="39"/>
      <c r="D716" s="39"/>
    </row>
    <row r="717" spans="3:4">
      <c r="C717" s="39"/>
      <c r="D717" s="39"/>
    </row>
    <row r="718" spans="3:4">
      <c r="C718" s="39"/>
      <c r="D718" s="39"/>
    </row>
    <row r="719" spans="3:4">
      <c r="C719" s="39"/>
      <c r="D719" s="39"/>
    </row>
    <row r="720" spans="3:4">
      <c r="C720" s="39"/>
      <c r="D720" s="39"/>
    </row>
    <row r="721" spans="3:4">
      <c r="C721" s="39"/>
      <c r="D721" s="39"/>
    </row>
    <row r="722" spans="3:4">
      <c r="C722" s="39"/>
      <c r="D722" s="39"/>
    </row>
    <row r="723" spans="3:4">
      <c r="C723" s="39"/>
      <c r="D723" s="39"/>
    </row>
    <row r="724" spans="3:4">
      <c r="C724" s="39"/>
      <c r="D724" s="39"/>
    </row>
    <row r="725" spans="3:4">
      <c r="C725" s="39"/>
      <c r="D725" s="39"/>
    </row>
    <row r="726" spans="3:4">
      <c r="C726" s="39"/>
      <c r="D726" s="39"/>
    </row>
    <row r="727" spans="3:4">
      <c r="C727" s="39"/>
      <c r="D727" s="39"/>
    </row>
    <row r="728" spans="3:4">
      <c r="C728" s="39"/>
      <c r="D728" s="39"/>
    </row>
    <row r="729" spans="3:4">
      <c r="C729" s="39"/>
      <c r="D729" s="39"/>
    </row>
    <row r="730" spans="3:4">
      <c r="C730" s="39"/>
      <c r="D730" s="39"/>
    </row>
    <row r="731" spans="3:4">
      <c r="C731" s="39"/>
      <c r="D731" s="39"/>
    </row>
    <row r="732" spans="3:4">
      <c r="C732" s="39"/>
      <c r="D732" s="39"/>
    </row>
    <row r="733" spans="3:4">
      <c r="C733" s="39"/>
      <c r="D733" s="39"/>
    </row>
    <row r="734" spans="3:4">
      <c r="C734" s="39"/>
      <c r="D734" s="39"/>
    </row>
    <row r="735" spans="3:4">
      <c r="C735" s="39"/>
      <c r="D735" s="39"/>
    </row>
    <row r="736" spans="3:4">
      <c r="C736" s="39"/>
      <c r="D736" s="39"/>
    </row>
    <row r="737" spans="3:4">
      <c r="C737" s="39"/>
      <c r="D737" s="39"/>
    </row>
    <row r="738" spans="3:4">
      <c r="C738" s="39"/>
      <c r="D738" s="39"/>
    </row>
    <row r="739" spans="3:4">
      <c r="C739" s="39"/>
      <c r="D739" s="39"/>
    </row>
    <row r="740" spans="3:4">
      <c r="C740" s="39"/>
      <c r="D740" s="39"/>
    </row>
    <row r="741" spans="3:4">
      <c r="C741" s="39"/>
      <c r="D741" s="39"/>
    </row>
    <row r="742" spans="3:4">
      <c r="C742" s="39"/>
      <c r="D742" s="39"/>
    </row>
    <row r="743" spans="3:4">
      <c r="C743" s="39"/>
      <c r="D743" s="39"/>
    </row>
    <row r="744" spans="3:4">
      <c r="C744" s="39"/>
      <c r="D744" s="39"/>
    </row>
    <row r="745" spans="3:4">
      <c r="C745" s="39"/>
      <c r="D745" s="39"/>
    </row>
    <row r="746" spans="3:4">
      <c r="C746" s="39"/>
      <c r="D746" s="39"/>
    </row>
    <row r="747" spans="3:4">
      <c r="C747" s="39"/>
      <c r="D747" s="39"/>
    </row>
    <row r="748" spans="3:4">
      <c r="C748" s="39"/>
      <c r="D748" s="39"/>
    </row>
    <row r="749" spans="3:4">
      <c r="C749" s="39"/>
      <c r="D749" s="39"/>
    </row>
    <row r="750" spans="3:4">
      <c r="C750" s="39"/>
      <c r="D750" s="39"/>
    </row>
    <row r="751" spans="3:4">
      <c r="C751" s="39"/>
      <c r="D751" s="39"/>
    </row>
    <row r="752" spans="3:4">
      <c r="C752" s="39"/>
      <c r="D752" s="39"/>
    </row>
    <row r="753" spans="3:4">
      <c r="C753" s="39"/>
      <c r="D753" s="39"/>
    </row>
    <row r="754" spans="3:4">
      <c r="C754" s="39"/>
      <c r="D754" s="39"/>
    </row>
    <row r="755" spans="3:4">
      <c r="C755" s="39"/>
      <c r="D755" s="39"/>
    </row>
    <row r="756" spans="3:4">
      <c r="C756" s="39"/>
      <c r="D756" s="39"/>
    </row>
    <row r="757" spans="3:4">
      <c r="C757" s="39"/>
      <c r="D757" s="39"/>
    </row>
    <row r="758" spans="3:4">
      <c r="C758" s="39"/>
      <c r="D758" s="39"/>
    </row>
    <row r="759" spans="3:4">
      <c r="C759" s="39"/>
      <c r="D759" s="39"/>
    </row>
    <row r="760" spans="3:4">
      <c r="C760" s="39"/>
      <c r="D760" s="39"/>
    </row>
    <row r="761" spans="3:4">
      <c r="C761" s="39"/>
      <c r="D761" s="39"/>
    </row>
    <row r="762" spans="3:4">
      <c r="C762" s="39"/>
      <c r="D762" s="39"/>
    </row>
    <row r="763" spans="3:4">
      <c r="C763" s="39"/>
      <c r="D763" s="39"/>
    </row>
    <row r="764" spans="3:4">
      <c r="C764" s="39"/>
      <c r="D764" s="39"/>
    </row>
    <row r="765" spans="3:4">
      <c r="C765" s="39"/>
      <c r="D765" s="39"/>
    </row>
    <row r="766" spans="3:4">
      <c r="C766" s="39"/>
      <c r="D766" s="39"/>
    </row>
    <row r="767" spans="3:4">
      <c r="C767" s="39"/>
      <c r="D767" s="39"/>
    </row>
    <row r="768" spans="3:4">
      <c r="C768" s="39"/>
      <c r="D768" s="39"/>
    </row>
    <row r="769" spans="3:4">
      <c r="C769" s="39"/>
      <c r="D769" s="39"/>
    </row>
    <row r="770" spans="3:4">
      <c r="C770" s="39"/>
      <c r="D770" s="39"/>
    </row>
    <row r="771" spans="3:4">
      <c r="C771" s="39"/>
      <c r="D771" s="39"/>
    </row>
    <row r="772" spans="3:4">
      <c r="C772" s="39"/>
      <c r="D772" s="39"/>
    </row>
    <row r="773" spans="3:4">
      <c r="C773" s="39"/>
      <c r="D773" s="39"/>
    </row>
    <row r="774" spans="3:4">
      <c r="C774" s="39"/>
      <c r="D774" s="39"/>
    </row>
    <row r="775" spans="3:4">
      <c r="C775" s="39"/>
      <c r="D775" s="39"/>
    </row>
    <row r="776" spans="3:4">
      <c r="C776" s="39"/>
      <c r="D776" s="39"/>
    </row>
    <row r="777" spans="3:4">
      <c r="C777" s="39"/>
      <c r="D777" s="39"/>
    </row>
    <row r="778" spans="3:4">
      <c r="C778" s="39"/>
      <c r="D778" s="39"/>
    </row>
    <row r="779" spans="3:4">
      <c r="C779" s="39"/>
      <c r="D779" s="39"/>
    </row>
    <row r="780" spans="3:4">
      <c r="C780" s="39"/>
      <c r="D780" s="39"/>
    </row>
    <row r="781" spans="3:4">
      <c r="C781" s="39"/>
      <c r="D781" s="39"/>
    </row>
    <row r="782" spans="3:4">
      <c r="C782" s="39"/>
      <c r="D782" s="39"/>
    </row>
    <row r="783" spans="3:4">
      <c r="C783" s="39"/>
      <c r="D783" s="39"/>
    </row>
    <row r="784" spans="3:4">
      <c r="C784" s="39"/>
      <c r="D784" s="39"/>
    </row>
    <row r="785" spans="3:4">
      <c r="C785" s="39"/>
      <c r="D785" s="39"/>
    </row>
    <row r="786" spans="3:4">
      <c r="C786" s="39"/>
      <c r="D786" s="39"/>
    </row>
    <row r="787" spans="3:4">
      <c r="C787" s="39"/>
      <c r="D787" s="39"/>
    </row>
    <row r="788" spans="3:4">
      <c r="C788" s="39"/>
      <c r="D788" s="39"/>
    </row>
    <row r="789" spans="3:4">
      <c r="C789" s="39"/>
      <c r="D789" s="39"/>
    </row>
    <row r="790" spans="3:4">
      <c r="C790" s="39"/>
      <c r="D790" s="39"/>
    </row>
    <row r="791" spans="3:4">
      <c r="C791" s="39"/>
      <c r="D791" s="39"/>
    </row>
    <row r="792" spans="3:4">
      <c r="C792" s="39"/>
      <c r="D792" s="39"/>
    </row>
    <row r="793" spans="3:4">
      <c r="C793" s="39"/>
      <c r="D793" s="39"/>
    </row>
    <row r="794" spans="3:4">
      <c r="C794" s="39"/>
      <c r="D794" s="39"/>
    </row>
    <row r="795" spans="3:4">
      <c r="C795" s="39"/>
      <c r="D795" s="39"/>
    </row>
    <row r="796" spans="3:4">
      <c r="C796" s="39"/>
      <c r="D796" s="39"/>
    </row>
    <row r="797" spans="3:4">
      <c r="C797" s="39"/>
      <c r="D797" s="39"/>
    </row>
    <row r="798" spans="3:4">
      <c r="C798" s="39"/>
      <c r="D798" s="39"/>
    </row>
    <row r="799" spans="3:4">
      <c r="C799" s="39"/>
      <c r="D799" s="39"/>
    </row>
    <row r="800" spans="3:4">
      <c r="C800" s="39"/>
      <c r="D800" s="39"/>
    </row>
    <row r="801" spans="3:4">
      <c r="C801" s="39"/>
      <c r="D801" s="39"/>
    </row>
    <row r="802" spans="3:4">
      <c r="C802" s="39"/>
      <c r="D802" s="39"/>
    </row>
    <row r="803" spans="3:4">
      <c r="C803" s="39"/>
      <c r="D803" s="39"/>
    </row>
    <row r="804" spans="3:4">
      <c r="C804" s="39"/>
      <c r="D804" s="39"/>
    </row>
    <row r="805" spans="3:4">
      <c r="C805" s="39"/>
      <c r="D805" s="39"/>
    </row>
    <row r="806" spans="3:4">
      <c r="C806" s="39"/>
      <c r="D806" s="39"/>
    </row>
    <row r="807" spans="3:4">
      <c r="C807" s="39"/>
      <c r="D807" s="39"/>
    </row>
    <row r="808" spans="3:4">
      <c r="C808" s="39"/>
      <c r="D808" s="39"/>
    </row>
    <row r="809" spans="3:4">
      <c r="C809" s="39"/>
      <c r="D809" s="39"/>
    </row>
    <row r="810" spans="3:4">
      <c r="C810" s="39"/>
      <c r="D810" s="39"/>
    </row>
    <row r="811" spans="3:4">
      <c r="C811" s="39"/>
      <c r="D811" s="39"/>
    </row>
    <row r="812" spans="3:4">
      <c r="C812" s="39"/>
      <c r="D812" s="39"/>
    </row>
    <row r="813" spans="3:4">
      <c r="C813" s="39"/>
      <c r="D813" s="39"/>
    </row>
    <row r="814" spans="3:4">
      <c r="C814" s="39"/>
      <c r="D814" s="39"/>
    </row>
    <row r="815" spans="3:4">
      <c r="C815" s="39"/>
      <c r="D815" s="39"/>
    </row>
    <row r="816" spans="3:4">
      <c r="C816" s="39"/>
      <c r="D816" s="39"/>
    </row>
    <row r="817" spans="3:4">
      <c r="C817" s="39"/>
      <c r="D817" s="39"/>
    </row>
    <row r="818" spans="3:4">
      <c r="C818" s="39"/>
      <c r="D818" s="39"/>
    </row>
    <row r="819" spans="3:4">
      <c r="C819" s="39"/>
      <c r="D819" s="39"/>
    </row>
    <row r="820" spans="3:4">
      <c r="C820" s="39"/>
      <c r="D820" s="39"/>
    </row>
    <row r="821" spans="3:4">
      <c r="C821" s="39"/>
      <c r="D821" s="39"/>
    </row>
    <row r="822" spans="3:4">
      <c r="C822" s="39"/>
      <c r="D822" s="39"/>
    </row>
    <row r="823" spans="3:4">
      <c r="C823" s="39"/>
      <c r="D823" s="39"/>
    </row>
    <row r="824" spans="3:4">
      <c r="C824" s="39"/>
      <c r="D824" s="39"/>
    </row>
    <row r="825" spans="3:4">
      <c r="C825" s="39"/>
      <c r="D825" s="39"/>
    </row>
    <row r="826" spans="3:4">
      <c r="C826" s="39"/>
      <c r="D826" s="39"/>
    </row>
    <row r="827" spans="3:4">
      <c r="C827" s="39"/>
      <c r="D827" s="39"/>
    </row>
    <row r="828" spans="3:4">
      <c r="C828" s="39"/>
      <c r="D828" s="39"/>
    </row>
    <row r="829" spans="3:4">
      <c r="C829" s="39"/>
      <c r="D829" s="39"/>
    </row>
    <row r="830" spans="3:4">
      <c r="C830" s="39"/>
      <c r="D830" s="39"/>
    </row>
    <row r="831" spans="3:4">
      <c r="C831" s="39"/>
      <c r="D831" s="39"/>
    </row>
    <row r="832" spans="3:4">
      <c r="C832" s="39"/>
      <c r="D832" s="39"/>
    </row>
    <row r="833" spans="3:4">
      <c r="C833" s="39"/>
      <c r="D833" s="39"/>
    </row>
    <row r="834" spans="3:4">
      <c r="C834" s="39"/>
      <c r="D834" s="39"/>
    </row>
    <row r="835" spans="3:4">
      <c r="C835" s="39"/>
      <c r="D835" s="39"/>
    </row>
    <row r="836" spans="3:4">
      <c r="C836" s="39"/>
      <c r="D836" s="39"/>
    </row>
    <row r="837" spans="3:4">
      <c r="C837" s="39"/>
      <c r="D837" s="39"/>
    </row>
    <row r="838" spans="3:4">
      <c r="C838" s="39"/>
      <c r="D838" s="39"/>
    </row>
    <row r="839" spans="3:4">
      <c r="C839" s="39"/>
      <c r="D839" s="39"/>
    </row>
    <row r="840" spans="3:4">
      <c r="C840" s="39"/>
      <c r="D840" s="39"/>
    </row>
    <row r="841" spans="3:4">
      <c r="C841" s="39"/>
      <c r="D841" s="39"/>
    </row>
    <row r="842" spans="3:4">
      <c r="C842" s="39"/>
      <c r="D842" s="39"/>
    </row>
    <row r="843" spans="3:4">
      <c r="C843" s="39"/>
      <c r="D843" s="39"/>
    </row>
    <row r="844" spans="3:4">
      <c r="C844" s="39"/>
      <c r="D844" s="39"/>
    </row>
    <row r="845" spans="3:4">
      <c r="C845" s="39"/>
      <c r="D845" s="39"/>
    </row>
    <row r="846" spans="3:4">
      <c r="C846" s="39"/>
      <c r="D846" s="39"/>
    </row>
    <row r="847" spans="3:4">
      <c r="C847" s="39"/>
      <c r="D847" s="39"/>
    </row>
    <row r="848" spans="3:4">
      <c r="C848" s="39"/>
      <c r="D848" s="39"/>
    </row>
    <row r="849" spans="3:4">
      <c r="C849" s="39"/>
      <c r="D849" s="39"/>
    </row>
    <row r="850" spans="3:4">
      <c r="C850" s="39"/>
      <c r="D850" s="39"/>
    </row>
    <row r="851" spans="3:4">
      <c r="C851" s="39"/>
      <c r="D851" s="39"/>
    </row>
    <row r="852" spans="3:4">
      <c r="C852" s="39"/>
      <c r="D852" s="39"/>
    </row>
    <row r="853" spans="3:4">
      <c r="C853" s="39"/>
      <c r="D853" s="39"/>
    </row>
    <row r="854" spans="3:4">
      <c r="C854" s="39"/>
      <c r="D854" s="39"/>
    </row>
    <row r="855" spans="3:4">
      <c r="C855" s="39"/>
      <c r="D855" s="39"/>
    </row>
    <row r="856" spans="3:4">
      <c r="C856" s="39"/>
      <c r="D856" s="39"/>
    </row>
    <row r="857" spans="3:4">
      <c r="C857" s="39"/>
      <c r="D857" s="39"/>
    </row>
    <row r="858" spans="3:4">
      <c r="C858" s="39"/>
      <c r="D858" s="39"/>
    </row>
    <row r="859" spans="3:4">
      <c r="C859" s="39"/>
      <c r="D859" s="39"/>
    </row>
    <row r="860" spans="3:4">
      <c r="C860" s="39"/>
      <c r="D860" s="39"/>
    </row>
    <row r="861" spans="3:4">
      <c r="C861" s="39"/>
      <c r="D861" s="39"/>
    </row>
    <row r="862" spans="3:4">
      <c r="C862" s="39"/>
      <c r="D862" s="39"/>
    </row>
    <row r="863" spans="3:4">
      <c r="C863" s="39"/>
      <c r="D863" s="39"/>
    </row>
    <row r="864" spans="3:4">
      <c r="C864" s="39"/>
      <c r="D864" s="39"/>
    </row>
    <row r="865" spans="3:4">
      <c r="C865" s="39"/>
      <c r="D865" s="39"/>
    </row>
    <row r="866" spans="3:4">
      <c r="C866" s="39"/>
      <c r="D866" s="39"/>
    </row>
    <row r="867" spans="3:4">
      <c r="C867" s="39"/>
      <c r="D867" s="39"/>
    </row>
    <row r="868" spans="3:4">
      <c r="C868" s="39"/>
      <c r="D868" s="39"/>
    </row>
    <row r="869" spans="3:4">
      <c r="C869" s="39"/>
      <c r="D869" s="39"/>
    </row>
    <row r="870" spans="3:4">
      <c r="C870" s="39"/>
      <c r="D870" s="39"/>
    </row>
    <row r="871" spans="3:4">
      <c r="C871" s="39"/>
      <c r="D871" s="39"/>
    </row>
    <row r="872" spans="3:4">
      <c r="C872" s="39"/>
      <c r="D872" s="39"/>
    </row>
    <row r="873" spans="3:4">
      <c r="C873" s="39"/>
      <c r="D873" s="39"/>
    </row>
    <row r="874" spans="3:4">
      <c r="C874" s="39"/>
      <c r="D874" s="39"/>
    </row>
    <row r="875" spans="3:4">
      <c r="C875" s="39"/>
      <c r="D875" s="39"/>
    </row>
    <row r="876" spans="3:4">
      <c r="C876" s="39"/>
      <c r="D876" s="39"/>
    </row>
    <row r="877" spans="3:4">
      <c r="C877" s="39"/>
      <c r="D877" s="39"/>
    </row>
    <row r="878" spans="3:4">
      <c r="C878" s="39"/>
      <c r="D878" s="39"/>
    </row>
    <row r="879" spans="3:4">
      <c r="C879" s="39"/>
      <c r="D879" s="39"/>
    </row>
    <row r="880" spans="3:4">
      <c r="C880" s="39"/>
      <c r="D880" s="39"/>
    </row>
    <row r="881" spans="3:4">
      <c r="C881" s="39"/>
      <c r="D881" s="39"/>
    </row>
    <row r="882" spans="3:4">
      <c r="C882" s="39"/>
      <c r="D882" s="39"/>
    </row>
    <row r="883" spans="3:4">
      <c r="C883" s="39"/>
      <c r="D883" s="39"/>
    </row>
    <row r="884" spans="3:4">
      <c r="C884" s="39"/>
      <c r="D884" s="39"/>
    </row>
    <row r="885" spans="3:4">
      <c r="C885" s="39"/>
      <c r="D885" s="39"/>
    </row>
    <row r="886" spans="3:4">
      <c r="C886" s="39"/>
      <c r="D886" s="39"/>
    </row>
    <row r="887" spans="3:4">
      <c r="C887" s="39"/>
      <c r="D887" s="39"/>
    </row>
    <row r="888" spans="3:4">
      <c r="C888" s="39"/>
      <c r="D888" s="39"/>
    </row>
    <row r="889" spans="3:4">
      <c r="C889" s="39"/>
      <c r="D889" s="39"/>
    </row>
    <row r="890" spans="3:4">
      <c r="C890" s="39"/>
      <c r="D890" s="39"/>
    </row>
    <row r="891" spans="3:4">
      <c r="C891" s="39"/>
      <c r="D891" s="39"/>
    </row>
    <row r="892" spans="3:4">
      <c r="C892" s="39"/>
      <c r="D892" s="39"/>
    </row>
    <row r="893" spans="3:4">
      <c r="C893" s="39"/>
      <c r="D893" s="39"/>
    </row>
    <row r="894" spans="3:4">
      <c r="C894" s="39"/>
      <c r="D894" s="39"/>
    </row>
    <row r="895" spans="3:4">
      <c r="C895" s="39"/>
      <c r="D895" s="39"/>
    </row>
    <row r="896" spans="3:4">
      <c r="C896" s="39"/>
      <c r="D896" s="39"/>
    </row>
    <row r="897" spans="3:4">
      <c r="C897" s="39"/>
      <c r="D897" s="39"/>
    </row>
    <row r="898" spans="3:4">
      <c r="C898" s="39"/>
      <c r="D898" s="39"/>
    </row>
    <row r="899" spans="3:4">
      <c r="C899" s="39"/>
      <c r="D899" s="39"/>
    </row>
    <row r="900" spans="3:4">
      <c r="C900" s="39"/>
      <c r="D900" s="39"/>
    </row>
    <row r="901" spans="3:4">
      <c r="C901" s="39"/>
      <c r="D901" s="39"/>
    </row>
    <row r="902" spans="3:4">
      <c r="C902" s="39"/>
      <c r="D902" s="39"/>
    </row>
    <row r="903" spans="3:4">
      <c r="C903" s="39"/>
      <c r="D903" s="39"/>
    </row>
    <row r="904" spans="3:4">
      <c r="C904" s="39"/>
      <c r="D904" s="39"/>
    </row>
    <row r="905" spans="3:4">
      <c r="C905" s="39"/>
      <c r="D905" s="39"/>
    </row>
    <row r="906" spans="3:4">
      <c r="C906" s="39"/>
      <c r="D906" s="39"/>
    </row>
    <row r="907" spans="3:4">
      <c r="C907" s="39"/>
      <c r="D907" s="39"/>
    </row>
    <row r="908" spans="3:4">
      <c r="C908" s="39"/>
      <c r="D908" s="39"/>
    </row>
    <row r="909" spans="3:4">
      <c r="C909" s="39"/>
      <c r="D909" s="39"/>
    </row>
    <row r="910" spans="3:4">
      <c r="C910" s="39"/>
      <c r="D910" s="39"/>
    </row>
    <row r="911" spans="3:4">
      <c r="C911" s="39"/>
      <c r="D911" s="39"/>
    </row>
    <row r="912" spans="3:4">
      <c r="C912" s="39"/>
      <c r="D912" s="39"/>
    </row>
    <row r="913" spans="3:4">
      <c r="C913" s="39"/>
      <c r="D913" s="39"/>
    </row>
    <row r="914" spans="3:4">
      <c r="C914" s="39"/>
      <c r="D914" s="39"/>
    </row>
    <row r="915" spans="3:4">
      <c r="C915" s="39"/>
      <c r="D915" s="39"/>
    </row>
    <row r="916" spans="3:4">
      <c r="C916" s="39"/>
      <c r="D916" s="39"/>
    </row>
    <row r="917" spans="3:4">
      <c r="C917" s="39"/>
      <c r="D917" s="39"/>
    </row>
    <row r="918" spans="3:4">
      <c r="C918" s="39"/>
      <c r="D918" s="39"/>
    </row>
    <row r="919" spans="3:4">
      <c r="C919" s="39"/>
      <c r="D919" s="39"/>
    </row>
    <row r="920" spans="3:4">
      <c r="C920" s="39"/>
      <c r="D920" s="39"/>
    </row>
    <row r="921" spans="3:4">
      <c r="C921" s="39"/>
      <c r="D921" s="39"/>
    </row>
    <row r="922" spans="3:4">
      <c r="C922" s="39"/>
      <c r="D922" s="39"/>
    </row>
    <row r="923" spans="3:4">
      <c r="C923" s="39"/>
      <c r="D923" s="39"/>
    </row>
    <row r="924" spans="3:4">
      <c r="C924" s="39"/>
      <c r="D924" s="39"/>
    </row>
    <row r="925" spans="3:4">
      <c r="C925" s="39"/>
      <c r="D925" s="39"/>
    </row>
    <row r="926" spans="3:4">
      <c r="C926" s="39"/>
      <c r="D926" s="39"/>
    </row>
    <row r="927" spans="3:4">
      <c r="C927" s="39"/>
      <c r="D927" s="39"/>
    </row>
    <row r="928" spans="3:4">
      <c r="C928" s="39"/>
      <c r="D928" s="39"/>
    </row>
    <row r="929" spans="3:4">
      <c r="C929" s="39"/>
      <c r="D929" s="39"/>
    </row>
    <row r="930" spans="3:4">
      <c r="C930" s="39"/>
      <c r="D930" s="39"/>
    </row>
    <row r="931" spans="3:4">
      <c r="C931" s="39"/>
      <c r="D931" s="39"/>
    </row>
    <row r="932" spans="3:4">
      <c r="C932" s="39"/>
      <c r="D932" s="39"/>
    </row>
    <row r="933" spans="3:4">
      <c r="C933" s="39"/>
      <c r="D933" s="39"/>
    </row>
    <row r="934" spans="3:4">
      <c r="C934" s="39"/>
      <c r="D934" s="39"/>
    </row>
    <row r="935" spans="3:4">
      <c r="C935" s="39"/>
      <c r="D935" s="39"/>
    </row>
    <row r="936" spans="3:4">
      <c r="C936" s="39"/>
      <c r="D936" s="39"/>
    </row>
    <row r="937" spans="3:4">
      <c r="C937" s="39"/>
      <c r="D937" s="39"/>
    </row>
    <row r="938" spans="3:4">
      <c r="C938" s="39"/>
      <c r="D938" s="39"/>
    </row>
    <row r="939" spans="3:4">
      <c r="C939" s="39"/>
      <c r="D939" s="39"/>
    </row>
    <row r="940" spans="3:4">
      <c r="C940" s="39"/>
      <c r="D940" s="39"/>
    </row>
    <row r="941" spans="3:4">
      <c r="C941" s="39"/>
      <c r="D941" s="39"/>
    </row>
    <row r="942" spans="3:4">
      <c r="C942" s="39"/>
      <c r="D942" s="39"/>
    </row>
    <row r="943" spans="3:4">
      <c r="C943" s="39"/>
      <c r="D943" s="39"/>
    </row>
    <row r="944" spans="3:4">
      <c r="C944" s="39"/>
      <c r="D944" s="39"/>
    </row>
    <row r="945" spans="3:4">
      <c r="C945" s="39"/>
      <c r="D945" s="39"/>
    </row>
    <row r="946" spans="3:4">
      <c r="C946" s="39"/>
      <c r="D946" s="39"/>
    </row>
    <row r="947" spans="3:4">
      <c r="C947" s="39"/>
      <c r="D947" s="39"/>
    </row>
    <row r="948" spans="3:4">
      <c r="C948" s="39"/>
      <c r="D948" s="39"/>
    </row>
    <row r="949" spans="3:4">
      <c r="C949" s="39"/>
      <c r="D949" s="39"/>
    </row>
    <row r="950" spans="3:4">
      <c r="C950" s="39"/>
      <c r="D950" s="39"/>
    </row>
    <row r="951" spans="3:4">
      <c r="C951" s="39"/>
      <c r="D951" s="39"/>
    </row>
    <row r="952" spans="3:4">
      <c r="C952" s="39"/>
      <c r="D952" s="39"/>
    </row>
    <row r="953" spans="3:4">
      <c r="C953" s="39"/>
      <c r="D953" s="39"/>
    </row>
    <row r="954" spans="3:4">
      <c r="C954" s="39"/>
      <c r="D954" s="39"/>
    </row>
    <row r="955" spans="3:4">
      <c r="C955" s="39"/>
      <c r="D955" s="39"/>
    </row>
    <row r="956" spans="3:4">
      <c r="C956" s="39"/>
      <c r="D956" s="39"/>
    </row>
    <row r="957" spans="3:4">
      <c r="C957" s="39"/>
      <c r="D957" s="39"/>
    </row>
    <row r="958" spans="3:4">
      <c r="C958" s="39"/>
      <c r="D958" s="39"/>
    </row>
    <row r="959" spans="3:4">
      <c r="C959" s="39"/>
      <c r="D959" s="39"/>
    </row>
    <row r="960" spans="3:4">
      <c r="C960" s="39"/>
      <c r="D960" s="39"/>
    </row>
    <row r="961" spans="3:4">
      <c r="C961" s="39"/>
      <c r="D961" s="39"/>
    </row>
    <row r="962" spans="3:4">
      <c r="C962" s="39"/>
      <c r="D962" s="39"/>
    </row>
    <row r="963" spans="3:4">
      <c r="C963" s="39"/>
      <c r="D963" s="39"/>
    </row>
    <row r="964" spans="3:4">
      <c r="C964" s="39"/>
      <c r="D964" s="39"/>
    </row>
    <row r="965" spans="3:4">
      <c r="C965" s="39"/>
      <c r="D965" s="39"/>
    </row>
    <row r="966" spans="3:4">
      <c r="C966" s="39"/>
      <c r="D966" s="39"/>
    </row>
    <row r="967" spans="3:4">
      <c r="C967" s="39"/>
      <c r="D967" s="39"/>
    </row>
    <row r="968" spans="3:4">
      <c r="C968" s="39"/>
      <c r="D968" s="39"/>
    </row>
    <row r="969" spans="3:4">
      <c r="C969" s="39"/>
      <c r="D969" s="39"/>
    </row>
    <row r="970" spans="3:4">
      <c r="C970" s="39"/>
      <c r="D970" s="39"/>
    </row>
    <row r="971" spans="3:4">
      <c r="C971" s="39"/>
      <c r="D971" s="39"/>
    </row>
    <row r="972" spans="3:4">
      <c r="C972" s="39"/>
      <c r="D972" s="39"/>
    </row>
    <row r="973" spans="3:4">
      <c r="C973" s="39"/>
      <c r="D973" s="39"/>
    </row>
    <row r="974" spans="3:4">
      <c r="C974" s="39"/>
      <c r="D974" s="39"/>
    </row>
    <row r="975" spans="3:4">
      <c r="C975" s="39"/>
      <c r="D975" s="39"/>
    </row>
    <row r="976" spans="3:4">
      <c r="C976" s="39"/>
      <c r="D976" s="39"/>
    </row>
    <row r="977" spans="3:4">
      <c r="C977" s="39"/>
      <c r="D977" s="39"/>
    </row>
    <row r="978" spans="3:4">
      <c r="C978" s="39"/>
      <c r="D978" s="39"/>
    </row>
    <row r="979" spans="3:4">
      <c r="C979" s="39"/>
      <c r="D979" s="39"/>
    </row>
    <row r="980" spans="3:4">
      <c r="C980" s="39"/>
      <c r="D980" s="39"/>
    </row>
    <row r="981" spans="3:4">
      <c r="C981" s="39"/>
      <c r="D981" s="39"/>
    </row>
    <row r="982" spans="3:4">
      <c r="C982" s="39"/>
      <c r="D982" s="39"/>
    </row>
    <row r="983" spans="3:4">
      <c r="C983" s="39"/>
      <c r="D983" s="39"/>
    </row>
    <row r="984" spans="3:4">
      <c r="C984" s="39"/>
      <c r="D984" s="39"/>
    </row>
    <row r="985" spans="3:4">
      <c r="C985" s="39"/>
      <c r="D985" s="39"/>
    </row>
    <row r="986" spans="3:4">
      <c r="C986" s="39"/>
      <c r="D986" s="39"/>
    </row>
    <row r="987" spans="3:4">
      <c r="C987" s="39"/>
      <c r="D987" s="39"/>
    </row>
    <row r="988" spans="3:4">
      <c r="C988" s="39"/>
      <c r="D988" s="39"/>
    </row>
    <row r="989" spans="3:4">
      <c r="C989" s="39"/>
      <c r="D989" s="39"/>
    </row>
    <row r="990" spans="3:4">
      <c r="C990" s="39"/>
      <c r="D990" s="39"/>
    </row>
    <row r="991" spans="3:4">
      <c r="C991" s="39"/>
      <c r="D991" s="39"/>
    </row>
    <row r="992" spans="3:4">
      <c r="C992" s="39"/>
      <c r="D992" s="39"/>
    </row>
    <row r="993" spans="3:4">
      <c r="C993" s="39"/>
      <c r="D993" s="39"/>
    </row>
    <row r="994" spans="3:4">
      <c r="C994" s="39"/>
      <c r="D994" s="39"/>
    </row>
    <row r="995" spans="3:4">
      <c r="C995" s="39"/>
      <c r="D995" s="39"/>
    </row>
    <row r="996" spans="3:4">
      <c r="C996" s="39"/>
      <c r="D996" s="39"/>
    </row>
    <row r="997" spans="3:4">
      <c r="C997" s="39"/>
      <c r="D997" s="39"/>
    </row>
    <row r="998" spans="3:4">
      <c r="C998" s="39"/>
      <c r="D998" s="39"/>
    </row>
    <row r="999" spans="3:4">
      <c r="C999" s="39"/>
      <c r="D999" s="39"/>
    </row>
    <row r="1000" spans="3:4">
      <c r="C1000" s="39"/>
      <c r="D1000" s="39"/>
    </row>
    <row r="1001" spans="3:4">
      <c r="C1001" s="39"/>
      <c r="D1001" s="39"/>
    </row>
    <row r="1002" spans="3:4">
      <c r="C1002" s="39"/>
      <c r="D1002" s="39"/>
    </row>
    <row r="1003" spans="3:4">
      <c r="C1003" s="39"/>
      <c r="D1003" s="39"/>
    </row>
  </sheetData>
  <mergeCells count="1">
    <mergeCell ref="E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249-90E7-4841-86FC-B8834A3FAE45}">
  <dimension ref="B1:Q43"/>
  <sheetViews>
    <sheetView topLeftCell="A12" zoomScale="143" workbookViewId="0">
      <selection activeCell="D12" sqref="D12"/>
    </sheetView>
  </sheetViews>
  <sheetFormatPr baseColWidth="10" defaultColWidth="8.6640625" defaultRowHeight="16"/>
  <cols>
    <col min="2" max="2" width="41.6640625" customWidth="1"/>
    <col min="3" max="3" width="24" style="87" customWidth="1"/>
    <col min="4" max="4" width="15.6640625" customWidth="1"/>
    <col min="5" max="5" width="10.6640625" customWidth="1"/>
    <col min="6" max="6" width="13.6640625" customWidth="1"/>
  </cols>
  <sheetData>
    <row r="1" spans="2:17" ht="25.5" customHeight="1">
      <c r="C1" s="85" t="s">
        <v>103</v>
      </c>
      <c r="D1" s="74">
        <v>46013</v>
      </c>
      <c r="E1" s="74">
        <v>46020</v>
      </c>
      <c r="F1" s="74">
        <v>45662</v>
      </c>
      <c r="G1" s="74">
        <v>45669</v>
      </c>
      <c r="H1" s="74">
        <v>45676</v>
      </c>
      <c r="I1" s="74">
        <v>45683</v>
      </c>
      <c r="J1" s="74">
        <v>45690</v>
      </c>
      <c r="K1" s="74">
        <v>45697</v>
      </c>
      <c r="L1" s="74">
        <v>45704</v>
      </c>
      <c r="M1" s="74">
        <v>45711</v>
      </c>
      <c r="N1" s="74">
        <v>45718</v>
      </c>
      <c r="O1" s="74">
        <v>45725</v>
      </c>
      <c r="P1" s="74">
        <v>45732</v>
      </c>
      <c r="Q1" s="74">
        <v>45739</v>
      </c>
    </row>
    <row r="2" spans="2:17" ht="45.75" customHeight="1">
      <c r="B2" s="83" t="s">
        <v>104</v>
      </c>
      <c r="C2" s="128">
        <v>25</v>
      </c>
      <c r="P2" t="s">
        <v>105</v>
      </c>
      <c r="Q2" t="s">
        <v>106</v>
      </c>
    </row>
    <row r="3" spans="2:17" ht="45.75" customHeight="1">
      <c r="B3" s="69" t="s">
        <v>107</v>
      </c>
      <c r="C3" s="128">
        <v>25</v>
      </c>
    </row>
    <row r="4" spans="2:17" ht="45.75" customHeight="1">
      <c r="B4" s="70" t="s">
        <v>108</v>
      </c>
      <c r="C4" s="128">
        <v>20</v>
      </c>
    </row>
    <row r="5" spans="2:17" ht="45.75" customHeight="1">
      <c r="B5" t="s">
        <v>109</v>
      </c>
      <c r="C5" s="128">
        <v>30</v>
      </c>
    </row>
    <row r="6" spans="2:17" ht="45" customHeight="1">
      <c r="B6" t="s">
        <v>110</v>
      </c>
      <c r="C6" s="128">
        <v>25</v>
      </c>
    </row>
    <row r="8" spans="2:17">
      <c r="B8" t="s">
        <v>111</v>
      </c>
      <c r="C8" s="87">
        <f>SUM(C2:C6)</f>
        <v>125</v>
      </c>
    </row>
    <row r="9" spans="2:17">
      <c r="B9" t="s">
        <v>112</v>
      </c>
      <c r="C9" s="87">
        <f>1500/C8</f>
        <v>12</v>
      </c>
    </row>
    <row r="10" spans="2:17">
      <c r="B10" t="s">
        <v>113</v>
      </c>
      <c r="C10" s="129">
        <f>1500/9</f>
        <v>166.66666666666666</v>
      </c>
    </row>
    <row r="11" spans="2:17" ht="17">
      <c r="B11" s="71" t="s">
        <v>114</v>
      </c>
      <c r="C11" s="86" t="s">
        <v>115</v>
      </c>
      <c r="D11" s="84" t="s">
        <v>116</v>
      </c>
      <c r="E11" s="84" t="s">
        <v>117</v>
      </c>
      <c r="F11" s="84" t="s">
        <v>118</v>
      </c>
      <c r="G11" s="84" t="s">
        <v>119</v>
      </c>
    </row>
    <row r="12" spans="2:17" ht="32">
      <c r="B12" s="164" t="s">
        <v>120</v>
      </c>
      <c r="C12" s="102" t="s">
        <v>121</v>
      </c>
      <c r="D12" s="103">
        <v>350</v>
      </c>
      <c r="E12" s="109">
        <f>D12/$C$2</f>
        <v>14</v>
      </c>
      <c r="F12" s="81"/>
      <c r="G12" s="82">
        <f>SUM(E12:E13)-COUNT($D$1:$O$1)</f>
        <v>2</v>
      </c>
    </row>
    <row r="13" spans="2:17">
      <c r="B13" s="164"/>
      <c r="C13" s="88"/>
      <c r="D13" s="94"/>
      <c r="E13" s="110"/>
      <c r="F13" s="99"/>
    </row>
    <row r="14" spans="2:17" ht="31.5" customHeight="1">
      <c r="B14" s="165" t="s">
        <v>122</v>
      </c>
      <c r="C14" s="89" t="s">
        <v>89</v>
      </c>
      <c r="D14" s="95">
        <v>41</v>
      </c>
      <c r="E14" s="111">
        <f>D14/$C$3</f>
        <v>1.64</v>
      </c>
      <c r="F14" s="99"/>
      <c r="G14" s="82">
        <f>SUM(E14:E18)-COUNT($D$1:$O$1)</f>
        <v>3.9999999999999147E-2</v>
      </c>
    </row>
    <row r="15" spans="2:17">
      <c r="B15" s="165"/>
      <c r="C15" s="104" t="s">
        <v>123</v>
      </c>
      <c r="D15" s="105">
        <v>120</v>
      </c>
      <c r="E15" s="112">
        <f>D15/$C$3</f>
        <v>4.8</v>
      </c>
      <c r="F15" s="99" t="s">
        <v>124</v>
      </c>
      <c r="G15" s="81"/>
    </row>
    <row r="16" spans="2:17">
      <c r="B16" s="165"/>
      <c r="C16" s="89" t="s">
        <v>70</v>
      </c>
      <c r="D16" s="95">
        <v>60</v>
      </c>
      <c r="E16" s="111">
        <f>D16/$C$6</f>
        <v>2.4</v>
      </c>
      <c r="F16" s="99"/>
      <c r="G16" s="81"/>
    </row>
    <row r="17" spans="2:7">
      <c r="B17" s="165"/>
      <c r="C17" s="89" t="s">
        <v>78</v>
      </c>
      <c r="D17" s="95">
        <v>80</v>
      </c>
      <c r="E17" s="111">
        <f>D17/$C$6</f>
        <v>3.2</v>
      </c>
      <c r="F17" t="s">
        <v>125</v>
      </c>
      <c r="G17" s="81"/>
    </row>
    <row r="18" spans="2:7">
      <c r="B18" s="165"/>
      <c r="C18" s="100"/>
      <c r="D18" s="101"/>
      <c r="E18" s="117"/>
      <c r="F18" s="99"/>
      <c r="G18" s="81"/>
    </row>
    <row r="19" spans="2:7" ht="31.5" customHeight="1">
      <c r="B19" s="166" t="s">
        <v>126</v>
      </c>
      <c r="C19" s="90" t="s">
        <v>87</v>
      </c>
      <c r="D19" s="96">
        <v>19</v>
      </c>
      <c r="E19" s="113">
        <f>D19/$C$4</f>
        <v>0.95</v>
      </c>
      <c r="F19" s="99"/>
      <c r="G19" s="82">
        <f>SUM(E19:E26)-COUNT($D$1:$O$1)</f>
        <v>-1.6999999999999993</v>
      </c>
    </row>
    <row r="20" spans="2:7">
      <c r="B20" s="167"/>
      <c r="C20" s="90" t="s">
        <v>59</v>
      </c>
      <c r="D20" s="96">
        <v>60</v>
      </c>
      <c r="E20" s="113">
        <f>D20/$C$4</f>
        <v>3</v>
      </c>
      <c r="F20" s="99"/>
      <c r="G20" s="81"/>
    </row>
    <row r="21" spans="2:7">
      <c r="B21" s="167"/>
      <c r="C21" s="90" t="s">
        <v>91</v>
      </c>
      <c r="D21" s="96">
        <v>47</v>
      </c>
      <c r="E21" s="113">
        <f>D21/$C$4</f>
        <v>2.35</v>
      </c>
      <c r="F21" s="99" t="s">
        <v>127</v>
      </c>
      <c r="G21" s="81"/>
    </row>
    <row r="22" spans="2:7">
      <c r="B22" s="167"/>
      <c r="C22" s="90" t="s">
        <v>93</v>
      </c>
      <c r="D22" s="96">
        <v>5</v>
      </c>
      <c r="E22" s="113">
        <f>D22/$C$4</f>
        <v>0.25</v>
      </c>
      <c r="F22" s="99" t="s">
        <v>127</v>
      </c>
      <c r="G22" s="81"/>
    </row>
    <row r="23" spans="2:7">
      <c r="B23" s="167"/>
      <c r="C23" s="90" t="s">
        <v>128</v>
      </c>
      <c r="D23" s="123" t="s">
        <v>38</v>
      </c>
      <c r="E23" s="113"/>
      <c r="F23" s="99"/>
      <c r="G23" s="81"/>
    </row>
    <row r="24" spans="2:7">
      <c r="B24" s="167"/>
      <c r="C24" s="90" t="s">
        <v>129</v>
      </c>
      <c r="D24" s="96">
        <v>35</v>
      </c>
      <c r="E24" s="113">
        <f>D24/$C$4</f>
        <v>1.75</v>
      </c>
      <c r="G24" s="81"/>
    </row>
    <row r="25" spans="2:7">
      <c r="B25" s="167"/>
      <c r="C25" s="90" t="s">
        <v>57</v>
      </c>
      <c r="D25" s="96">
        <v>40</v>
      </c>
      <c r="E25" s="113">
        <f>D25/$C$4</f>
        <v>2</v>
      </c>
      <c r="G25" s="81"/>
    </row>
    <row r="26" spans="2:7">
      <c r="B26" s="168"/>
      <c r="C26" s="90"/>
      <c r="D26" s="96"/>
      <c r="E26" s="114"/>
      <c r="F26" s="99"/>
      <c r="G26" s="81"/>
    </row>
    <row r="27" spans="2:7" ht="52.5" customHeight="1">
      <c r="B27" s="171" t="s">
        <v>130</v>
      </c>
      <c r="C27" s="106" t="s">
        <v>131</v>
      </c>
      <c r="D27" s="107">
        <v>177</v>
      </c>
      <c r="E27" s="115">
        <f>D27/$C$5</f>
        <v>5.9</v>
      </c>
      <c r="F27" s="99" t="s">
        <v>124</v>
      </c>
      <c r="G27" s="82">
        <f>SUM(E27:E29)-COUNT($D$1:$O$1)</f>
        <v>-0.76666666666666572</v>
      </c>
    </row>
    <row r="28" spans="2:7" ht="52.5" customHeight="1">
      <c r="B28" s="172"/>
      <c r="C28" s="106" t="s">
        <v>72</v>
      </c>
      <c r="D28" s="107">
        <v>160</v>
      </c>
      <c r="E28" s="115">
        <f>D28/$C$5</f>
        <v>5.333333333333333</v>
      </c>
      <c r="F28" s="99"/>
      <c r="G28" s="81"/>
    </row>
    <row r="29" spans="2:7">
      <c r="B29" s="173"/>
      <c r="C29" s="91"/>
      <c r="D29" s="97"/>
      <c r="E29" s="116"/>
      <c r="F29" s="99"/>
      <c r="G29" s="81"/>
    </row>
    <row r="30" spans="2:7" ht="31.5" customHeight="1">
      <c r="B30" s="169" t="s">
        <v>132</v>
      </c>
      <c r="C30" s="92" t="s">
        <v>81</v>
      </c>
      <c r="D30" s="98">
        <v>11</v>
      </c>
      <c r="E30" s="108">
        <f>D30/$C$6</f>
        <v>0.44</v>
      </c>
      <c r="F30" s="99"/>
      <c r="G30" s="82">
        <f>SUM(E30:E34)-COUNT($D$1:$O$1)</f>
        <v>-1.9600000000000009</v>
      </c>
    </row>
    <row r="31" spans="2:7">
      <c r="B31" s="170"/>
      <c r="C31" s="93" t="s">
        <v>80</v>
      </c>
      <c r="D31" s="98">
        <v>40</v>
      </c>
      <c r="E31" s="108">
        <f>D31/$C$6</f>
        <v>1.6</v>
      </c>
      <c r="F31" s="99"/>
    </row>
    <row r="32" spans="2:7">
      <c r="B32" s="170"/>
      <c r="C32" s="93" t="s">
        <v>133</v>
      </c>
      <c r="D32" s="98">
        <v>20</v>
      </c>
      <c r="E32" s="108">
        <f>D32/$C$6</f>
        <v>0.8</v>
      </c>
      <c r="F32" s="99"/>
    </row>
    <row r="33" spans="2:6">
      <c r="B33" s="170"/>
      <c r="C33" s="118" t="s">
        <v>49</v>
      </c>
      <c r="D33" s="119">
        <v>100</v>
      </c>
      <c r="E33" s="120">
        <f>D33/$C$3</f>
        <v>4</v>
      </c>
      <c r="F33" s="99"/>
    </row>
    <row r="34" spans="2:6">
      <c r="B34" s="170"/>
      <c r="C34" s="121" t="s">
        <v>134</v>
      </c>
      <c r="D34" s="122">
        <v>80</v>
      </c>
      <c r="E34" s="120">
        <f>D34/$C$3</f>
        <v>3.2</v>
      </c>
      <c r="F34" s="99" t="s">
        <v>135</v>
      </c>
    </row>
    <row r="36" spans="2:6">
      <c r="B36" s="79" t="s">
        <v>136</v>
      </c>
      <c r="C36" s="85"/>
      <c r="D36" s="84" t="s">
        <v>116</v>
      </c>
      <c r="E36" s="79" t="s">
        <v>114</v>
      </c>
    </row>
    <row r="37" spans="2:6" ht="17">
      <c r="B37" s="77" t="s">
        <v>74</v>
      </c>
      <c r="C37" s="78"/>
      <c r="D37" s="78">
        <v>40</v>
      </c>
      <c r="E37" s="76" t="s">
        <v>137</v>
      </c>
    </row>
    <row r="38" spans="2:6" ht="17">
      <c r="B38" s="77" t="s">
        <v>83</v>
      </c>
      <c r="C38" s="78"/>
      <c r="D38" s="78" t="s">
        <v>86</v>
      </c>
      <c r="E38" s="76" t="s">
        <v>38</v>
      </c>
    </row>
    <row r="39" spans="2:6">
      <c r="B39" s="77"/>
      <c r="C39" s="78"/>
      <c r="D39" s="78"/>
    </row>
    <row r="40" spans="2:6">
      <c r="B40" s="77"/>
      <c r="C40" s="78"/>
      <c r="D40" s="78"/>
    </row>
    <row r="41" spans="2:6">
      <c r="B41" s="77"/>
      <c r="C41" s="78"/>
      <c r="D41" s="78"/>
    </row>
    <row r="42" spans="2:6">
      <c r="B42" s="77"/>
      <c r="C42" s="78"/>
      <c r="D42" s="78"/>
    </row>
    <row r="43" spans="2:6">
      <c r="C43" s="78"/>
    </row>
  </sheetData>
  <mergeCells count="5">
    <mergeCell ref="B12:B13"/>
    <mergeCell ref="B14:B18"/>
    <mergeCell ref="B19:B26"/>
    <mergeCell ref="B30:B34"/>
    <mergeCell ref="B27:B2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293-3B46-3248-87BD-DD21436F0BE7}">
  <dimension ref="B1:G25"/>
  <sheetViews>
    <sheetView zoomScale="60" zoomScaleNormal="100" workbookViewId="0">
      <selection activeCell="F40" sqref="F40"/>
    </sheetView>
  </sheetViews>
  <sheetFormatPr baseColWidth="10" defaultColWidth="11" defaultRowHeight="16"/>
  <cols>
    <col min="2" max="2" width="45.6640625" customWidth="1"/>
    <col min="3" max="3" width="16.1640625" customWidth="1"/>
    <col min="4" max="4" width="30.6640625" customWidth="1"/>
    <col min="5" max="5" width="27.6640625" customWidth="1"/>
    <col min="6" max="6" width="37.1640625" customWidth="1"/>
    <col min="7" max="7" width="30.1640625" bestFit="1" customWidth="1"/>
  </cols>
  <sheetData>
    <row r="1" spans="2:6">
      <c r="B1" s="71" t="s">
        <v>138</v>
      </c>
      <c r="C1" s="71" t="s">
        <v>2</v>
      </c>
      <c r="D1" s="71" t="s">
        <v>139</v>
      </c>
      <c r="E1" s="71" t="s">
        <v>140</v>
      </c>
      <c r="F1" s="71" t="s">
        <v>141</v>
      </c>
    </row>
    <row r="2" spans="2:6">
      <c r="B2" s="80" t="s">
        <v>142</v>
      </c>
      <c r="C2" s="80" t="s">
        <v>41</v>
      </c>
      <c r="D2" s="80" t="s">
        <v>143</v>
      </c>
      <c r="E2" s="80" t="s">
        <v>144</v>
      </c>
      <c r="F2" s="80" t="s">
        <v>145</v>
      </c>
    </row>
    <row r="3" spans="2:6">
      <c r="B3" s="80" t="s">
        <v>123</v>
      </c>
      <c r="C3" s="80" t="s">
        <v>62</v>
      </c>
      <c r="D3" s="80" t="s">
        <v>146</v>
      </c>
      <c r="E3" s="80" t="s">
        <v>147</v>
      </c>
      <c r="F3" s="80" t="s">
        <v>145</v>
      </c>
    </row>
    <row r="4" spans="2:6">
      <c r="B4" s="80" t="s">
        <v>148</v>
      </c>
      <c r="C4" s="80" t="s">
        <v>41</v>
      </c>
      <c r="D4" s="80" t="s">
        <v>149</v>
      </c>
      <c r="E4" s="80" t="s">
        <v>150</v>
      </c>
      <c r="F4" s="80" t="s">
        <v>145</v>
      </c>
    </row>
    <row r="5" spans="2:6">
      <c r="B5" t="s">
        <v>65</v>
      </c>
      <c r="C5" s="72" t="s">
        <v>62</v>
      </c>
      <c r="D5" t="s">
        <v>151</v>
      </c>
      <c r="E5" t="s">
        <v>152</v>
      </c>
    </row>
    <row r="6" spans="2:6">
      <c r="B6" t="s">
        <v>37</v>
      </c>
      <c r="C6" s="75" t="s">
        <v>62</v>
      </c>
    </row>
    <row r="9" spans="2:6">
      <c r="B9" s="76" t="s">
        <v>153</v>
      </c>
      <c r="C9" s="72" t="s">
        <v>41</v>
      </c>
      <c r="D9" t="s">
        <v>42</v>
      </c>
      <c r="E9" t="s">
        <v>42</v>
      </c>
      <c r="F9" t="s">
        <v>154</v>
      </c>
    </row>
    <row r="10" spans="2:6">
      <c r="B10" t="s">
        <v>74</v>
      </c>
      <c r="C10" s="72" t="s">
        <v>62</v>
      </c>
    </row>
    <row r="11" spans="2:6">
      <c r="B11" s="76" t="s">
        <v>49</v>
      </c>
      <c r="C11" s="72" t="s">
        <v>62</v>
      </c>
    </row>
    <row r="12" spans="2:6">
      <c r="B12" t="s">
        <v>54</v>
      </c>
      <c r="C12" s="72" t="s">
        <v>62</v>
      </c>
    </row>
    <row r="13" spans="2:6">
      <c r="B13" t="s">
        <v>57</v>
      </c>
      <c r="C13" s="72" t="s">
        <v>62</v>
      </c>
    </row>
    <row r="14" spans="2:6">
      <c r="B14" t="s">
        <v>61</v>
      </c>
      <c r="C14" s="72" t="s">
        <v>62</v>
      </c>
    </row>
    <row r="15" spans="2:6">
      <c r="B15" t="s">
        <v>70</v>
      </c>
      <c r="C15" s="72" t="s">
        <v>62</v>
      </c>
    </row>
    <row r="16" spans="2:6">
      <c r="B16" t="s">
        <v>78</v>
      </c>
      <c r="C16" s="72" t="s">
        <v>62</v>
      </c>
    </row>
    <row r="18" spans="2:7">
      <c r="D18" t="s">
        <v>155</v>
      </c>
      <c r="E18" t="s">
        <v>156</v>
      </c>
      <c r="F18" t="s">
        <v>157</v>
      </c>
      <c r="G18" t="s">
        <v>138</v>
      </c>
    </row>
    <row r="19" spans="2:7">
      <c r="B19" s="71" t="s">
        <v>158</v>
      </c>
      <c r="D19" s="80" t="s">
        <v>159</v>
      </c>
      <c r="E19" s="80" t="s">
        <v>160</v>
      </c>
      <c r="F19" s="80" t="s">
        <v>161</v>
      </c>
      <c r="G19" t="s">
        <v>123</v>
      </c>
    </row>
    <row r="20" spans="2:7">
      <c r="D20" t="s">
        <v>162</v>
      </c>
      <c r="E20" t="s">
        <v>163</v>
      </c>
      <c r="F20" t="s">
        <v>25</v>
      </c>
    </row>
    <row r="21" spans="2:7">
      <c r="D21" t="s">
        <v>164</v>
      </c>
      <c r="E21" t="s">
        <v>165</v>
      </c>
      <c r="F21" t="s">
        <v>25</v>
      </c>
    </row>
    <row r="22" spans="2:7">
      <c r="D22" s="73" t="s">
        <v>149</v>
      </c>
      <c r="E22" s="73" t="s">
        <v>150</v>
      </c>
      <c r="F22" s="73" t="s">
        <v>161</v>
      </c>
      <c r="G22" t="s">
        <v>148</v>
      </c>
    </row>
    <row r="23" spans="2:7">
      <c r="D23" s="73" t="s">
        <v>166</v>
      </c>
      <c r="E23" s="73" t="s">
        <v>167</v>
      </c>
      <c r="F23" s="73" t="s">
        <v>161</v>
      </c>
      <c r="G23" t="s">
        <v>65</v>
      </c>
    </row>
    <row r="24" spans="2:7">
      <c r="D24" t="s">
        <v>168</v>
      </c>
      <c r="E24" t="s">
        <v>169</v>
      </c>
      <c r="F24" t="s">
        <v>170</v>
      </c>
    </row>
    <row r="25" spans="2:7">
      <c r="D25" t="s">
        <v>171</v>
      </c>
      <c r="E25" t="s">
        <v>172</v>
      </c>
      <c r="F25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9B486E6B28947BC3E4B73EB621F6B" ma:contentTypeVersion="15" ma:contentTypeDescription="Create a new document." ma:contentTypeScope="" ma:versionID="d46f5404b242b04204b39d04c6aed7f0">
  <xsd:schema xmlns:xsd="http://www.w3.org/2001/XMLSchema" xmlns:xs="http://www.w3.org/2001/XMLSchema" xmlns:p="http://schemas.microsoft.com/office/2006/metadata/properties" xmlns:ns2="28d59f71-9170-46b4-931a-5cbcb1fcbfcf" xmlns:ns3="838ae39c-5010-4f29-8146-956ce781b083" targetNamespace="http://schemas.microsoft.com/office/2006/metadata/properties" ma:root="true" ma:fieldsID="1bc24b71cb2679491e7d2f525b0641f1" ns2:_="" ns3:_="">
    <xsd:import namespace="28d59f71-9170-46b4-931a-5cbcb1fcbfcf"/>
    <xsd:import namespace="838ae39c-5010-4f29-8146-956ce781b0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59f71-9170-46b4-931a-5cbcb1fcbf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7204578-a21f-4c43-94aa-bf9e016e583d}" ma:internalName="TaxCatchAll" ma:showField="CatchAllData" ma:web="28d59f71-9170-46b4-931a-5cbcb1fcb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ae39c-5010-4f29-8146-956ce781b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8" nillable="true" ma:displayName="Notes" ma:format="Dropdown" ma:internalName="Notes">
      <xsd:simpleType>
        <xsd:union memberTypes="dms:Text">
          <xsd:simpleType>
            <xsd:restriction base="dms:Choice">
              <xsd:enumeration value="Working Draft"/>
              <xsd:enumeration value="Submitted NH"/>
            </xsd:restriction>
          </xsd:simpleType>
        </xsd:un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28a49c-346e-40f3-ab4c-d055d90fb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d59f71-9170-46b4-931a-5cbcb1fcbfcf" xsi:nil="true"/>
    <Notes xmlns="838ae39c-5010-4f29-8146-956ce781b083" xsi:nil="true"/>
    <lcf76f155ced4ddcb4097134ff3c332f xmlns="838ae39c-5010-4f29-8146-956ce781b0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D8C84-A162-4E58-9A39-77FDA09D9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59f71-9170-46b4-931a-5cbcb1fcbfcf"/>
    <ds:schemaRef ds:uri="838ae39c-5010-4f29-8146-956ce781b0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43CE6-669E-450C-95E1-9D92111D77EC}">
  <ds:schemaRefs>
    <ds:schemaRef ds:uri="http://schemas.microsoft.com/office/2006/metadata/properties"/>
    <ds:schemaRef ds:uri="http://schemas.microsoft.com/office/infopath/2007/PartnerControls"/>
    <ds:schemaRef ds:uri="28d59f71-9170-46b4-931a-5cbcb1fcbfcf"/>
    <ds:schemaRef ds:uri="838ae39c-5010-4f29-8146-956ce781b083"/>
  </ds:schemaRefs>
</ds:datastoreItem>
</file>

<file path=customXml/itemProps3.xml><?xml version="1.0" encoding="utf-8"?>
<ds:datastoreItem xmlns:ds="http://schemas.openxmlformats.org/officeDocument/2006/customXml" ds:itemID="{96D6F674-3DE4-46BB-A063-CA9885979B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 Plan</vt:lpstr>
      <vt:lpstr>Work Plan V2</vt:lpstr>
      <vt:lpstr>Capacity</vt:lpstr>
      <vt:lpstr>Work Plan - Review SP (WIP)</vt:lpstr>
      <vt:lpstr>Teams Allocation</vt:lpstr>
      <vt:lpstr>MVP Meetings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Minas Kamel</dc:creator>
  <cp:keywords/>
  <dc:description/>
  <cp:lastModifiedBy>Richard Casey</cp:lastModifiedBy>
  <cp:revision/>
  <dcterms:created xsi:type="dcterms:W3CDTF">2025-12-11T00:37:51Z</dcterms:created>
  <dcterms:modified xsi:type="dcterms:W3CDTF">2025-12-29T20:42:23Z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