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bmestimating.sharepoint.com/sites/NHPhase-3/Shared Documents/Project Plans/NH Project Artefacts/"/>
    </mc:Choice>
  </mc:AlternateContent>
  <xr:revisionPtr revIDLastSave="0" documentId="8_{6AD63305-3FE0-4B83-8AD7-1A15A43CAA4F}" xr6:coauthVersionLast="47" xr6:coauthVersionMax="47" xr10:uidLastSave="{00000000-0000-0000-0000-000000000000}"/>
  <bookViews>
    <workbookView xWindow="-108" yWindow="-108" windowWidth="23256" windowHeight="13896" firstSheet="7" activeTab="7" xr2:uid="{00000000-000D-0000-FFFF-FFFF00000000}"/>
  </bookViews>
  <sheets>
    <sheet name="Work Plan - Review SP (WIP)" sheetId="3" r:id="rId1"/>
    <sheet name="Capacity" sheetId="2" r:id="rId2"/>
    <sheet name="Teams Allocation" sheetId="5" r:id="rId3"/>
    <sheet name="MVP Meetings" sheetId="6" r:id="rId4"/>
    <sheet name="Action Log" sheetId="10" r:id="rId5"/>
    <sheet name="Current Defects" sheetId="13" r:id="rId6"/>
    <sheet name="Stage Gate Tracker" sheetId="9" r:id="rId7"/>
    <sheet name="Work Plan V3" sheetId="14" r:id="rId8"/>
    <sheet name="ESCALATIONS" sheetId="17" r:id="rId9"/>
    <sheet name="ARCHIVE &gt;&gt;" sheetId="16" r:id="rId10"/>
    <sheet name="Work Plan" sheetId="1" r:id="rId11"/>
    <sheet name="Completed Actions" sheetId="11" r:id="rId12"/>
    <sheet name="Work Plan V2 (OLD)" sheetId="7" r:id="rId13"/>
    <sheet name="Weekly 19-Jan" sheetId="15" r:id="rId14"/>
    <sheet name="Weekly 12-Jan" sheetId="12" r:id="rId15"/>
    <sheet name="Weekly 05-Jan" sheetId="8" r:id="rId16"/>
  </sheets>
  <definedNames>
    <definedName name="_xlnm._FilterDatabase" localSheetId="10" hidden="1">'Work Plan'!$B$2:$J$2</definedName>
    <definedName name="_xlnm._FilterDatabase" localSheetId="12" hidden="1">'Work Plan V2 (OLD)'!$B$2:$DT$29</definedName>
    <definedName name="_xlnm._FilterDatabase" localSheetId="7" hidden="1">'Work Plan V3'!$B$2:$DT$30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CRULuOHk2hpsi4p+ZwsVVCRD8MCY1+rmQwHFS40oSmc="/>
    </ext>
  </extLst>
</workbook>
</file>

<file path=xl/calcChain.xml><?xml version="1.0" encoding="utf-8"?>
<calcChain xmlns="http://schemas.openxmlformats.org/spreadsheetml/2006/main">
  <c r="I14" i="14" l="1"/>
  <c r="J18" i="14"/>
  <c r="H21" i="14"/>
  <c r="J14" i="14"/>
  <c r="F13" i="14"/>
  <c r="G7" i="14"/>
  <c r="I7" i="14" s="1"/>
  <c r="J7" i="14" s="1"/>
  <c r="G11" i="14"/>
  <c r="J11" i="14" s="1"/>
  <c r="G12" i="14"/>
  <c r="J12" i="14"/>
  <c r="AU2" i="14"/>
  <c r="AV2" i="14" s="1"/>
  <c r="AW2" i="14" s="1"/>
  <c r="AX2" i="14" s="1"/>
  <c r="AY2" i="14" s="1"/>
  <c r="AZ2" i="14" s="1"/>
  <c r="BA2" i="14" s="1"/>
  <c r="BB2" i="14" s="1"/>
  <c r="BC2" i="14" s="1"/>
  <c r="BD2" i="14" s="1"/>
  <c r="BE2" i="14" s="1"/>
  <c r="BF2" i="14" s="1"/>
  <c r="BG2" i="14" s="1"/>
  <c r="BH2" i="14" s="1"/>
  <c r="BI2" i="14" s="1"/>
  <c r="BJ2" i="14" s="1"/>
  <c r="BK2" i="14" s="1"/>
  <c r="BL2" i="14" s="1"/>
  <c r="BM2" i="14" s="1"/>
  <c r="BN2" i="14" s="1"/>
  <c r="BO2" i="14" s="1"/>
  <c r="BP2" i="14" s="1"/>
  <c r="BQ2" i="14" s="1"/>
  <c r="BR2" i="14" s="1"/>
  <c r="BS2" i="14" s="1"/>
  <c r="BT2" i="14" s="1"/>
  <c r="BU2" i="14" s="1"/>
  <c r="BV2" i="14" s="1"/>
  <c r="BW2" i="14" s="1"/>
  <c r="BX2" i="14" s="1"/>
  <c r="BY2" i="14" s="1"/>
  <c r="BZ2" i="14" s="1"/>
  <c r="CA2" i="14" s="1"/>
  <c r="CB2" i="14" s="1"/>
  <c r="CC2" i="14" s="1"/>
  <c r="CD2" i="14" s="1"/>
  <c r="CE2" i="14" s="1"/>
  <c r="CF2" i="14" s="1"/>
  <c r="CG2" i="14" s="1"/>
  <c r="CH2" i="14" s="1"/>
  <c r="CI2" i="14" s="1"/>
  <c r="CJ2" i="14" s="1"/>
  <c r="CK2" i="14" s="1"/>
  <c r="CL2" i="14" s="1"/>
  <c r="CM2" i="14" s="1"/>
  <c r="CN2" i="14" s="1"/>
  <c r="CO2" i="14" s="1"/>
  <c r="CP2" i="14" s="1"/>
  <c r="CQ2" i="14" s="1"/>
  <c r="CR2" i="14" s="1"/>
  <c r="CS2" i="14" s="1"/>
  <c r="CT2" i="14" s="1"/>
  <c r="CU2" i="14" s="1"/>
  <c r="CV2" i="14" s="1"/>
  <c r="CW2" i="14" s="1"/>
  <c r="CX2" i="14" s="1"/>
  <c r="CY2" i="14" s="1"/>
  <c r="CZ2" i="14" s="1"/>
  <c r="DA2" i="14" s="1"/>
  <c r="DB2" i="14" s="1"/>
  <c r="DC2" i="14" s="1"/>
  <c r="DD2" i="14" s="1"/>
  <c r="DE2" i="14" s="1"/>
  <c r="DF2" i="14" s="1"/>
  <c r="DG2" i="14" s="1"/>
  <c r="DH2" i="14" s="1"/>
  <c r="DI2" i="14" s="1"/>
  <c r="DJ2" i="14" s="1"/>
  <c r="DK2" i="14" s="1"/>
  <c r="DL2" i="14" s="1"/>
  <c r="G3" i="14"/>
  <c r="I3" i="14" s="1"/>
  <c r="J3" i="14" s="1"/>
  <c r="G4" i="14"/>
  <c r="I4" i="14" s="1"/>
  <c r="J4" i="14" s="1"/>
  <c r="G5" i="14"/>
  <c r="I5" i="14" s="1"/>
  <c r="J5" i="14" s="1"/>
  <c r="J6" i="14"/>
  <c r="G10" i="14"/>
  <c r="I10" i="14" s="1"/>
  <c r="J10" i="14" s="1"/>
  <c r="J15" i="14"/>
  <c r="J16" i="14"/>
  <c r="J17" i="14"/>
  <c r="I21" i="14"/>
  <c r="J21" i="14" s="1"/>
  <c r="F22" i="14"/>
  <c r="H22" i="14" s="1"/>
  <c r="J22" i="14"/>
  <c r="I23" i="14"/>
  <c r="J23" i="14" s="1"/>
  <c r="DS36" i="14"/>
  <c r="DR36" i="14"/>
  <c r="DQ36" i="14"/>
  <c r="DP36" i="14"/>
  <c r="DO36" i="14"/>
  <c r="DN36" i="14"/>
  <c r="DM36" i="14"/>
  <c r="DL36" i="14"/>
  <c r="DK36" i="14"/>
  <c r="DJ36" i="14"/>
  <c r="DI36" i="14"/>
  <c r="DH36" i="14"/>
  <c r="DG36" i="14"/>
  <c r="DF36" i="14"/>
  <c r="DE36" i="14"/>
  <c r="DD36" i="14"/>
  <c r="DC36" i="14"/>
  <c r="DB36" i="14"/>
  <c r="DA36" i="14"/>
  <c r="CZ36" i="14"/>
  <c r="CY36" i="14"/>
  <c r="CX36" i="14"/>
  <c r="CW36" i="14"/>
  <c r="CV36" i="14"/>
  <c r="CU36" i="14"/>
  <c r="CT36" i="14"/>
  <c r="CS36" i="14"/>
  <c r="CR36" i="14"/>
  <c r="CQ36" i="14"/>
  <c r="CP36" i="14"/>
  <c r="CO36" i="14"/>
  <c r="CN36" i="14"/>
  <c r="CM36" i="14"/>
  <c r="CL36" i="14"/>
  <c r="CK36" i="14"/>
  <c r="CJ36" i="14"/>
  <c r="CI36" i="14"/>
  <c r="CH36" i="14"/>
  <c r="CG36" i="14"/>
  <c r="CF36" i="14"/>
  <c r="CE36" i="14"/>
  <c r="CD36" i="14"/>
  <c r="CC36" i="14"/>
  <c r="CB36" i="14"/>
  <c r="CA36" i="14"/>
  <c r="BZ36" i="14"/>
  <c r="BY36" i="14"/>
  <c r="BX36" i="14"/>
  <c r="BW36" i="14"/>
  <c r="BV36" i="14"/>
  <c r="BU36" i="14"/>
  <c r="BT36" i="14"/>
  <c r="BS36" i="14"/>
  <c r="BR36" i="14"/>
  <c r="BQ36" i="14"/>
  <c r="BP36" i="14"/>
  <c r="BO36" i="14"/>
  <c r="BN36" i="14"/>
  <c r="BM36" i="14"/>
  <c r="BL36" i="14"/>
  <c r="BK36" i="14"/>
  <c r="BJ36" i="14"/>
  <c r="BI36" i="14"/>
  <c r="BH36" i="14"/>
  <c r="BG36" i="14"/>
  <c r="BF36" i="14"/>
  <c r="BE36" i="14"/>
  <c r="BD36" i="14"/>
  <c r="BC36" i="14"/>
  <c r="BB36" i="14"/>
  <c r="BA36" i="14"/>
  <c r="AZ36" i="14"/>
  <c r="AY36" i="14"/>
  <c r="AX36" i="14"/>
  <c r="AW36" i="14"/>
  <c r="AV36" i="14"/>
  <c r="AU36" i="14"/>
  <c r="AT36" i="14"/>
  <c r="AS36" i="14"/>
  <c r="AR36" i="14"/>
  <c r="AQ36" i="14"/>
  <c r="AP36" i="14"/>
  <c r="AO36" i="14"/>
  <c r="AN36" i="14"/>
  <c r="AM36" i="14"/>
  <c r="AL36" i="14"/>
  <c r="AK36" i="14"/>
  <c r="AJ36" i="14"/>
  <c r="AI36" i="14"/>
  <c r="AH36" i="14"/>
  <c r="AG36" i="14"/>
  <c r="AF36" i="14"/>
  <c r="DS35" i="14"/>
  <c r="DR35" i="14"/>
  <c r="DQ35" i="14"/>
  <c r="DP35" i="14"/>
  <c r="DO35" i="14"/>
  <c r="DN35" i="14"/>
  <c r="DM35" i="14"/>
  <c r="DL35" i="14"/>
  <c r="DK35" i="14"/>
  <c r="DJ35" i="14"/>
  <c r="DI35" i="14"/>
  <c r="DH35" i="14"/>
  <c r="DG35" i="14"/>
  <c r="DF35" i="14"/>
  <c r="DE35" i="14"/>
  <c r="DD35" i="14"/>
  <c r="DC35" i="14"/>
  <c r="DB35" i="14"/>
  <c r="DA35" i="14"/>
  <c r="CZ35" i="14"/>
  <c r="CY35" i="14"/>
  <c r="CX35" i="14"/>
  <c r="CW35" i="14"/>
  <c r="CV35" i="14"/>
  <c r="CU35" i="14"/>
  <c r="CT35" i="14"/>
  <c r="CS35" i="14"/>
  <c r="CR35" i="14"/>
  <c r="CQ35" i="14"/>
  <c r="CP35" i="14"/>
  <c r="CO35" i="14"/>
  <c r="CN35" i="14"/>
  <c r="CM35" i="14"/>
  <c r="CL35" i="14"/>
  <c r="CK35" i="14"/>
  <c r="CJ35" i="14"/>
  <c r="CI35" i="14"/>
  <c r="CH35" i="14"/>
  <c r="CG35" i="14"/>
  <c r="CF35" i="14"/>
  <c r="CE35" i="14"/>
  <c r="CD35" i="14"/>
  <c r="CC35" i="14"/>
  <c r="CB35" i="14"/>
  <c r="CA35" i="14"/>
  <c r="BZ35" i="14"/>
  <c r="BY35" i="14"/>
  <c r="BX35" i="14"/>
  <c r="BW35" i="14"/>
  <c r="BV35" i="14"/>
  <c r="BU35" i="14"/>
  <c r="BT35" i="14"/>
  <c r="BS35" i="14"/>
  <c r="BR35" i="14"/>
  <c r="BQ35" i="14"/>
  <c r="BP35" i="14"/>
  <c r="BO35" i="14"/>
  <c r="BN35" i="14"/>
  <c r="BM35" i="14"/>
  <c r="BL35" i="14"/>
  <c r="BK35" i="14"/>
  <c r="BJ35" i="14"/>
  <c r="BI35" i="14"/>
  <c r="BH35" i="14"/>
  <c r="BG35" i="14"/>
  <c r="BF35" i="14"/>
  <c r="BE35" i="14"/>
  <c r="BD35" i="14"/>
  <c r="BC35" i="14"/>
  <c r="BB35" i="14"/>
  <c r="BA35" i="14"/>
  <c r="AZ35" i="14"/>
  <c r="AY35" i="14"/>
  <c r="AX35" i="14"/>
  <c r="AW35" i="14"/>
  <c r="AV35" i="14"/>
  <c r="AU35" i="14"/>
  <c r="AT35" i="14"/>
  <c r="AS35" i="14"/>
  <c r="AR35" i="14"/>
  <c r="AQ35" i="14"/>
  <c r="AP35" i="14"/>
  <c r="AO35" i="14"/>
  <c r="AN35" i="14"/>
  <c r="AM35" i="14"/>
  <c r="AL35" i="14"/>
  <c r="AK35" i="14"/>
  <c r="AJ35" i="14"/>
  <c r="AI35" i="14"/>
  <c r="AH35" i="14"/>
  <c r="AG35" i="14"/>
  <c r="AF35" i="14"/>
  <c r="DS34" i="14"/>
  <c r="DR34" i="14"/>
  <c r="DQ34" i="14"/>
  <c r="DP34" i="14"/>
  <c r="DO34" i="14"/>
  <c r="DN34" i="14"/>
  <c r="DM34" i="14"/>
  <c r="DL34" i="14"/>
  <c r="DK34" i="14"/>
  <c r="DJ34" i="14"/>
  <c r="DI34" i="14"/>
  <c r="DH34" i="14"/>
  <c r="DG34" i="14"/>
  <c r="DF34" i="14"/>
  <c r="DE34" i="14"/>
  <c r="DD34" i="14"/>
  <c r="DC34" i="14"/>
  <c r="DB34" i="14"/>
  <c r="DA34" i="14"/>
  <c r="CZ34" i="14"/>
  <c r="CY34" i="14"/>
  <c r="CX34" i="14"/>
  <c r="CW34" i="14"/>
  <c r="CV34" i="14"/>
  <c r="CU34" i="14"/>
  <c r="CT34" i="14"/>
  <c r="CS34" i="14"/>
  <c r="CR34" i="14"/>
  <c r="CQ34" i="14"/>
  <c r="CP34" i="14"/>
  <c r="CO34" i="14"/>
  <c r="CN34" i="14"/>
  <c r="CM34" i="14"/>
  <c r="CL34" i="14"/>
  <c r="CK34" i="14"/>
  <c r="CJ34" i="14"/>
  <c r="CI34" i="14"/>
  <c r="CH34" i="14"/>
  <c r="CG34" i="14"/>
  <c r="CF34" i="14"/>
  <c r="CE34" i="14"/>
  <c r="CD34" i="14"/>
  <c r="CC34" i="14"/>
  <c r="CB34" i="14"/>
  <c r="CA34" i="14"/>
  <c r="BZ34" i="14"/>
  <c r="BY34" i="14"/>
  <c r="BX34" i="14"/>
  <c r="BW34" i="14"/>
  <c r="BV34" i="14"/>
  <c r="BU34" i="14"/>
  <c r="BT34" i="14"/>
  <c r="BS34" i="14"/>
  <c r="BR34" i="14"/>
  <c r="BQ34" i="14"/>
  <c r="BP34" i="14"/>
  <c r="BO34" i="14"/>
  <c r="BN34" i="14"/>
  <c r="BM34" i="14"/>
  <c r="BL34" i="14"/>
  <c r="BK34" i="14"/>
  <c r="BJ34" i="14"/>
  <c r="BI34" i="14"/>
  <c r="BH34" i="14"/>
  <c r="BG34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DS33" i="14"/>
  <c r="DR33" i="14"/>
  <c r="DQ33" i="14"/>
  <c r="DP33" i="14"/>
  <c r="DO33" i="14"/>
  <c r="DN33" i="14"/>
  <c r="DM33" i="14"/>
  <c r="DL33" i="14"/>
  <c r="DK33" i="14"/>
  <c r="DJ33" i="14"/>
  <c r="DI33" i="14"/>
  <c r="DH33" i="14"/>
  <c r="DG33" i="14"/>
  <c r="DF33" i="14"/>
  <c r="DE33" i="14"/>
  <c r="DD33" i="14"/>
  <c r="DC33" i="14"/>
  <c r="DB33" i="14"/>
  <c r="DA33" i="14"/>
  <c r="CZ33" i="14"/>
  <c r="CY33" i="14"/>
  <c r="CX33" i="14"/>
  <c r="CW33" i="14"/>
  <c r="CV33" i="14"/>
  <c r="CU33" i="14"/>
  <c r="CT33" i="14"/>
  <c r="CS33" i="14"/>
  <c r="CR33" i="14"/>
  <c r="CQ33" i="14"/>
  <c r="CP33" i="14"/>
  <c r="CO33" i="14"/>
  <c r="CN33" i="14"/>
  <c r="CM33" i="14"/>
  <c r="CL33" i="14"/>
  <c r="CK33" i="14"/>
  <c r="CJ33" i="14"/>
  <c r="CI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BT33" i="14"/>
  <c r="BS33" i="14"/>
  <c r="BR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DS32" i="14"/>
  <c r="DS37" i="14" s="1"/>
  <c r="DR32" i="14"/>
  <c r="DR37" i="14" s="1"/>
  <c r="DQ32" i="14"/>
  <c r="DP32" i="14"/>
  <c r="DO32" i="14"/>
  <c r="DN32" i="14"/>
  <c r="DN37" i="14" s="1"/>
  <c r="DM32" i="14"/>
  <c r="DL32" i="14"/>
  <c r="DK32" i="14"/>
  <c r="DJ32" i="14"/>
  <c r="DI32" i="14"/>
  <c r="DH32" i="14"/>
  <c r="DG32" i="14"/>
  <c r="DF32" i="14"/>
  <c r="DE32" i="14"/>
  <c r="DD32" i="14"/>
  <c r="DC32" i="14"/>
  <c r="DB32" i="14"/>
  <c r="DA32" i="14"/>
  <c r="CZ32" i="14"/>
  <c r="CY32" i="14"/>
  <c r="CX32" i="14"/>
  <c r="CW32" i="14"/>
  <c r="CV32" i="14"/>
  <c r="CU32" i="14"/>
  <c r="CT32" i="14"/>
  <c r="CS32" i="14"/>
  <c r="CR32" i="14"/>
  <c r="CQ32" i="14"/>
  <c r="CP32" i="14"/>
  <c r="CO32" i="14"/>
  <c r="CN32" i="14"/>
  <c r="CM32" i="14"/>
  <c r="CL32" i="14"/>
  <c r="CK32" i="14"/>
  <c r="CJ32" i="14"/>
  <c r="CI32" i="14"/>
  <c r="CH32" i="14"/>
  <c r="CG32" i="14"/>
  <c r="CF32" i="14"/>
  <c r="CE32" i="14"/>
  <c r="CD32" i="14"/>
  <c r="CC32" i="14"/>
  <c r="CB32" i="14"/>
  <c r="CA32" i="14"/>
  <c r="BZ32" i="14"/>
  <c r="BY32" i="14"/>
  <c r="BX32" i="14"/>
  <c r="BW32" i="14"/>
  <c r="BV32" i="14"/>
  <c r="BU32" i="14"/>
  <c r="BT32" i="14"/>
  <c r="BS32" i="14"/>
  <c r="BR32" i="14"/>
  <c r="BQ32" i="14"/>
  <c r="BP32" i="14"/>
  <c r="BO32" i="14"/>
  <c r="BN32" i="14"/>
  <c r="BM32" i="14"/>
  <c r="BL32" i="14"/>
  <c r="BK32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AW32" i="14"/>
  <c r="AV32" i="14"/>
  <c r="AV37" i="14" s="1"/>
  <c r="AU32" i="14"/>
  <c r="AU37" i="14" s="1"/>
  <c r="AT32" i="14"/>
  <c r="AT37" i="14" s="1"/>
  <c r="AS32" i="14"/>
  <c r="AS37" i="14" s="1"/>
  <c r="AR32" i="14"/>
  <c r="AR37" i="14" s="1"/>
  <c r="AQ32" i="14"/>
  <c r="AP32" i="14"/>
  <c r="AP37" i="14" s="1"/>
  <c r="AO32" i="14"/>
  <c r="AO37" i="14" s="1"/>
  <c r="AN32" i="14"/>
  <c r="AN37" i="14" s="1"/>
  <c r="AM32" i="14"/>
  <c r="AM37" i="14" s="1"/>
  <c r="AL32" i="14"/>
  <c r="AL37" i="14" s="1"/>
  <c r="AK32" i="14"/>
  <c r="AK37" i="14" s="1"/>
  <c r="AJ32" i="14"/>
  <c r="AJ37" i="14" s="1"/>
  <c r="AI32" i="14"/>
  <c r="AI37" i="14" s="1"/>
  <c r="AH32" i="14"/>
  <c r="AH37" i="14" s="1"/>
  <c r="AG32" i="14"/>
  <c r="AF32" i="14"/>
  <c r="AF37" i="14" s="1"/>
  <c r="DS30" i="14"/>
  <c r="DR30" i="14"/>
  <c r="DQ30" i="14"/>
  <c r="DP30" i="14"/>
  <c r="DO30" i="14"/>
  <c r="DN30" i="14"/>
  <c r="DM30" i="14"/>
  <c r="DL30" i="14"/>
  <c r="DK30" i="14"/>
  <c r="DJ30" i="14"/>
  <c r="DI30" i="14"/>
  <c r="DH30" i="14"/>
  <c r="DG30" i="14"/>
  <c r="DF30" i="14"/>
  <c r="DE30" i="14"/>
  <c r="DD30" i="14"/>
  <c r="DC30" i="14"/>
  <c r="DB30" i="14"/>
  <c r="DA30" i="14"/>
  <c r="CZ30" i="14"/>
  <c r="CY30" i="14"/>
  <c r="CX30" i="14"/>
  <c r="CW30" i="14"/>
  <c r="CV30" i="14"/>
  <c r="CU30" i="14"/>
  <c r="CT30" i="14"/>
  <c r="CS30" i="14"/>
  <c r="CR30" i="14"/>
  <c r="CQ30" i="14"/>
  <c r="CP30" i="14"/>
  <c r="CO30" i="14"/>
  <c r="CN30" i="14"/>
  <c r="CM30" i="14"/>
  <c r="CL30" i="14"/>
  <c r="CK30" i="14"/>
  <c r="CJ30" i="14"/>
  <c r="CI30" i="14"/>
  <c r="CH30" i="14"/>
  <c r="CG30" i="14"/>
  <c r="CF30" i="14"/>
  <c r="CE30" i="14"/>
  <c r="CD30" i="14"/>
  <c r="CC30" i="14"/>
  <c r="CB30" i="14"/>
  <c r="CA30" i="14"/>
  <c r="BZ30" i="14"/>
  <c r="BY30" i="14"/>
  <c r="BX30" i="14"/>
  <c r="BW30" i="14"/>
  <c r="BV30" i="14"/>
  <c r="BU30" i="14"/>
  <c r="BT30" i="14"/>
  <c r="BS30" i="14"/>
  <c r="BR30" i="14"/>
  <c r="BQ30" i="14"/>
  <c r="BP30" i="14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B30" i="14"/>
  <c r="AA30" i="14"/>
  <c r="Z30" i="14"/>
  <c r="DT29" i="14"/>
  <c r="DT28" i="14"/>
  <c r="DT27" i="14"/>
  <c r="DT26" i="14"/>
  <c r="DT24" i="14"/>
  <c r="DT23" i="14"/>
  <c r="DT22" i="14"/>
  <c r="DT21" i="14"/>
  <c r="DT20" i="14"/>
  <c r="DT19" i="14"/>
  <c r="DT18" i="14"/>
  <c r="DT17" i="14"/>
  <c r="DT16" i="14"/>
  <c r="DT15" i="14"/>
  <c r="DT14" i="14"/>
  <c r="DT12" i="14"/>
  <c r="DT11" i="14"/>
  <c r="DT33" i="14" s="1"/>
  <c r="DT10" i="14"/>
  <c r="DT13" i="14"/>
  <c r="DT9" i="14"/>
  <c r="DT8" i="14"/>
  <c r="DT7" i="14"/>
  <c r="DT32" i="14" s="1"/>
  <c r="DT6" i="14"/>
  <c r="DT4" i="14"/>
  <c r="DT3" i="14"/>
  <c r="AG2" i="14"/>
  <c r="AH2" i="14" s="1"/>
  <c r="AI2" i="14" s="1"/>
  <c r="AJ2" i="14" s="1"/>
  <c r="AK2" i="14" s="1"/>
  <c r="AL2" i="14" s="1"/>
  <c r="AM2" i="14" s="1"/>
  <c r="AN2" i="14" s="1"/>
  <c r="AO2" i="14" s="1"/>
  <c r="AP2" i="14" s="1"/>
  <c r="AQ2" i="14" s="1"/>
  <c r="AR2" i="14" s="1"/>
  <c r="AS2" i="14" s="1"/>
  <c r="M10" i="9"/>
  <c r="M11" i="9" s="1"/>
  <c r="G7" i="7"/>
  <c r="F11" i="7"/>
  <c r="W10" i="9"/>
  <c r="W11" i="9" s="1"/>
  <c r="CK31" i="7"/>
  <c r="CL31" i="7"/>
  <c r="CK32" i="7"/>
  <c r="CL32" i="7"/>
  <c r="CK33" i="7"/>
  <c r="CL33" i="7"/>
  <c r="CK34" i="7"/>
  <c r="CL34" i="7"/>
  <c r="CK35" i="7"/>
  <c r="CL35" i="7"/>
  <c r="CR31" i="7"/>
  <c r="CS31" i="7"/>
  <c r="CR32" i="7"/>
  <c r="CS32" i="7"/>
  <c r="CR33" i="7"/>
  <c r="CS33" i="7"/>
  <c r="CR34" i="7"/>
  <c r="CS34" i="7"/>
  <c r="CR35" i="7"/>
  <c r="CS35" i="7"/>
  <c r="CY31" i="7"/>
  <c r="CZ31" i="7"/>
  <c r="CY32" i="7"/>
  <c r="CZ32" i="7"/>
  <c r="CY33" i="7"/>
  <c r="CZ33" i="7"/>
  <c r="CY34" i="7"/>
  <c r="CZ34" i="7"/>
  <c r="CY35" i="7"/>
  <c r="CZ35" i="7"/>
  <c r="DF31" i="7"/>
  <c r="DG31" i="7"/>
  <c r="DF32" i="7"/>
  <c r="DG32" i="7"/>
  <c r="DF33" i="7"/>
  <c r="DG33" i="7"/>
  <c r="DF34" i="7"/>
  <c r="DG34" i="7"/>
  <c r="DF35" i="7"/>
  <c r="DG35" i="7"/>
  <c r="AD4" i="7"/>
  <c r="AE4" i="7"/>
  <c r="AD5" i="7"/>
  <c r="AE5" i="7"/>
  <c r="AD6" i="7"/>
  <c r="AE6" i="7"/>
  <c r="AD7" i="7"/>
  <c r="AE7" i="7"/>
  <c r="AD8" i="7"/>
  <c r="AE8" i="7"/>
  <c r="AD9" i="7"/>
  <c r="AE9" i="7"/>
  <c r="AD10" i="7"/>
  <c r="AE10" i="7"/>
  <c r="AD11" i="7"/>
  <c r="AE11" i="7"/>
  <c r="AD12" i="7"/>
  <c r="AE12" i="7"/>
  <c r="AD13" i="7"/>
  <c r="AE13" i="7"/>
  <c r="AD14" i="7"/>
  <c r="AE14" i="7"/>
  <c r="AD15" i="7"/>
  <c r="AE15" i="7"/>
  <c r="AD16" i="7"/>
  <c r="AE16" i="7"/>
  <c r="AD17" i="7"/>
  <c r="AE17" i="7"/>
  <c r="AD18" i="7"/>
  <c r="AE18" i="7"/>
  <c r="AD19" i="7"/>
  <c r="AE19" i="7"/>
  <c r="AD20" i="7"/>
  <c r="AE20" i="7"/>
  <c r="AD21" i="7"/>
  <c r="AE21" i="7"/>
  <c r="AD22" i="7"/>
  <c r="AE22" i="7"/>
  <c r="AD23" i="7"/>
  <c r="AE23" i="7"/>
  <c r="AD24" i="7"/>
  <c r="AE24" i="7"/>
  <c r="AD25" i="7"/>
  <c r="AE25" i="7"/>
  <c r="AD26" i="7"/>
  <c r="AE26" i="7"/>
  <c r="AD27" i="7"/>
  <c r="AE27" i="7"/>
  <c r="AD28" i="7"/>
  <c r="AE28" i="7"/>
  <c r="AD3" i="7"/>
  <c r="AE3" i="7"/>
  <c r="DS35" i="7"/>
  <c r="DR35" i="7"/>
  <c r="DQ35" i="7"/>
  <c r="DP35" i="7"/>
  <c r="DO35" i="7"/>
  <c r="DN35" i="7"/>
  <c r="DM35" i="7"/>
  <c r="DL35" i="7"/>
  <c r="DK35" i="7"/>
  <c r="DJ35" i="7"/>
  <c r="DI35" i="7"/>
  <c r="DH35" i="7"/>
  <c r="DE35" i="7"/>
  <c r="DD35" i="7"/>
  <c r="DC35" i="7"/>
  <c r="DB35" i="7"/>
  <c r="DA35" i="7"/>
  <c r="CX35" i="7"/>
  <c r="CW35" i="7"/>
  <c r="CV35" i="7"/>
  <c r="CU35" i="7"/>
  <c r="CT35" i="7"/>
  <c r="CQ35" i="7"/>
  <c r="CP35" i="7"/>
  <c r="CO35" i="7"/>
  <c r="CN35" i="7"/>
  <c r="CM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M32" i="7"/>
  <c r="CN32" i="7"/>
  <c r="CO32" i="7"/>
  <c r="CP32" i="7"/>
  <c r="CQ32" i="7"/>
  <c r="CT32" i="7"/>
  <c r="CU32" i="7"/>
  <c r="CV32" i="7"/>
  <c r="CW32" i="7"/>
  <c r="CX32" i="7"/>
  <c r="DA32" i="7"/>
  <c r="DB32" i="7"/>
  <c r="DC32" i="7"/>
  <c r="DD32" i="7"/>
  <c r="DE32" i="7"/>
  <c r="DH32" i="7"/>
  <c r="DI32" i="7"/>
  <c r="DJ32" i="7"/>
  <c r="DK32" i="7"/>
  <c r="DL32" i="7"/>
  <c r="DM32" i="7"/>
  <c r="DN32" i="7"/>
  <c r="DO32" i="7"/>
  <c r="DP32" i="7"/>
  <c r="DQ32" i="7"/>
  <c r="DR32" i="7"/>
  <c r="DS32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M33" i="7"/>
  <c r="CN33" i="7"/>
  <c r="CO33" i="7"/>
  <c r="CP33" i="7"/>
  <c r="CQ33" i="7"/>
  <c r="CT33" i="7"/>
  <c r="CU33" i="7"/>
  <c r="CV33" i="7"/>
  <c r="CW33" i="7"/>
  <c r="CX33" i="7"/>
  <c r="DA33" i="7"/>
  <c r="DB33" i="7"/>
  <c r="DC33" i="7"/>
  <c r="DD33" i="7"/>
  <c r="DE33" i="7"/>
  <c r="DH33" i="7"/>
  <c r="DI33" i="7"/>
  <c r="DJ33" i="7"/>
  <c r="DK33" i="7"/>
  <c r="DL33" i="7"/>
  <c r="DM33" i="7"/>
  <c r="DN33" i="7"/>
  <c r="DO33" i="7"/>
  <c r="DP33" i="7"/>
  <c r="DQ33" i="7"/>
  <c r="DR33" i="7"/>
  <c r="DS33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M34" i="7"/>
  <c r="CN34" i="7"/>
  <c r="CO34" i="7"/>
  <c r="CP34" i="7"/>
  <c r="CQ34" i="7"/>
  <c r="CT34" i="7"/>
  <c r="CU34" i="7"/>
  <c r="CV34" i="7"/>
  <c r="CW34" i="7"/>
  <c r="CX34" i="7"/>
  <c r="DA34" i="7"/>
  <c r="DB34" i="7"/>
  <c r="DC34" i="7"/>
  <c r="DD34" i="7"/>
  <c r="DE34" i="7"/>
  <c r="DH34" i="7"/>
  <c r="DI34" i="7"/>
  <c r="DJ34" i="7"/>
  <c r="DK34" i="7"/>
  <c r="DL34" i="7"/>
  <c r="DM34" i="7"/>
  <c r="DN34" i="7"/>
  <c r="DO34" i="7"/>
  <c r="DP34" i="7"/>
  <c r="DQ34" i="7"/>
  <c r="DR34" i="7"/>
  <c r="DS34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M31" i="7"/>
  <c r="CN31" i="7"/>
  <c r="CO31" i="7"/>
  <c r="CP31" i="7"/>
  <c r="CQ31" i="7"/>
  <c r="CT31" i="7"/>
  <c r="CU31" i="7"/>
  <c r="CV31" i="7"/>
  <c r="CW31" i="7"/>
  <c r="CX31" i="7"/>
  <c r="DA31" i="7"/>
  <c r="DB31" i="7"/>
  <c r="DC31" i="7"/>
  <c r="DD31" i="7"/>
  <c r="DE31" i="7"/>
  <c r="DH31" i="7"/>
  <c r="DI31" i="7"/>
  <c r="DJ31" i="7"/>
  <c r="DK31" i="7"/>
  <c r="DL31" i="7"/>
  <c r="DM31" i="7"/>
  <c r="DN31" i="7"/>
  <c r="DO31" i="7"/>
  <c r="DP31" i="7"/>
  <c r="DQ31" i="7"/>
  <c r="DR31" i="7"/>
  <c r="DS31" i="7"/>
  <c r="AF31" i="7"/>
  <c r="E31" i="5"/>
  <c r="D12" i="5"/>
  <c r="E13" i="5"/>
  <c r="E14" i="5"/>
  <c r="E15" i="5"/>
  <c r="E16" i="5"/>
  <c r="E17" i="5"/>
  <c r="E18" i="5"/>
  <c r="E19" i="5"/>
  <c r="AQ37" i="14" l="1"/>
  <c r="DM37" i="14"/>
  <c r="DL37" i="14"/>
  <c r="DK37" i="14"/>
  <c r="DJ37" i="14"/>
  <c r="DI37" i="14"/>
  <c r="DH37" i="14"/>
  <c r="DG37" i="14"/>
  <c r="DF37" i="14"/>
  <c r="DE37" i="14"/>
  <c r="DD37" i="14"/>
  <c r="DC37" i="14"/>
  <c r="DB37" i="14"/>
  <c r="DA37" i="14"/>
  <c r="CZ37" i="14"/>
  <c r="CY37" i="14"/>
  <c r="CX37" i="14"/>
  <c r="CW37" i="14"/>
  <c r="CV37" i="14"/>
  <c r="CU37" i="14"/>
  <c r="CT37" i="14"/>
  <c r="CS37" i="14"/>
  <c r="CR37" i="14"/>
  <c r="DO37" i="14"/>
  <c r="DP37" i="14"/>
  <c r="CQ37" i="14"/>
  <c r="CP37" i="14"/>
  <c r="CO37" i="14"/>
  <c r="CN37" i="14"/>
  <c r="CM37" i="14"/>
  <c r="CL37" i="14"/>
  <c r="CK37" i="14"/>
  <c r="CJ37" i="14"/>
  <c r="CI37" i="14"/>
  <c r="CH37" i="14"/>
  <c r="CG37" i="14"/>
  <c r="CF37" i="14"/>
  <c r="CE37" i="14"/>
  <c r="CD37" i="14"/>
  <c r="CC37" i="14"/>
  <c r="CB37" i="14"/>
  <c r="CA37" i="14"/>
  <c r="BZ37" i="14"/>
  <c r="BY37" i="14"/>
  <c r="BX37" i="14"/>
  <c r="BW37" i="14"/>
  <c r="BV37" i="14"/>
  <c r="BT37" i="14"/>
  <c r="BS37" i="14"/>
  <c r="BR37" i="14"/>
  <c r="BQ37" i="14"/>
  <c r="BP37" i="14"/>
  <c r="BO37" i="14"/>
  <c r="BN37" i="14"/>
  <c r="BM37" i="14"/>
  <c r="BL37" i="14"/>
  <c r="BK37" i="14"/>
  <c r="BJ37" i="14"/>
  <c r="BI37" i="14"/>
  <c r="BH37" i="14"/>
  <c r="BG37" i="14"/>
  <c r="BF37" i="14"/>
  <c r="BE37" i="14"/>
  <c r="BD37" i="14"/>
  <c r="BC37" i="14"/>
  <c r="BB37" i="14"/>
  <c r="BA37" i="14"/>
  <c r="AZ37" i="14"/>
  <c r="AY37" i="14"/>
  <c r="AX37" i="14"/>
  <c r="AW37" i="14"/>
  <c r="DT36" i="14"/>
  <c r="DT34" i="14"/>
  <c r="AG37" i="14"/>
  <c r="DQ37" i="14"/>
  <c r="BU37" i="14"/>
  <c r="DT30" i="14"/>
  <c r="AD30" i="14"/>
  <c r="AE30" i="14"/>
  <c r="DT35" i="14"/>
  <c r="DN2" i="14"/>
  <c r="DO2" i="14" s="1"/>
  <c r="DP2" i="14" s="1"/>
  <c r="DQ2" i="14" s="1"/>
  <c r="DR2" i="14" s="1"/>
  <c r="DS2" i="14" s="1"/>
  <c r="DM2" i="14"/>
  <c r="AF36" i="7"/>
  <c r="CS36" i="7"/>
  <c r="DS36" i="7"/>
  <c r="CR36" i="7"/>
  <c r="AX36" i="7"/>
  <c r="BK36" i="7"/>
  <c r="DF36" i="7"/>
  <c r="DB36" i="7"/>
  <c r="DD36" i="7"/>
  <c r="CB36" i="7"/>
  <c r="DN36" i="7"/>
  <c r="AL36" i="7"/>
  <c r="DG36" i="7"/>
  <c r="CL36" i="7"/>
  <c r="CY36" i="7"/>
  <c r="CX36" i="7"/>
  <c r="BJ36" i="7"/>
  <c r="DC36" i="7"/>
  <c r="DR36" i="7"/>
  <c r="CK36" i="7"/>
  <c r="CV36" i="7"/>
  <c r="CU36" i="7"/>
  <c r="AH36" i="7"/>
  <c r="CZ36" i="7"/>
  <c r="AR36" i="7"/>
  <c r="DE36" i="7"/>
  <c r="BO36" i="7"/>
  <c r="CW36" i="7"/>
  <c r="CT36" i="7"/>
  <c r="AS36" i="7"/>
  <c r="CP36" i="7"/>
  <c r="BD36" i="7"/>
  <c r="CA36" i="7"/>
  <c r="AQ36" i="7"/>
  <c r="AT36" i="7"/>
  <c r="CC36" i="7"/>
  <c r="AG36" i="7"/>
  <c r="DH36" i="7"/>
  <c r="BP36" i="7"/>
  <c r="CO36" i="7"/>
  <c r="BC36" i="7"/>
  <c r="DO36" i="7"/>
  <c r="DA36" i="7"/>
  <c r="BW36" i="7"/>
  <c r="AY36" i="7"/>
  <c r="AM36" i="7"/>
  <c r="BV36" i="7"/>
  <c r="CI36" i="7"/>
  <c r="CH36" i="7"/>
  <c r="DP36" i="7"/>
  <c r="DQ36" i="7"/>
  <c r="DM36" i="7"/>
  <c r="DL36" i="7"/>
  <c r="DI36" i="7"/>
  <c r="DK36" i="7"/>
  <c r="DJ36" i="7"/>
  <c r="BI36" i="7"/>
  <c r="CF36" i="7"/>
  <c r="AV36" i="7"/>
  <c r="BL36" i="7"/>
  <c r="BS36" i="7"/>
  <c r="BG36" i="7"/>
  <c r="AU36" i="7"/>
  <c r="AI36" i="7"/>
  <c r="AO36" i="7"/>
  <c r="BA36" i="7"/>
  <c r="BM36" i="7"/>
  <c r="BY36" i="7"/>
  <c r="CM36" i="7"/>
  <c r="CG36" i="7"/>
  <c r="AW36" i="7"/>
  <c r="BT36" i="7"/>
  <c r="AJ36" i="7"/>
  <c r="AN36" i="7"/>
  <c r="BX36" i="7"/>
  <c r="CE36" i="7"/>
  <c r="BR36" i="7"/>
  <c r="BF36" i="7"/>
  <c r="AP36" i="7"/>
  <c r="BB36" i="7"/>
  <c r="BN36" i="7"/>
  <c r="BZ36" i="7"/>
  <c r="CN36" i="7"/>
  <c r="BU36" i="7"/>
  <c r="AK36" i="7"/>
  <c r="BH36" i="7"/>
  <c r="AZ36" i="7"/>
  <c r="CJ36" i="7"/>
  <c r="CD36" i="7"/>
  <c r="CQ36" i="7"/>
  <c r="BQ36" i="7"/>
  <c r="BE36" i="7"/>
  <c r="DD29" i="7" l="1"/>
  <c r="DE29" i="7"/>
  <c r="DF29" i="7"/>
  <c r="DG29" i="7"/>
  <c r="DH29" i="7"/>
  <c r="DI29" i="7"/>
  <c r="DJ29" i="7"/>
  <c r="DK29" i="7"/>
  <c r="DL29" i="7"/>
  <c r="DM29" i="7"/>
  <c r="DN29" i="7"/>
  <c r="DO29" i="7"/>
  <c r="DP29" i="7"/>
  <c r="DQ29" i="7"/>
  <c r="DR29" i="7"/>
  <c r="DS29" i="7"/>
  <c r="H21" i="7" l="1"/>
  <c r="DC29" i="7" l="1"/>
  <c r="DB29" i="7"/>
  <c r="DA29" i="7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V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B29" i="7"/>
  <c r="AA29" i="7"/>
  <c r="Z29" i="7"/>
  <c r="DT28" i="7"/>
  <c r="DT27" i="7"/>
  <c r="DT26" i="7"/>
  <c r="DT25" i="7"/>
  <c r="DT24" i="7"/>
  <c r="DT23" i="7"/>
  <c r="J23" i="7"/>
  <c r="F23" i="7"/>
  <c r="H23" i="7" s="1"/>
  <c r="DT22" i="7"/>
  <c r="H22" i="7"/>
  <c r="I22" i="7" s="1"/>
  <c r="J22" i="7" s="1"/>
  <c r="DT21" i="7"/>
  <c r="I21" i="7"/>
  <c r="J21" i="7" s="1"/>
  <c r="DT20" i="7"/>
  <c r="F20" i="7"/>
  <c r="DT19" i="7"/>
  <c r="F19" i="7"/>
  <c r="G19" i="7" s="1"/>
  <c r="I19" i="7" s="1"/>
  <c r="J19" i="7" s="1"/>
  <c r="DT18" i="7"/>
  <c r="I18" i="7"/>
  <c r="J18" i="7" s="1"/>
  <c r="DT17" i="7"/>
  <c r="F17" i="7"/>
  <c r="G17" i="7" s="1"/>
  <c r="I17" i="7" s="1"/>
  <c r="J17" i="7" s="1"/>
  <c r="DT16" i="7"/>
  <c r="I16" i="7"/>
  <c r="J16" i="7" s="1"/>
  <c r="DT15" i="7"/>
  <c r="I15" i="7"/>
  <c r="J15" i="7" s="1"/>
  <c r="DT14" i="7"/>
  <c r="J14" i="7"/>
  <c r="DT13" i="7"/>
  <c r="G13" i="7"/>
  <c r="I13" i="7" s="1"/>
  <c r="J13" i="7" s="1"/>
  <c r="DT12" i="7"/>
  <c r="G12" i="7"/>
  <c r="I12" i="7" s="1"/>
  <c r="J12" i="7" s="1"/>
  <c r="DT11" i="7"/>
  <c r="G11" i="7"/>
  <c r="I11" i="7" s="1"/>
  <c r="J11" i="7" s="1"/>
  <c r="DT10" i="7"/>
  <c r="F10" i="7"/>
  <c r="G10" i="7" s="1"/>
  <c r="I10" i="7" s="1"/>
  <c r="J10" i="7" s="1"/>
  <c r="DT9" i="7"/>
  <c r="G9" i="7"/>
  <c r="I9" i="7" s="1"/>
  <c r="J9" i="7" s="1"/>
  <c r="DT8" i="7"/>
  <c r="G8" i="7"/>
  <c r="I8" i="7" s="1"/>
  <c r="J8" i="7" s="1"/>
  <c r="DT7" i="7"/>
  <c r="I7" i="7"/>
  <c r="J7" i="7" s="1"/>
  <c r="DT6" i="7"/>
  <c r="G6" i="7"/>
  <c r="I6" i="7" s="1"/>
  <c r="J6" i="7" s="1"/>
  <c r="DT5" i="7"/>
  <c r="G5" i="7"/>
  <c r="I5" i="7" s="1"/>
  <c r="J5" i="7" s="1"/>
  <c r="DT4" i="7"/>
  <c r="G4" i="7"/>
  <c r="I4" i="7" s="1"/>
  <c r="J4" i="7" s="1"/>
  <c r="DT3" i="7"/>
  <c r="G3" i="7"/>
  <c r="I3" i="7" s="1"/>
  <c r="J3" i="7" s="1"/>
  <c r="AG2" i="7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BF2" i="7" s="1"/>
  <c r="BG2" i="7" s="1"/>
  <c r="BH2" i="7" s="1"/>
  <c r="BI2" i="7" s="1"/>
  <c r="BJ2" i="7" s="1"/>
  <c r="BK2" i="7" s="1"/>
  <c r="BL2" i="7" s="1"/>
  <c r="BM2" i="7" s="1"/>
  <c r="BN2" i="7" s="1"/>
  <c r="BO2" i="7" s="1"/>
  <c r="BP2" i="7" s="1"/>
  <c r="BQ2" i="7" s="1"/>
  <c r="BR2" i="7" s="1"/>
  <c r="BS2" i="7" s="1"/>
  <c r="BT2" i="7" s="1"/>
  <c r="BU2" i="7" s="1"/>
  <c r="BV2" i="7" s="1"/>
  <c r="BW2" i="7" s="1"/>
  <c r="BX2" i="7" s="1"/>
  <c r="BY2" i="7" s="1"/>
  <c r="BZ2" i="7" s="1"/>
  <c r="CA2" i="7" s="1"/>
  <c r="CB2" i="7" s="1"/>
  <c r="CC2" i="7" s="1"/>
  <c r="CD2" i="7" s="1"/>
  <c r="CE2" i="7" s="1"/>
  <c r="CF2" i="7" s="1"/>
  <c r="CG2" i="7" s="1"/>
  <c r="CH2" i="7" s="1"/>
  <c r="CI2" i="7" s="1"/>
  <c r="CJ2" i="7" s="1"/>
  <c r="CK2" i="7" s="1"/>
  <c r="CL2" i="7" s="1"/>
  <c r="CM2" i="7" s="1"/>
  <c r="CN2" i="7" s="1"/>
  <c r="CO2" i="7" s="1"/>
  <c r="CP2" i="7" s="1"/>
  <c r="CQ2" i="7" s="1"/>
  <c r="CR2" i="7" s="1"/>
  <c r="CS2" i="7" s="1"/>
  <c r="CT2" i="7" s="1"/>
  <c r="CU2" i="7" s="1"/>
  <c r="CV2" i="7" s="1"/>
  <c r="CW2" i="7" s="1"/>
  <c r="CX2" i="7" s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4" i="1"/>
  <c r="P10" i="1"/>
  <c r="Q10" i="1"/>
  <c r="P11" i="1"/>
  <c r="Q11" i="1"/>
  <c r="Q9" i="1"/>
  <c r="P9" i="1"/>
  <c r="Q8" i="1"/>
  <c r="P8" i="1"/>
  <c r="Q7" i="1"/>
  <c r="P7" i="1"/>
  <c r="Q6" i="1"/>
  <c r="P6" i="1"/>
  <c r="Q5" i="1"/>
  <c r="P5" i="1"/>
  <c r="Q4" i="1"/>
  <c r="P4" i="1"/>
  <c r="M33" i="1"/>
  <c r="M3" i="1"/>
  <c r="J3" i="1"/>
  <c r="P3" i="1"/>
  <c r="Q3" i="1"/>
  <c r="CM3" i="1"/>
  <c r="L33" i="1"/>
  <c r="D3" i="2"/>
  <c r="D2" i="2"/>
  <c r="C3" i="2"/>
  <c r="C5" i="2" s="1"/>
  <c r="C2" i="2"/>
  <c r="C10" i="5"/>
  <c r="C8" i="5"/>
  <c r="C9" i="5" s="1"/>
  <c r="Q13" i="1"/>
  <c r="N33" i="1"/>
  <c r="DT33" i="7" l="1"/>
  <c r="DT31" i="7"/>
  <c r="DT34" i="7"/>
  <c r="DT32" i="7"/>
  <c r="DT35" i="7"/>
  <c r="AE29" i="7"/>
  <c r="AD29" i="7"/>
  <c r="DT29" i="7"/>
  <c r="CY2" i="7"/>
  <c r="CZ2" i="7" s="1"/>
  <c r="DA2" i="7"/>
  <c r="DB2" i="7" s="1"/>
  <c r="DC2" i="7" s="1"/>
  <c r="DD2" i="7" s="1"/>
  <c r="DE2" i="7" s="1"/>
  <c r="CM33" i="1"/>
  <c r="E28" i="5"/>
  <c r="E27" i="5"/>
  <c r="E32" i="5"/>
  <c r="E23" i="5"/>
  <c r="E22" i="5"/>
  <c r="E35" i="5"/>
  <c r="E40" i="5"/>
  <c r="E41" i="5"/>
  <c r="E25" i="5"/>
  <c r="E24" i="5"/>
  <c r="E39" i="5"/>
  <c r="E30" i="5"/>
  <c r="E29" i="5"/>
  <c r="E38" i="5"/>
  <c r="E37" i="5"/>
  <c r="E34" i="5"/>
  <c r="E12" i="5"/>
  <c r="G12" i="5" s="1"/>
  <c r="M23" i="3"/>
  <c r="L23" i="3"/>
  <c r="I3" i="3"/>
  <c r="J3" i="3" s="1"/>
  <c r="O3" i="3"/>
  <c r="I4" i="3"/>
  <c r="J4" i="3" s="1"/>
  <c r="O4" i="3"/>
  <c r="I5" i="3"/>
  <c r="J5" i="3" s="1"/>
  <c r="O5" i="3"/>
  <c r="I6" i="3"/>
  <c r="J6" i="3"/>
  <c r="O6" i="3"/>
  <c r="I7" i="3"/>
  <c r="J7" i="3" s="1"/>
  <c r="O7" i="3"/>
  <c r="I8" i="3"/>
  <c r="J8" i="3"/>
  <c r="O8" i="3"/>
  <c r="I9" i="3"/>
  <c r="J9" i="3"/>
  <c r="O9" i="3"/>
  <c r="I10" i="3"/>
  <c r="J10" i="3"/>
  <c r="O10" i="3"/>
  <c r="I11" i="3"/>
  <c r="J11" i="3"/>
  <c r="O11" i="3"/>
  <c r="I12" i="3"/>
  <c r="J12" i="3"/>
  <c r="O12" i="3"/>
  <c r="I13" i="3"/>
  <c r="J13" i="3"/>
  <c r="O13" i="3"/>
  <c r="I14" i="3"/>
  <c r="J14" i="3"/>
  <c r="O14" i="3"/>
  <c r="I15" i="3"/>
  <c r="J15" i="3"/>
  <c r="O15" i="3"/>
  <c r="I16" i="3"/>
  <c r="J16" i="3"/>
  <c r="O16" i="3"/>
  <c r="O17" i="3"/>
  <c r="O18" i="3"/>
  <c r="O19" i="3"/>
  <c r="O20" i="3"/>
  <c r="O21" i="3"/>
  <c r="O22" i="3"/>
  <c r="G22" i="5" l="1"/>
  <c r="DF2" i="7"/>
  <c r="DG2" i="7" s="1"/>
  <c r="DH2" i="7" s="1"/>
  <c r="DI2" i="7" s="1"/>
  <c r="DJ2" i="7" s="1"/>
  <c r="DK2" i="7" s="1"/>
  <c r="DL2" i="7" s="1"/>
  <c r="G27" i="5"/>
  <c r="G37" i="5"/>
  <c r="G34" i="5"/>
  <c r="O23" i="3"/>
  <c r="DM2" i="7" l="1"/>
  <c r="DN2" i="7"/>
  <c r="DO2" i="7" s="1"/>
  <c r="DP2" i="7" s="1"/>
  <c r="DQ2" i="7" s="1"/>
  <c r="DR2" i="7" s="1"/>
  <c r="DS2" i="7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I15" i="1"/>
  <c r="J15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6" i="1"/>
  <c r="J16" i="1" s="1"/>
  <c r="I17" i="1"/>
  <c r="J17" i="1" s="1"/>
  <c r="I12" i="1"/>
  <c r="J12" i="1" s="1"/>
  <c r="I13" i="1"/>
  <c r="J13" i="1" s="1"/>
  <c r="I14" i="1"/>
  <c r="J14" i="1" s="1"/>
  <c r="Q12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Q33" i="1" l="1"/>
  <c r="BX2" i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P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C1" authorId="0" shapeId="0" xr:uid="{E46C1A49-31AB-49D9-B1D2-3367EA9211E7}">
      <text>
        <r>
          <rPr>
            <b/>
            <sz val="9"/>
            <color indexed="81"/>
            <rFont val="Tahoma"/>
            <family val="2"/>
          </rPr>
          <t>Minas Kamel:</t>
        </r>
        <r>
          <rPr>
            <sz val="9"/>
            <color indexed="81"/>
            <rFont val="Tahoma"/>
            <family val="2"/>
          </rPr>
          <t xml:space="preserve">
Assumption: Teams do 25 points a day
</t>
        </r>
      </text>
    </comment>
    <comment ref="C12" authorId="0" shapeId="0" xr:uid="{5D602C8D-9078-4B88-B34B-FC4E44EAE43D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Funsho's:
</t>
        </r>
        <r>
          <rPr>
            <sz val="9"/>
            <color rgb="FF000000"/>
            <rFont val="Tahoma"/>
            <family val="2"/>
          </rPr>
          <t xml:space="preserve">- Auto Allocate
</t>
        </r>
        <r>
          <rPr>
            <sz val="9"/>
            <color rgb="FF000000"/>
            <rFont val="Tahoma"/>
            <family val="2"/>
          </rPr>
          <t>- Carbon Reporting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C17" authorId="0" shapeId="0" xr:uid="{8F71704F-BEFA-964F-8AFE-0ADD6973A2A3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Richard?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Minas Kamel</author>
  </authors>
  <commentList>
    <comment ref="B3" authorId="0" shapeId="0" xr:uid="{69ED9F75-8944-49DF-AD02-AE13995FAC23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Funsho's:
</t>
        </r>
        <r>
          <rPr>
            <sz val="9"/>
            <color rgb="FF000000"/>
            <rFont val="Tahoma"/>
            <family val="2"/>
          </rPr>
          <t xml:space="preserve">- Auto Allocate
</t>
        </r>
        <r>
          <rPr>
            <sz val="9"/>
            <color rgb="FF000000"/>
            <rFont val="Tahoma"/>
            <family val="2"/>
          </rPr>
          <t>- Carbon Reporting</t>
        </r>
      </text>
    </comment>
    <comment ref="C20" authorId="0" shapeId="0" xr:uid="{CCBA0613-C122-45B2-80C6-E11986160E81}">
      <text>
        <r>
          <rPr>
            <b/>
            <sz val="9"/>
            <color indexed="81"/>
            <rFont val="Tahoma"/>
            <family val="2"/>
          </rPr>
          <t>Minas Kamel:</t>
        </r>
        <r>
          <rPr>
            <sz val="9"/>
            <color indexed="81"/>
            <rFont val="Tahoma"/>
            <family val="2"/>
          </rPr>
          <t xml:space="preserve">
Richard?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tc={F481CAAD-5AFB-45B9-AFD1-EABBC5AA5F52}</author>
    <author>Minas Kamel</author>
  </authors>
  <commentList>
    <comment ref="H16" authorId="0" shapeId="0" xr:uid="{F481CAAD-5AFB-45B9-AFD1-EABBC5AA5F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@Richard Casey  marking this one as done since the UI design from the SRS (and Jonny’s POC) is sufficient </t>
      </text>
    </comment>
    <comment ref="C17" authorId="1" shapeId="0" xr:uid="{3EC25A7F-940B-B24E-B527-AEC36DD4CD22}">
      <text>
        <r>
          <rPr>
            <b/>
            <sz val="9"/>
            <color rgb="FF000000"/>
            <rFont val="Tahoma"/>
            <family val="2"/>
          </rPr>
          <t>Minas Kamel: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Richard?</t>
        </r>
      </text>
    </comment>
  </commentList>
</comments>
</file>

<file path=xl/sharedStrings.xml><?xml version="1.0" encoding="utf-8"?>
<sst xmlns="http://schemas.openxmlformats.org/spreadsheetml/2006/main" count="2883" uniqueCount="520">
  <si>
    <t>Design Due Dates</t>
  </si>
  <si>
    <t xml:space="preserve">  Workstream</t>
  </si>
  <si>
    <t>Owner</t>
  </si>
  <si>
    <t>NH upfront clarifcation needed?</t>
  </si>
  <si>
    <t xml:space="preserve">PRD (sent to NH for review)   </t>
  </si>
  <si>
    <t>NH Sign Off</t>
  </si>
  <si>
    <t>VIGO: UI/UX Design</t>
  </si>
  <si>
    <t>Internal: UI/UX Design</t>
  </si>
  <si>
    <t>SA (Technical Solution Design)</t>
  </si>
  <si>
    <t>All Design Activities Due Date</t>
  </si>
  <si>
    <t>Epics</t>
  </si>
  <si>
    <t>Story Point Estimate for Dev</t>
  </si>
  <si>
    <t>Assumed Estimate</t>
  </si>
  <si>
    <t>Team Days  (current 25SP/d)</t>
  </si>
  <si>
    <t>Estimate Build – Carbon</t>
  </si>
  <si>
    <t>Venkatesh &amp; Funsho</t>
  </si>
  <si>
    <t>N/A</t>
  </si>
  <si>
    <t>VER10-8954, VER10-9428, VER10-9464, VER10-9527, VER10-9523</t>
  </si>
  <si>
    <t xml:space="preserve"> </t>
  </si>
  <si>
    <t xml:space="preserve"> Interim Forecasting Tool</t>
  </si>
  <si>
    <t>Venkatesh</t>
  </si>
  <si>
    <t xml:space="preserve">VER10-8678, VER10-8680, VER10-8682, VER10-8858,, VER10-8679, VER10-8921, VER10-9049,, VER10-9128, </t>
  </si>
  <si>
    <t xml:space="preserve"> Long-Term Appraisal</t>
  </si>
  <si>
    <t>Funsho</t>
  </si>
  <si>
    <t>Fri 12 Dec 2025 (Done on time)</t>
  </si>
  <si>
    <t>VER10-8565</t>
  </si>
  <si>
    <t xml:space="preserve">Comparator </t>
  </si>
  <si>
    <t>Y</t>
  </si>
  <si>
    <t>19/12/2025 (Done on time)</t>
  </si>
  <si>
    <t>VER10-8953</t>
  </si>
  <si>
    <t>Workflow </t>
  </si>
  <si>
    <t>Wed 17 Dec 2025 (1 day delay)</t>
  </si>
  <si>
    <t>VER10-9028</t>
  </si>
  <si>
    <t>Tasks</t>
  </si>
  <si>
    <t>VER10-9027</t>
  </si>
  <si>
    <t>Portfolio/Programme Risk</t>
  </si>
  <si>
    <t>VER10-9494</t>
  </si>
  <si>
    <t>Calculators/Cost Models (Chapter 10)</t>
  </si>
  <si>
    <t>Minas</t>
  </si>
  <si>
    <t>Thu 18 Dec 2025 (Done on time)</t>
  </si>
  <si>
    <t>No Epic</t>
  </si>
  <si>
    <t>Scenario Analysis (Chapter 7)</t>
  </si>
  <si>
    <t>Venkatesh? (TBC)</t>
  </si>
  <si>
    <t>Fri, 13 Feb 2026</t>
  </si>
  <si>
    <t>Fri, 20 Feb 2026</t>
  </si>
  <si>
    <t>VER10-8958</t>
  </si>
  <si>
    <t>Star Rates</t>
  </si>
  <si>
    <t>Minas? (TBC)</t>
  </si>
  <si>
    <t>TPE</t>
  </si>
  <si>
    <t>VER10-9184</t>
  </si>
  <si>
    <t>Dashboards (Power BI)</t>
  </si>
  <si>
    <t>Contractor Fee Library</t>
  </si>
  <si>
    <t>VER10-9271</t>
  </si>
  <si>
    <t>System Access</t>
  </si>
  <si>
    <t>Audit Log</t>
  </si>
  <si>
    <t>?</t>
  </si>
  <si>
    <t>VER10-8955</t>
  </si>
  <si>
    <t>WBS Tags and Custom Fields</t>
  </si>
  <si>
    <t>Done</t>
  </si>
  <si>
    <t>VER10-8916, VER10-8268</t>
  </si>
  <si>
    <t>Need Estimate</t>
  </si>
  <si>
    <t>Reporting Foundation Admin</t>
  </si>
  <si>
    <t>VER10-8476</t>
  </si>
  <si>
    <t>Inflation</t>
  </si>
  <si>
    <t>VER10-8903, VER10-8570</t>
  </si>
  <si>
    <t>AR and O&amp;M fixed reports</t>
  </si>
  <si>
    <t>VER10-7878, VER10-7879</t>
  </si>
  <si>
    <t>CCESS</t>
  </si>
  <si>
    <t>VER10-6966</t>
  </si>
  <si>
    <t>per week</t>
  </si>
  <si>
    <t>whole team</t>
  </si>
  <si>
    <t>Required per team per day</t>
  </si>
  <si>
    <t>Ideal per team per day</t>
  </si>
  <si>
    <t>per dev per day</t>
  </si>
  <si>
    <t># points / week</t>
  </si>
  <si>
    <t>Team 1
Venkatesh &amp; Sunjeet (3 devs)</t>
  </si>
  <si>
    <t>Regression/UAT</t>
  </si>
  <si>
    <t>UAT</t>
  </si>
  <si>
    <t>Team 2
Minas &amp; Manish (3 devs)</t>
  </si>
  <si>
    <t>Team 3
Minas &amp; Vivek (2 devs)</t>
  </si>
  <si>
    <t>Team 4
Venkatesh &amp; Amit (4 devs)</t>
  </si>
  <si>
    <t>Team 5
Minas &amp; Laurence (2 devs)</t>
  </si>
  <si>
    <t>TOTAL</t>
  </si>
  <si>
    <t>To deliver 1500 points (weeks)</t>
  </si>
  <si>
    <t>To deliver 1500 points in 9 weeks (SP per week)</t>
  </si>
  <si>
    <t>Team</t>
  </si>
  <si>
    <t>Epic</t>
  </si>
  <si>
    <t>Reduced Estimate</t>
  </si>
  <si>
    <t># weeks</t>
  </si>
  <si>
    <t>Dependent On</t>
  </si>
  <si>
    <t>Extra Weeks</t>
  </si>
  <si>
    <t>Team 1
Venkatesh &amp; Sunjeet</t>
  </si>
  <si>
    <t>Carbon (incl EPD, Auto Allocate)</t>
  </si>
  <si>
    <t>Carbon Resource Library</t>
  </si>
  <si>
    <t>Carbon Item Library</t>
  </si>
  <si>
    <t>Carbon Resource</t>
  </si>
  <si>
    <t>WBS Carbon &amp; Calc</t>
  </si>
  <si>
    <t>Carbon Libraries</t>
  </si>
  <si>
    <t>Baseline Assumption</t>
  </si>
  <si>
    <t>EPD</t>
  </si>
  <si>
    <t>Cost to Carbon Library</t>
  </si>
  <si>
    <t>Carbon WBS</t>
  </si>
  <si>
    <t>Auto-Allocate</t>
  </si>
  <si>
    <t>Carbon Reports</t>
  </si>
  <si>
    <t>-</t>
  </si>
  <si>
    <t>Team 2
Minas &amp; Manish</t>
  </si>
  <si>
    <t>LTA</t>
  </si>
  <si>
    <t>IFT?</t>
  </si>
  <si>
    <t>Team 3
Minas &amp; Vivek</t>
  </si>
  <si>
    <t>Carbon &amp; Reporting Foundation Admin</t>
  </si>
  <si>
    <t>Carbon</t>
  </si>
  <si>
    <t>Workflow</t>
  </si>
  <si>
    <t>Team 4
Venkatesh &amp; Amit</t>
  </si>
  <si>
    <t>Supply Chain - Interim Forecasting Tool</t>
  </si>
  <si>
    <t>Team 5
Minas &amp; Laurence</t>
  </si>
  <si>
    <t>Calculators/Cost Models</t>
  </si>
  <si>
    <t>Scenario Analysis</t>
  </si>
  <si>
    <t>Comparator</t>
  </si>
  <si>
    <t>Work Streams</t>
  </si>
  <si>
    <t>Jonny?</t>
  </si>
  <si>
    <t>Topic</t>
  </si>
  <si>
    <t>Meeting (UK timezone)</t>
  </si>
  <si>
    <t>Meeting (AU timezone)</t>
  </si>
  <si>
    <t>Notes</t>
  </si>
  <si>
    <t>EPD/Cost to Carbon Factor</t>
  </si>
  <si>
    <t>Tue 23rd Dec 10PM-11PM</t>
  </si>
  <si>
    <t>Wed 24th Dec 9AM-10AM</t>
  </si>
  <si>
    <t>Meeting done</t>
  </si>
  <si>
    <t>Wed 24th Dec 8AM-9:30AM</t>
  </si>
  <si>
    <t>Wed24th Dec 7PM-8:30PM</t>
  </si>
  <si>
    <t>TPE &amp; Auto Allocate (Cost &amp; Carbon)</t>
  </si>
  <si>
    <t>Sun 28th Dec 10PM-11:30PM</t>
  </si>
  <si>
    <t>Mon 29th Dec 9AM-10:30AM</t>
  </si>
  <si>
    <t>Mon 29th Dec 7AM-8:30AM</t>
  </si>
  <si>
    <t>Mon 29th Dec 6PM-7:30PM</t>
  </si>
  <si>
    <t>Supply Chain - Interim Forecasting Tool (incl EPD)</t>
  </si>
  <si>
    <t>Venkatesh needs meeting with NH</t>
  </si>
  <si>
    <t>UK</t>
  </si>
  <si>
    <t>AU</t>
  </si>
  <si>
    <t>Status</t>
  </si>
  <si>
    <t>Mark's avail.</t>
  </si>
  <si>
    <t>Wed 24th Dec UK morning</t>
  </si>
  <si>
    <t>Wed 24th AU evening</t>
  </si>
  <si>
    <t>Taken</t>
  </si>
  <si>
    <t>Sat 27th Dec 7AM-9AM</t>
  </si>
  <si>
    <t>Sat 27th Dec 6PM-8PM</t>
  </si>
  <si>
    <t>X</t>
  </si>
  <si>
    <t>Sun 28th Dec 7AM-9AM</t>
  </si>
  <si>
    <t>Sun 28th Dec 6PM-8PM</t>
  </si>
  <si>
    <t>Mon 29th Dec 7AM-9AM</t>
  </si>
  <si>
    <t>Mon 29th Dec 6PM-8PM</t>
  </si>
  <si>
    <t>Mon 29th Dec 10PM-11:30PM</t>
  </si>
  <si>
    <t>Tue 30th Dec 9AM-10:30AM</t>
  </si>
  <si>
    <t>After MVP deadline (Mon 29th)</t>
  </si>
  <si>
    <t>Fri 2nd Jan UK morning</t>
  </si>
  <si>
    <t>Fri 2nd Jan AU evening</t>
  </si>
  <si>
    <t>ID</t>
  </si>
  <si>
    <t>Action</t>
  </si>
  <si>
    <t>Raised Date</t>
  </si>
  <si>
    <t>Due Date / RAG</t>
  </si>
  <si>
    <t>A06</t>
  </si>
  <si>
    <t>Finalise onboarding plan for 4 additional engineers chase profiles and shortlist</t>
  </si>
  <si>
    <t>Jerome</t>
  </si>
  <si>
    <t>In progress</t>
  </si>
  <si>
    <t>A26</t>
  </si>
  <si>
    <t>Continue monitoring NH PRD sign-off behaviour and flag governance risk early</t>
  </si>
  <si>
    <t>Richard</t>
  </si>
  <si>
    <t>Ongoing</t>
  </si>
  <si>
    <t>Open</t>
  </si>
  <si>
    <t>A32</t>
  </si>
  <si>
    <t>Risk around TPE and the amount if work to be done in the last Sprint</t>
  </si>
  <si>
    <t>Richard/Jerome</t>
  </si>
  <si>
    <t>A33</t>
  </si>
  <si>
    <t>Capacity / Velocity Concerns</t>
  </si>
  <si>
    <t>Condition</t>
  </si>
  <si>
    <t>P1 &gt; 0</t>
  </si>
  <si>
    <t>🔴 Escalation</t>
  </si>
  <si>
    <t>P1 = 0 AND Open defects ↑ for 2+ days</t>
  </si>
  <si>
    <t>🟠 Watch</t>
  </si>
  <si>
    <t>Open defects ↓ OR steady &amp; closures happening</t>
  </si>
  <si>
    <t>🟢 Stable</t>
  </si>
  <si>
    <t>Release 1D</t>
  </si>
  <si>
    <t>Release 2A</t>
  </si>
  <si>
    <t>Date</t>
  </si>
  <si>
    <t>Raised by NH</t>
  </si>
  <si>
    <t>No P1's</t>
  </si>
  <si>
    <t>Total Open Defects</t>
  </si>
  <si>
    <t>Total Closed Today</t>
  </si>
  <si>
    <t>Daily Status</t>
  </si>
  <si>
    <t>Total No Defects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</si>
  <si>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</si>
  <si>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</si>
  <si>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</si>
  <si>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</si>
  <si>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</si>
  <si>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</si>
  <si>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</si>
  <si>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</si>
  <si>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</si>
  <si>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</si>
  <si>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</si>
  <si>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</si>
  <si>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</si>
  <si>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</si>
  <si>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TBC</t>
  </si>
  <si>
    <t>28/01/2026</t>
  </si>
  <si>
    <t>29/01/2026</t>
  </si>
  <si>
    <t>30/01/2026</t>
  </si>
  <si>
    <t>31/01/2026</t>
  </si>
  <si>
    <t>01/02/2026</t>
  </si>
  <si>
    <t>Master R1D Defect View - BMJIRA</t>
  </si>
  <si>
    <t>Gate</t>
  </si>
  <si>
    <t>Rationale</t>
  </si>
  <si>
    <t>Pass Criteria (Evidence Required)</t>
  </si>
  <si>
    <t>SPRINT 35</t>
  </si>
  <si>
    <t>SPRINT 36</t>
  </si>
  <si>
    <t>SPRINT 37</t>
  </si>
  <si>
    <t xml:space="preserve"> Interim Forecasting Tool (incl EPD)</t>
  </si>
  <si>
    <t>SPRINT 38</t>
  </si>
  <si>
    <t>SCOPE REFINEMENT</t>
  </si>
  <si>
    <t>1. Individual PRDs Drafted</t>
  </si>
  <si>
    <t>Ensures scope and requirements are explicit before design and build begin, avoiding downstream rework and ambiguity.</t>
  </si>
  <si>
    <t>Sprint 35</t>
  </si>
  <si>
    <t>Sprint 36+37</t>
  </si>
  <si>
    <t>Sprint 36</t>
  </si>
  <si>
    <t>Sprint 38</t>
  </si>
  <si>
    <t>Sprint 38+39</t>
  </si>
  <si>
    <t>Sprint 39</t>
  </si>
  <si>
    <t>• PRDs drafted for each of the MVP epics</t>
  </si>
  <si>
    <t>No PRD Req</t>
  </si>
  <si>
    <t>• Functional requirements prioritised (Must / Should / Deferred)</t>
  </si>
  <si>
    <t>• In-scope vs out-of-scope clearly defined</t>
  </si>
  <si>
    <t>• Dependencies and assumptions explicitly documented</t>
  </si>
  <si>
    <t>2. PRDs Reviewed &amp; Signed Off (NH)</t>
  </si>
  <si>
    <t>Confirms shared understanding and agreement with NH to prevent late scope disputes or rework.</t>
  </si>
  <si>
    <t>• NH review completed</t>
  </si>
  <si>
    <t>• Explicit NH sign-off received</t>
  </si>
  <si>
    <t>• No open scope alignment questions</t>
  </si>
  <si>
    <t>• Any gaps documented, escalated and resolved</t>
  </si>
  <si>
    <t>DESIGN STAGES</t>
  </si>
  <si>
    <t>3. UX/UI Designs Completed</t>
  </si>
  <si>
    <t>Richard (coordination)</t>
  </si>
  <si>
    <t>Prevents design churn during development and ensures build teams are working from stable designs.</t>
  </si>
  <si>
    <t>• UX/UI designs completed for all in-scope MVP flows</t>
  </si>
  <si>
    <t>• Designs reviewed and accepted internally</t>
  </si>
  <si>
    <t>• Ownership agreed (Vigo vs in-house)</t>
  </si>
  <si>
    <t>• No critical design work outstanding for sprint execution</t>
  </si>
  <si>
    <t>4. Solution Architectures (SAs) Drafted</t>
  </si>
  <si>
    <t>Grounds delivery commitments in technical reality and surfaces assumptions, risks, and trade-offs early.</t>
  </si>
  <si>
    <t>• SAs drafted for each epic</t>
  </si>
  <si>
    <t>• Architecture simplified to MVP</t>
  </si>
  <si>
    <t>• Technical assumptions and risks explicit</t>
  </si>
  <si>
    <t>• Key trade-offs documented</t>
  </si>
  <si>
    <t>5. SAs Reviewed &amp; Approved</t>
  </si>
  <si>
    <t>Locks technical feasibility before commitments are made and avoids late architectural rework.</t>
  </si>
  <si>
    <t>• SAs reviewed and approved</t>
  </si>
  <si>
    <t>• Risks accepted or mitigated</t>
  </si>
  <si>
    <t>• No unresolved feasibility questions</t>
  </si>
  <si>
    <t>• Delivery implications understood by Delivery Manager</t>
  </si>
  <si>
    <t>6. Performance-Aware Design Approved</t>
  </si>
  <si>
    <t>Yoong</t>
  </si>
  <si>
    <t>Ensures design and architectural decisions do not inherently introduce performance, scalability, or data-related risk.</t>
  </si>
  <si>
    <t>• NFR defined (SLOs, throughput, user capacity)</t>
  </si>
  <si>
    <t>• Scalability expectations, complexity and data volume projections documented</t>
  </si>
  <si>
    <t xml:space="preserve">• Database schema optimised with indexing strategy </t>
  </si>
  <si>
    <t>• APIs follows performance best practices</t>
  </si>
  <si>
    <t>SPRINT SCHEDULING</t>
  </si>
  <si>
    <t>7. Sprint Planning by Epic Completed</t>
  </si>
  <si>
    <t>Ensures execution commitments are realistic, capacity-aligned, and dependency-aware before development starts.</t>
  </si>
  <si>
    <t>• Sprint plan complete by epic</t>
  </si>
  <si>
    <t>• Scope aligned to PRDs, UX/UI, and SAs</t>
  </si>
  <si>
    <t>• Dependencies explicit</t>
  </si>
  <si>
    <t>• Capacity and story points validated</t>
  </si>
  <si>
    <t>EXECUTION / DELIVERY</t>
  </si>
  <si>
    <t>8. Development Complete &amp; Code Integrated</t>
  </si>
  <si>
    <t>Confirms committed sprint scope is fully built and integrated into the shared codebase, ready for formal QA/system testing.</t>
  </si>
  <si>
    <t>• All committed stories meet Definition of Done</t>
  </si>
  <si>
    <t>• Code merged to agreed branch with peer reviews completed</t>
  </si>
  <si>
    <t>• Sprint review completed and recorded</t>
  </si>
  <si>
    <t>• Integration complete across in-scope components</t>
  </si>
  <si>
    <t>• No gating integration issues preventing QA execution</t>
  </si>
  <si>
    <t>9. System/QA Testing Completed</t>
  </si>
  <si>
    <t>Owner: Hema
Oversight: Caroline</t>
  </si>
  <si>
    <t>Purpose:
Validates functional correctness, system stability, and regression safety prior to Internal and NH UAT.
Exit Evidence: QA summary report, defect status, QA sign-off</t>
  </si>
  <si>
    <t>• Unit testing completed for all in-scope BE/FE components</t>
  </si>
  <si>
    <t>• Full regression testing executed:
   •  All epics deployed to Regression
   •  End-to-end regression pass completed (≈ 5 days)
   • Deployment approach confirmed with Dev teams (Yoong)</t>
  </si>
  <si>
    <t>• Defect position agreed:
   • Critical / High defects resolved, or
   • Explicitly accepted with documented risk and approval</t>
  </si>
  <si>
    <t>• QA Test Summary Report completed and shared (Hema)</t>
  </si>
  <si>
    <t>• Formal QA sign-off provided (Hema, with Caroline review)</t>
  </si>
  <si>
    <r>
      <rPr>
        <b/>
        <sz val="11"/>
        <color rgb="FF000000"/>
        <rFont val="Calibri"/>
        <family val="2"/>
      </rPr>
      <t xml:space="preserve">10. Platform Performance &amp; System Readiness Approved
</t>
    </r>
    <r>
      <rPr>
        <sz val="8"/>
        <color rgb="FFFF0000"/>
        <rFont val="Calibri"/>
        <family val="2"/>
      </rPr>
      <t>Dependencies / risks: Observability capability requires build-out</t>
    </r>
  </si>
  <si>
    <t>Purpose:
Confirms the system can safely operate at expected scale without unacceptable performance, stability, or reliability risk.
Exit Evidence: Performance results, monitoring confirmation, readiness sign-off</t>
  </si>
  <si>
    <t>• Data Load &amp; Scale
– Performance and load tests executed
– Results conform to agreed thresholds (capacity headroom, error rate)
– Estimated duration: 2–3 days</t>
  </si>
  <si>
    <t>• Regression Protection
– No performance degradation beyond agreed threshold (≤5%)</t>
  </si>
  <si>
    <t>• Observability &amp; Recovery
– Monitoring and alerting operational
– Logging and diagnostics available to support UAT defect triage
– Recovery / rollback approach defined</t>
  </si>
  <si>
    <t>11. DevOps Deployment to UAT</t>
  </si>
  <si>
    <t>Ensures the solution is correctly deployed, configured, and stable in the UAT environment.
QA sign-off (Stage 9)
Platform readiness approval (Stage 10)</t>
  </si>
  <si>
    <t>• Successful deployment to UAT completed
– Deployment executed from approved code baseline
– Known risk: data-related challenges (tracked and communicated)</t>
  </si>
  <si>
    <t>• Environment configuration validated
– Feature flags, config values, integrations aligned to release scope</t>
  </si>
  <si>
    <r>
      <rPr>
        <sz val="11"/>
        <color rgb="FF000000"/>
        <rFont val="Calibri"/>
        <family val="2"/>
      </rPr>
      <t xml:space="preserve">• Monitoring, logging, and </t>
    </r>
    <r>
      <rPr>
        <sz val="11"/>
        <color rgb="FFFF0000"/>
        <rFont val="Calibri"/>
        <family val="2"/>
      </rPr>
      <t>rollback</t>
    </r>
    <r>
      <rPr>
        <sz val="11"/>
        <color rgb="FF000000"/>
        <rFont val="Calibri"/>
        <family val="2"/>
      </rPr>
      <t xml:space="preserve"> in place</t>
    </r>
  </si>
  <si>
    <t>• Release notes shared with Internal UAT</t>
  </si>
  <si>
    <t>12. Internal UAT</t>
  </si>
  <si>
    <t>Caroline</t>
  </si>
  <si>
    <t>Validates end-to-end functionality, stability, and UAT readiness through internal scenario execution, defect triage, and stakeholder artefact preparation prior to NH business testing.
Exit evidence: Internal UAT status, defect summary, readiness confirmation</t>
  </si>
  <si>
    <t>• Internal UAT execution completed for all in-scope scenarios</t>
  </si>
  <si>
    <t>• Defects triaged and dispositioned (fix / defer / accept)</t>
  </si>
  <si>
    <t>• External UAT environment confirmed ready</t>
  </si>
  <si>
    <t>• Demo recording completed for NH</t>
  </si>
  <si>
    <t>• Training documentation completed and internally reviewed for NH</t>
  </si>
  <si>
    <t>• Release notes, training docs and demo shared with NH UAT stakeholders</t>
  </si>
  <si>
    <t>13. NH UAT Completed &amp; Accepted</t>
  </si>
  <si>
    <t>Confirms solution meets business needs and is approved for production readiness.
Outcome: Release approved for onward promotion (subject to programme governance)</t>
  </si>
  <si>
    <t>• UAT scenarios executed for all in-scope flows</t>
  </si>
  <si>
    <t>• Business acceptance criteria met</t>
  </si>
  <si>
    <t>• No unresolved critical/high UAT defects</t>
  </si>
  <si>
    <t>• Formal UAT sign-off received</t>
  </si>
  <si>
    <t>Dev Start</t>
  </si>
  <si>
    <t>Dev Finish</t>
  </si>
  <si>
    <t>SG1</t>
  </si>
  <si>
    <t>SG2</t>
  </si>
  <si>
    <t>SG3</t>
  </si>
  <si>
    <t>SG4</t>
  </si>
  <si>
    <t>SG5</t>
  </si>
  <si>
    <t>SG6</t>
  </si>
  <si>
    <t>SG7</t>
  </si>
  <si>
    <t>SG8</t>
  </si>
  <si>
    <t>SG9</t>
  </si>
  <si>
    <t>SG10</t>
  </si>
  <si>
    <t>SG11</t>
  </si>
  <si>
    <t>SG12</t>
  </si>
  <si>
    <t>Original Estimate</t>
  </si>
  <si>
    <t>Updated Estimate</t>
  </si>
  <si>
    <t>Priority</t>
  </si>
  <si>
    <t>Allocated Team</t>
  </si>
  <si>
    <t>Team Work Days (7 SP pd)</t>
  </si>
  <si>
    <t>Team Work Days (8 SP pd)</t>
  </si>
  <si>
    <t>Total</t>
  </si>
  <si>
    <t>√</t>
  </si>
  <si>
    <t>https://benchmarkestimating.atlassian.net/browse/VER10-9428</t>
  </si>
  <si>
    <t xml:space="preserve">Team 1  </t>
  </si>
  <si>
    <t>https://benchmarkestimating.atlassian.net/browse/VER10-9373</t>
  </si>
  <si>
    <t>Team 4</t>
  </si>
  <si>
    <t>F</t>
  </si>
  <si>
    <t>Import / Export</t>
  </si>
  <si>
    <t>Venkatesh / Amit S.</t>
  </si>
  <si>
    <t>Sprint 37</t>
  </si>
  <si>
    <t>Venkatesh / Sunjeet</t>
  </si>
  <si>
    <t>Team 1</t>
  </si>
  <si>
    <t>Venkatesh / Amit S</t>
  </si>
  <si>
    <t xml:space="preserve">Fri 12 Dec 2025 </t>
  </si>
  <si>
    <t>VER10-8678, VER10-8680, VER10-8682, VER10-8858, VER10-8679, VER10-8921, VER10-9049, VER10-9128</t>
  </si>
  <si>
    <t>Minas / Manish</t>
  </si>
  <si>
    <t>VER10-9697, VER10-9698, VER10-9699, VER10-9700, VER10-9701, VER10-9702</t>
  </si>
  <si>
    <t>Team 2</t>
  </si>
  <si>
    <t>Minas / Laurence</t>
  </si>
  <si>
    <t>Team 5</t>
  </si>
  <si>
    <t>Minas / Vivek</t>
  </si>
  <si>
    <t>Team 3</t>
  </si>
  <si>
    <t>Fri 12 Dec 2025</t>
  </si>
  <si>
    <t>Mon 22 Dec 2025</t>
  </si>
  <si>
    <t>Thu 18 Dec 2025</t>
  </si>
  <si>
    <t>Fri 9 Jan 2025</t>
  </si>
  <si>
    <t>Dashboard Team</t>
  </si>
  <si>
    <t>VER10-8452</t>
  </si>
  <si>
    <t>VER10-8955, VER10-6972</t>
  </si>
  <si>
    <t xml:space="preserve">Custom Field Filtering </t>
  </si>
  <si>
    <t>Key</t>
  </si>
  <si>
    <t>For this week</t>
  </si>
  <si>
    <t>Complete</t>
  </si>
  <si>
    <t>At risk (Mitigation)</t>
  </si>
  <si>
    <t>Blocked/Late</t>
  </si>
  <si>
    <t>Sprint Dates</t>
  </si>
  <si>
    <t>Starts</t>
  </si>
  <si>
    <t>Ends</t>
  </si>
  <si>
    <t>19/01/26</t>
  </si>
  <si>
    <t>02/02/26</t>
  </si>
  <si>
    <t>16/02/26</t>
  </si>
  <si>
    <t>02/03/26</t>
  </si>
  <si>
    <t>16/03/26</t>
  </si>
  <si>
    <t>27/03/26</t>
  </si>
  <si>
    <t>Escalations Week Commencing 26-Jan</t>
  </si>
  <si>
    <t>Escalation Date</t>
  </si>
  <si>
    <t xml:space="preserve">Escalation  </t>
  </si>
  <si>
    <t>Raised by</t>
  </si>
  <si>
    <t>Stage Gate</t>
  </si>
  <si>
    <t>Escalation Owner</t>
  </si>
  <si>
    <t>Due Date</t>
  </si>
  <si>
    <t>RAG</t>
  </si>
  <si>
    <t>Resolved Date</t>
  </si>
  <si>
    <t>Commentary</t>
  </si>
  <si>
    <t>Week Commencing (12th)</t>
  </si>
  <si>
    <t>PRD Review - IFT</t>
  </si>
  <si>
    <t>SG2 - NH Sign-Off</t>
  </si>
  <si>
    <t>NH review completed / Sprint 39 to be added so replan can happen</t>
  </si>
  <si>
    <t>SA - Import/Export</t>
  </si>
  <si>
    <t>SG5 -SA Review</t>
  </si>
  <si>
    <t>No import/export in SG tracker?</t>
  </si>
  <si>
    <t>SA - Cost Models/Calculators</t>
  </si>
  <si>
    <t>No Cost models/Calcs in SG tracker?</t>
  </si>
  <si>
    <t>LTA UI/UX + SA at risk for 30/01/2026</t>
  </si>
  <si>
    <t>SG3 + SG4</t>
  </si>
  <si>
    <t>Comparator UI/UX at risk</t>
  </si>
  <si>
    <t xml:space="preserve">SG3  </t>
  </si>
  <si>
    <t>Review of Sprint Plan / Sequencing of PRD/SA etc</t>
  </si>
  <si>
    <r>
      <t xml:space="preserve">🟢 </t>
    </r>
    <r>
      <rPr>
        <b/>
        <sz val="12"/>
        <color theme="1"/>
        <rFont val="Aptos Narrow"/>
        <scheme val="minor"/>
      </rPr>
      <t>Green</t>
    </r>
    <r>
      <rPr>
        <sz val="12"/>
        <color theme="1"/>
        <rFont val="Aptos Narrow"/>
        <scheme val="minor"/>
      </rPr>
      <t xml:space="preserve"> – On track / no dependency risk</t>
    </r>
  </si>
  <si>
    <r>
      <t xml:space="preserve">🟡 </t>
    </r>
    <r>
      <rPr>
        <b/>
        <sz val="12"/>
        <color theme="1"/>
        <rFont val="Aptos Narrow"/>
        <scheme val="minor"/>
      </rPr>
      <t>Amber</t>
    </r>
    <r>
      <rPr>
        <sz val="12"/>
        <color theme="1"/>
        <rFont val="Aptos Narrow"/>
        <scheme val="minor"/>
      </rPr>
      <t xml:space="preserve"> – Dependency, waiting on decision/input</t>
    </r>
  </si>
  <si>
    <r>
      <t xml:space="preserve">🔴 </t>
    </r>
    <r>
      <rPr>
        <b/>
        <sz val="12"/>
        <color theme="1"/>
        <rFont val="Aptos Narrow"/>
        <scheme val="minor"/>
      </rPr>
      <t>Red</t>
    </r>
    <r>
      <rPr>
        <sz val="12"/>
        <color theme="1"/>
        <rFont val="Aptos Narrow"/>
        <scheme val="minor"/>
      </rPr>
      <t xml:space="preserve"> – Missed date, blocking delivery, escalation needed</t>
    </r>
  </si>
  <si>
    <t>Team Days (Uplifted 30SP/d)</t>
  </si>
  <si>
    <t>Estimate Build – Carbon (incl. EPD)</t>
  </si>
  <si>
    <t>Venkatesh&amp; Minas</t>
  </si>
  <si>
    <t>2 x Teams</t>
  </si>
  <si>
    <t>Team  4</t>
  </si>
  <si>
    <t>UnLk</t>
  </si>
  <si>
    <t>MInas</t>
  </si>
  <si>
    <t>Fri, 16 Jan 2026 (Original 24/12/2025)</t>
  </si>
  <si>
    <t>Wed, 21 Jan 2026 (Original 31/12/2025)</t>
  </si>
  <si>
    <t>A07</t>
  </si>
  <si>
    <t>Confirm Vigo resourcing assumptions remain sufficient</t>
  </si>
  <si>
    <t>Richard / Jerome</t>
  </si>
  <si>
    <t>A08</t>
  </si>
  <si>
    <t>Brief John Vigo and book design sessions priority LTA then Comparator</t>
  </si>
  <si>
    <t>A09</t>
  </si>
  <si>
    <t>Re-establish full-team priority alignment session including Vigo</t>
  </si>
  <si>
    <t>A10</t>
  </si>
  <si>
    <t>Attend NH IFT clarification meeting</t>
  </si>
  <si>
    <t>A11</t>
  </si>
  <si>
    <t>Post-IFT impact assessment on timeline</t>
  </si>
  <si>
    <t>Venkatesh / Richard</t>
  </si>
  <si>
    <t>A05</t>
  </si>
  <si>
    <t>Complete internal UAT execution and issue UAT documentation to Louise</t>
  </si>
  <si>
    <t>A13</t>
  </si>
  <si>
    <t>Resolve remaining External UAT P2 defect (Create Project) and confirm retest pass</t>
  </si>
  <si>
    <t>David / Jerome</t>
  </si>
  <si>
    <t>A18</t>
  </si>
  <si>
    <t>Populate Stage Gate tracker with historic milestones and next-week forecast dates</t>
  </si>
  <si>
    <t>A19</t>
  </si>
  <si>
    <t>Prepare inputs for SRO pack covering story points</t>
  </si>
  <si>
    <t>A22</t>
  </si>
  <si>
    <t>Propose and set up weekly unblocker check-in with NH leadership group</t>
  </si>
  <si>
    <t>A23</t>
  </si>
  <si>
    <t>Document and confirm agreed NH scope reduction (no supplier-specific library) aligned to FRS</t>
  </si>
  <si>
    <t>A24</t>
  </si>
  <si>
    <t>Review NH clarification meeting recording and confirm scope position to proceed</t>
  </si>
  <si>
    <t>A25</t>
  </si>
  <si>
    <t>Produce PRD based on confirmed NH scope (post-clarification)</t>
  </si>
  <si>
    <t>A29</t>
  </si>
  <si>
    <t>Update delivery plan based on Vigo feedback and potential milestone improvements</t>
  </si>
  <si>
    <t>A30</t>
  </si>
  <si>
    <t>Unblock Inflation epic by confirming PRD assumptions and enabling partial delivery strategy</t>
  </si>
  <si>
    <t>A31</t>
  </si>
  <si>
    <t>Document individual blockers and owners for Inflation Stories</t>
  </si>
  <si>
    <t>A27</t>
  </si>
  <si>
    <t>Track NH sign-off for Release 1D following UAT handover</t>
  </si>
  <si>
    <t>Wed 17 Dec 2025</t>
  </si>
  <si>
    <t xml:space="preserve">Thu 18 Dec 2025 </t>
  </si>
  <si>
    <t>Blocked</t>
  </si>
  <si>
    <t>Day</t>
  </si>
  <si>
    <t>Deliverable / Task</t>
  </si>
  <si>
    <t>Escalation Request</t>
  </si>
  <si>
    <t>From Last Week</t>
  </si>
  <si>
    <t>PRD Review - Cost to Carbon</t>
  </si>
  <si>
    <t>Was delivered 17-01-2026</t>
  </si>
  <si>
    <t>BES to confirm which IFT PRD needs to be reviewed (1D)</t>
  </si>
  <si>
    <t>PRD Review - Auto Allocate</t>
  </si>
  <si>
    <t>Monday</t>
  </si>
  <si>
    <t>Sprint 35 - Day 1 Starts</t>
  </si>
  <si>
    <t>None</t>
  </si>
  <si>
    <t>Friday</t>
  </si>
  <si>
    <t>PRD - EPD</t>
  </si>
  <si>
    <t>SA - Carbon Resource Library</t>
  </si>
  <si>
    <t>SA - Carbon Item Library</t>
  </si>
  <si>
    <t>In Prog</t>
  </si>
  <si>
    <t>SA - WBS Carbon Calcs</t>
  </si>
  <si>
    <t>Escalations</t>
  </si>
  <si>
    <t>Meeting needed with NH re TPE</t>
  </si>
  <si>
    <t>Setup for Thursday 22nd</t>
  </si>
  <si>
    <t>Meeting needed with NH re Scenario Analysis</t>
  </si>
  <si>
    <t>To be scheduled for next week</t>
  </si>
  <si>
    <t>Meeting needed with NH re IFT</t>
  </si>
  <si>
    <t>Setup for Tuesday 20th</t>
  </si>
  <si>
    <t>Tuesday</t>
  </si>
  <si>
    <t>Meeting required with NH for LTA</t>
  </si>
  <si>
    <t>Awaiting dates from Ramesh</t>
  </si>
  <si>
    <t>Weds</t>
  </si>
  <si>
    <t>Escalation to NH re delay due to missed stage gates</t>
  </si>
  <si>
    <t>Overall Sprint Plan</t>
  </si>
  <si>
    <t>No</t>
  </si>
  <si>
    <t>Detailed Sprint Plan for Sprint 35</t>
  </si>
  <si>
    <t>SG6 - Sprint Planning</t>
  </si>
  <si>
    <t>Minas/V</t>
  </si>
  <si>
    <t>WBS Carbon and Calcs</t>
  </si>
  <si>
    <t>Calculators and Cost Models</t>
  </si>
  <si>
    <t>A simpler version to be re-issued - will move into next week - no impact to plan</t>
  </si>
  <si>
    <t>SG1 - PRD Review</t>
  </si>
  <si>
    <t>Wednesday</t>
  </si>
  <si>
    <t>Initial Sprint Planning for Sprint 36</t>
  </si>
  <si>
    <t>Will finalise Thursday</t>
  </si>
  <si>
    <t>SG4 - SA Drafted</t>
  </si>
  <si>
    <t>Thursday</t>
  </si>
  <si>
    <t>Initial Sprint Planning for Sprint 37</t>
  </si>
  <si>
    <t>PRD Draft - Carbon Reports</t>
  </si>
  <si>
    <t>SG1 - PRD Draft</t>
  </si>
  <si>
    <t>Confirm Engineering Team Allocation</t>
  </si>
  <si>
    <t>Confirm Capacity and Resource Level Mapping</t>
  </si>
  <si>
    <t xml:space="preserve">Send Plan Dates to Vigo for Designs </t>
  </si>
  <si>
    <t>External UAT Sanity Checks (R1D)</t>
  </si>
  <si>
    <t>SG8 - QA Complete</t>
  </si>
  <si>
    <t>Sprint Planning Session 1 for Release 2A</t>
  </si>
  <si>
    <t>Internal UAT Complete (R1D)</t>
  </si>
  <si>
    <t>UAT Handover to NH (Release 1D)</t>
  </si>
  <si>
    <t>Sprint Planning Session 2 for Release 2A</t>
  </si>
  <si>
    <t>Audit Log Released</t>
  </si>
  <si>
    <t>SG1 - PRD</t>
  </si>
  <si>
    <t>PowerBI Dashboards</t>
  </si>
  <si>
    <t>Interim Forecasting Tool</t>
  </si>
  <si>
    <t>Escalated - Position confirmed and documented, will get NH confirmation in writing</t>
  </si>
  <si>
    <t>Escalted at SRO - was agreed that if the 3 stage gates are met, then it has implicit sign-off</t>
  </si>
  <si>
    <t>Need to discuss with Mark</t>
  </si>
  <si>
    <t>Need discussion with Mark</t>
  </si>
  <si>
    <t>This will be reworked with a simpler version and a new PRD will be issued</t>
  </si>
  <si>
    <t>SG3 - UX/UI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</si>
</sst>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d\,\ d\ mmm\ yyyy"/>
    <numFmt numFmtId="165" formatCode="0.0"/>
  </numFmts>
  <fonts count="70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b/>
      <sz val="9"/>
      <color theme="1"/>
      <name val="Aptos"/>
      <family val="2"/>
    </font>
    <font>
      <sz val="12"/>
      <name val="Aptos Narrow"/>
      <family val="2"/>
    </font>
    <font>
      <b/>
      <sz val="8"/>
      <color rgb="FFFFFFFF"/>
      <name val="Aptos"/>
      <family val="2"/>
    </font>
    <font>
      <sz val="8"/>
      <color theme="1"/>
      <name val="Aptos"/>
      <family val="2"/>
    </font>
    <font>
      <sz val="8"/>
      <color rgb="FF000000"/>
      <name val="Aptos"/>
      <family val="2"/>
    </font>
    <font>
      <sz val="8"/>
      <color rgb="FF000000"/>
      <name val="Arial"/>
      <family val="2"/>
    </font>
    <font>
      <sz val="8"/>
      <color rgb="FF006100"/>
      <name val="Aptos"/>
      <family val="2"/>
    </font>
    <font>
      <sz val="8"/>
      <color theme="9"/>
      <name val="Arial"/>
      <family val="2"/>
    </font>
    <font>
      <b/>
      <sz val="8"/>
      <color rgb="FF000000"/>
      <name val="Aptos"/>
      <family val="2"/>
    </font>
    <font>
      <b/>
      <sz val="6"/>
      <color rgb="FFFFFFFF"/>
      <name val="Aptos"/>
      <family val="2"/>
    </font>
    <font>
      <sz val="8"/>
      <color rgb="FFFF0000"/>
      <name val="Arial"/>
      <family val="2"/>
    </font>
    <font>
      <sz val="8"/>
      <color rgb="FFFF0000"/>
      <name val="Aptos"/>
      <family val="2"/>
    </font>
    <font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E8E8E8"/>
      <name val="Aptos Narrow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strike/>
      <sz val="8"/>
      <color rgb="FF000000"/>
      <name val="Aptos"/>
      <family val="2"/>
    </font>
    <font>
      <i/>
      <sz val="8"/>
      <color rgb="FFFF0000"/>
      <name val="Aptos"/>
      <family val="2"/>
    </font>
    <font>
      <b/>
      <sz val="8"/>
      <color theme="1"/>
      <name val="Aptos"/>
      <family val="2"/>
    </font>
    <font>
      <b/>
      <sz val="8"/>
      <color rgb="FFFF0000"/>
      <name val="Aptos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Aptos"/>
      <family val="2"/>
    </font>
    <font>
      <sz val="9"/>
      <color theme="1"/>
      <name val="Aptos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</font>
    <font>
      <sz val="8"/>
      <color theme="1"/>
      <name val="Aptos Narrow"/>
      <scheme val="minor"/>
    </font>
    <font>
      <b/>
      <sz val="8"/>
      <color rgb="FF000000"/>
      <name val="Aptos"/>
    </font>
    <font>
      <sz val="12"/>
      <color rgb="FF000000"/>
      <name val="Aptos Narrow"/>
      <scheme val="minor"/>
    </font>
    <font>
      <sz val="9"/>
      <color rgb="FF9C5700"/>
      <name val="Aptos Narrow"/>
      <family val="2"/>
      <scheme val="minor"/>
    </font>
    <font>
      <u/>
      <sz val="12"/>
      <color theme="10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u/>
      <sz val="16"/>
      <color theme="1"/>
      <name val="Aptos Narrow"/>
      <scheme val="minor"/>
    </font>
    <font>
      <b/>
      <sz val="10"/>
      <color theme="1"/>
      <name val="Aptos"/>
      <family val="2"/>
    </font>
    <font>
      <b/>
      <sz val="10"/>
      <color theme="1"/>
      <name val="Aptos Narrow"/>
      <family val="2"/>
      <scheme val="minor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9"/>
      <color rgb="FF00000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</font>
    <font>
      <u/>
      <sz val="9"/>
      <color theme="10"/>
      <name val="Aptos Narrow"/>
      <scheme val="minor"/>
    </font>
    <font>
      <sz val="12"/>
      <color rgb="FFFF0000"/>
      <name val="Aptos Narrow"/>
      <scheme val="minor"/>
    </font>
    <font>
      <b/>
      <sz val="13.5"/>
      <color theme="1"/>
      <name val="Aptos Narrow"/>
      <scheme val="minor"/>
    </font>
    <font>
      <sz val="8"/>
      <color rgb="FF000000"/>
      <name val="Aptos Narrow"/>
      <scheme val="minor"/>
    </font>
    <font>
      <b/>
      <sz val="8"/>
      <color rgb="FF000000"/>
      <name val="Aptos Narrow"/>
      <scheme val="minor"/>
    </font>
    <font>
      <sz val="8"/>
      <color rgb="FFFF0000"/>
      <name val="Aptos Narrow"/>
      <scheme val="minor"/>
    </font>
    <font>
      <i/>
      <sz val="8"/>
      <color rgb="FFFF0000"/>
      <name val="Aptos Narrow"/>
      <scheme val="minor"/>
    </font>
    <font>
      <sz val="8"/>
      <color rgb="FF006100"/>
      <name val="Aptos Narrow"/>
      <scheme val="minor"/>
    </font>
    <font>
      <strike/>
      <sz val="8"/>
      <color rgb="FF000000"/>
      <name val="Aptos Narrow"/>
      <scheme val="minor"/>
    </font>
    <font>
      <sz val="8"/>
      <color theme="9"/>
      <name val="Aptos Narrow"/>
      <scheme val="minor"/>
    </font>
    <font>
      <sz val="11"/>
      <color rgb="FFE8E8E8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8"/>
      <color rgb="FF000000"/>
      <name val="Aptos Narrow"/>
      <family val="2"/>
      <scheme val="minor"/>
    </font>
    <font>
      <b/>
      <sz val="8"/>
      <color rgb="FF00000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B8BCD2"/>
        <bgColor rgb="FFB8BCD2"/>
      </patternFill>
    </fill>
    <fill>
      <patternFill patternType="solid">
        <fgColor rgb="FF4F577A"/>
        <bgColor rgb="FF4F577A"/>
      </patternFill>
    </fill>
    <fill>
      <patternFill patternType="solid">
        <fgColor rgb="FFE9EAEC"/>
        <bgColor rgb="FFE9EAEC"/>
      </patternFill>
    </fill>
    <fill>
      <patternFill patternType="solid">
        <fgColor theme="0"/>
        <bgColor theme="0"/>
      </patternFill>
    </fill>
    <fill>
      <patternFill patternType="solid">
        <fgColor rgb="FF83DFB6"/>
        <bgColor rgb="FF83DFB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rgb="FF4F577A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E9EAEC"/>
      </patternFill>
    </fill>
    <fill>
      <patternFill patternType="solid">
        <fgColor rgb="FFFFC000"/>
        <bgColor rgb="FFE9EAEC"/>
      </patternFill>
    </fill>
    <fill>
      <patternFill patternType="solid">
        <fgColor theme="0" tint="-4.9989318521683403E-2"/>
        <bgColor rgb="FFE9EAE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9EAEC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CAFCE"/>
        <bgColor rgb="FFE9EAE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rgb="FF83DFB6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E9EAEC"/>
      </patternFill>
    </fill>
    <fill>
      <patternFill patternType="solid">
        <fgColor theme="0" tint="-0.34998626667073579"/>
        <bgColor rgb="FF83DFB6"/>
      </patternFill>
    </fill>
    <fill>
      <patternFill patternType="solid">
        <fgColor theme="0" tint="-0.14999847407452621"/>
        <bgColor rgb="FFE9EAEC"/>
      </patternFill>
    </fill>
    <fill>
      <patternFill patternType="solid">
        <fgColor theme="9" tint="0.59999389629810485"/>
        <bgColor rgb="FFE9EAEC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9" tint="0.79998168889431442"/>
        <bgColor rgb="FFE9EAEC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101">
    <border>
      <left/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 style="dashed">
        <color rgb="FF000000"/>
      </left>
      <right style="medium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/>
      <diagonal/>
    </border>
    <border>
      <left style="medium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medium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dashed">
        <color rgb="FF000000"/>
      </right>
      <top style="dashed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FFFF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553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left" vertical="center" wrapText="1" readingOrder="1"/>
    </xf>
    <xf numFmtId="0" fontId="6" fillId="4" borderId="5" xfId="0" applyFont="1" applyFill="1" applyBorder="1" applyAlignment="1">
      <alignment horizontal="center" vertical="center" wrapText="1" readingOrder="1"/>
    </xf>
    <xf numFmtId="164" fontId="7" fillId="4" borderId="5" xfId="0" applyNumberFormat="1" applyFont="1" applyFill="1" applyBorder="1" applyAlignment="1">
      <alignment horizontal="center" wrapText="1" readingOrder="1"/>
    </xf>
    <xf numFmtId="164" fontId="8" fillId="4" borderId="5" xfId="0" applyNumberFormat="1" applyFont="1" applyFill="1" applyBorder="1" applyAlignment="1">
      <alignment horizont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9" fillId="6" borderId="4" xfId="0" applyFont="1" applyFill="1" applyBorder="1" applyAlignment="1">
      <alignment horizontal="center" vertical="center" wrapText="1" readingOrder="1"/>
    </xf>
    <xf numFmtId="0" fontId="4" fillId="0" borderId="2" xfId="0" applyFont="1" applyBorder="1"/>
    <xf numFmtId="1" fontId="7" fillId="4" borderId="5" xfId="0" applyNumberFormat="1" applyFont="1" applyFill="1" applyBorder="1" applyAlignment="1">
      <alignment horizontal="center" wrapText="1" readingOrder="1"/>
    </xf>
    <xf numFmtId="164" fontId="6" fillId="4" borderId="5" xfId="0" applyNumberFormat="1" applyFont="1" applyFill="1" applyBorder="1" applyAlignment="1">
      <alignment horizontal="center" wrapText="1" readingOrder="1"/>
    </xf>
    <xf numFmtId="1" fontId="6" fillId="4" borderId="5" xfId="0" applyNumberFormat="1" applyFont="1" applyFill="1" applyBorder="1" applyAlignment="1">
      <alignment horizontal="center" wrapText="1" readingOrder="1"/>
    </xf>
    <xf numFmtId="0" fontId="6" fillId="4" borderId="6" xfId="0" applyFont="1" applyFill="1" applyBorder="1" applyAlignment="1">
      <alignment horizontal="left" vertical="center" wrapText="1" readingOrder="1"/>
    </xf>
    <xf numFmtId="0" fontId="6" fillId="4" borderId="6" xfId="0" applyFont="1" applyFill="1" applyBorder="1" applyAlignment="1">
      <alignment horizontal="center" vertical="center" wrapText="1" readingOrder="1"/>
    </xf>
    <xf numFmtId="0" fontId="9" fillId="6" borderId="6" xfId="0" applyFont="1" applyFill="1" applyBorder="1" applyAlignment="1">
      <alignment horizontal="center" vertical="center" wrapText="1" readingOrder="1"/>
    </xf>
    <xf numFmtId="1" fontId="7" fillId="4" borderId="7" xfId="0" applyNumberFormat="1" applyFont="1" applyFill="1" applyBorder="1" applyAlignment="1">
      <alignment horizontal="center" wrapText="1" readingOrder="1"/>
    </xf>
    <xf numFmtId="0" fontId="2" fillId="7" borderId="9" xfId="0" applyFont="1" applyFill="1" applyBorder="1" applyAlignment="1">
      <alignment horizontal="center" vertical="center"/>
    </xf>
    <xf numFmtId="0" fontId="0" fillId="7" borderId="9" xfId="0" applyFill="1" applyBorder="1"/>
    <xf numFmtId="1" fontId="0" fillId="7" borderId="10" xfId="0" applyNumberFormat="1" applyFill="1" applyBorder="1" applyAlignment="1">
      <alignment horizontal="center"/>
    </xf>
    <xf numFmtId="164" fontId="11" fillId="4" borderId="5" xfId="0" applyNumberFormat="1" applyFont="1" applyFill="1" applyBorder="1" applyAlignment="1">
      <alignment horizontal="center" wrapText="1" readingOrder="1"/>
    </xf>
    <xf numFmtId="16" fontId="5" fillId="3" borderId="3" xfId="0" applyNumberFormat="1" applyFont="1" applyFill="1" applyBorder="1" applyAlignment="1">
      <alignment horizontal="center" vertical="center" wrapText="1" readingOrder="1"/>
    </xf>
    <xf numFmtId="16" fontId="12" fillId="3" borderId="3" xfId="0" applyNumberFormat="1" applyFont="1" applyFill="1" applyBorder="1" applyAlignment="1">
      <alignment horizontal="center" vertical="center" wrapText="1" readingOrder="1"/>
    </xf>
    <xf numFmtId="16" fontId="12" fillId="8" borderId="3" xfId="0" applyNumberFormat="1" applyFont="1" applyFill="1" applyBorder="1" applyAlignment="1">
      <alignment horizontal="center" vertical="center" wrapText="1" readingOrder="1"/>
    </xf>
    <xf numFmtId="1" fontId="0" fillId="7" borderId="9" xfId="0" applyNumberFormat="1" applyFill="1" applyBorder="1"/>
    <xf numFmtId="16" fontId="22" fillId="16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left" vertical="center" wrapText="1" readingOrder="1"/>
    </xf>
    <xf numFmtId="1" fontId="24" fillId="0" borderId="0" xfId="0" applyNumberFormat="1" applyFont="1" applyAlignment="1">
      <alignment horizontal="center" wrapText="1" readingOrder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1" fontId="14" fillId="4" borderId="5" xfId="0" applyNumberFormat="1" applyFont="1" applyFill="1" applyBorder="1" applyAlignment="1">
      <alignment horizontal="center" wrapText="1" readingOrder="1"/>
    </xf>
    <xf numFmtId="1" fontId="7" fillId="20" borderId="5" xfId="0" applyNumberFormat="1" applyFont="1" applyFill="1" applyBorder="1" applyAlignment="1">
      <alignment horizontal="center" wrapText="1" readingOrder="1"/>
    </xf>
    <xf numFmtId="0" fontId="0" fillId="0" borderId="0" xfId="0" applyAlignment="1">
      <alignment horizontal="right"/>
    </xf>
    <xf numFmtId="1" fontId="26" fillId="4" borderId="5" xfId="0" applyNumberFormat="1" applyFont="1" applyFill="1" applyBorder="1" applyAlignment="1">
      <alignment horizontal="center" wrapText="1" readingOrder="1"/>
    </xf>
    <xf numFmtId="0" fontId="6" fillId="19" borderId="5" xfId="0" applyFont="1" applyFill="1" applyBorder="1" applyAlignment="1">
      <alignment horizontal="center" vertical="center" wrapText="1" readingOrder="1"/>
    </xf>
    <xf numFmtId="1" fontId="7" fillId="19" borderId="5" xfId="0" applyNumberFormat="1" applyFont="1" applyFill="1" applyBorder="1" applyAlignment="1">
      <alignment horizontal="center" wrapText="1" readingOrder="1"/>
    </xf>
    <xf numFmtId="0" fontId="0" fillId="19" borderId="0" xfId="0" applyFill="1"/>
    <xf numFmtId="1" fontId="7" fillId="21" borderId="5" xfId="0" applyNumberFormat="1" applyFont="1" applyFill="1" applyBorder="1" applyAlignment="1">
      <alignment horizontal="center" wrapText="1" readingOrder="1"/>
    </xf>
    <xf numFmtId="0" fontId="27" fillId="4" borderId="4" xfId="0" applyFont="1" applyFill="1" applyBorder="1" applyAlignment="1">
      <alignment horizontal="left" vertical="center" wrapText="1" readingOrder="1"/>
    </xf>
    <xf numFmtId="0" fontId="6" fillId="23" borderId="5" xfId="0" applyFont="1" applyFill="1" applyBorder="1" applyAlignment="1">
      <alignment horizontal="center" vertical="center" wrapText="1" readingOrder="1"/>
    </xf>
    <xf numFmtId="164" fontId="11" fillId="23" borderId="5" xfId="0" applyNumberFormat="1" applyFont="1" applyFill="1" applyBorder="1" applyAlignment="1">
      <alignment horizontal="center" wrapText="1" readingOrder="1"/>
    </xf>
    <xf numFmtId="164" fontId="28" fillId="4" borderId="5" xfId="0" applyNumberFormat="1" applyFont="1" applyFill="1" applyBorder="1" applyAlignment="1">
      <alignment horizontal="center" wrapText="1" readingOrder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8" xfId="0" applyBorder="1" applyAlignment="1">
      <alignment horizontal="center"/>
    </xf>
    <xf numFmtId="0" fontId="0" fillId="0" borderId="10" xfId="0" applyBorder="1"/>
    <xf numFmtId="0" fontId="20" fillId="0" borderId="17" xfId="0" applyFont="1" applyBorder="1"/>
    <xf numFmtId="0" fontId="20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5" xfId="0" applyBorder="1"/>
    <xf numFmtId="0" fontId="20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164" fontId="11" fillId="21" borderId="5" xfId="0" applyNumberFormat="1" applyFont="1" applyFill="1" applyBorder="1" applyAlignment="1">
      <alignment horizontal="center" wrapText="1" readingOrder="1"/>
    </xf>
    <xf numFmtId="0" fontId="0" fillId="20" borderId="22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9" borderId="23" xfId="0" applyFill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6" fillId="4" borderId="11" xfId="0" applyFont="1" applyFill="1" applyBorder="1" applyAlignment="1">
      <alignment horizontal="left" vertical="center" wrapText="1" readingOrder="1"/>
    </xf>
    <xf numFmtId="0" fontId="36" fillId="20" borderId="11" xfId="0" applyFont="1" applyFill="1" applyBorder="1" applyAlignment="1">
      <alignment horizontal="center" vertical="center"/>
    </xf>
    <xf numFmtId="0" fontId="36" fillId="26" borderId="11" xfId="0" applyFont="1" applyFill="1" applyBorder="1" applyAlignment="1">
      <alignment horizontal="center" vertical="center"/>
    </xf>
    <xf numFmtId="0" fontId="36" fillId="9" borderId="11" xfId="0" applyFont="1" applyFill="1" applyBorder="1" applyAlignment="1">
      <alignment horizontal="center" vertical="center"/>
    </xf>
    <xf numFmtId="0" fontId="36" fillId="19" borderId="11" xfId="0" applyFont="1" applyFill="1" applyBorder="1" applyAlignment="1">
      <alignment horizontal="center" vertical="center"/>
    </xf>
    <xf numFmtId="1" fontId="7" fillId="27" borderId="5" xfId="0" applyNumberFormat="1" applyFont="1" applyFill="1" applyBorder="1" applyAlignment="1">
      <alignment horizontal="center" wrapText="1" readingOrder="1"/>
    </xf>
    <xf numFmtId="0" fontId="37" fillId="0" borderId="0" xfId="0" applyFont="1" applyAlignment="1">
      <alignment horizontal="center"/>
    </xf>
    <xf numFmtId="14" fontId="0" fillId="0" borderId="0" xfId="0" applyNumberFormat="1"/>
    <xf numFmtId="14" fontId="35" fillId="0" borderId="11" xfId="0" applyNumberFormat="1" applyFont="1" applyBorder="1" applyAlignment="1">
      <alignment horizontal="center" vertical="center"/>
    </xf>
    <xf numFmtId="14" fontId="35" fillId="20" borderId="11" xfId="0" applyNumberFormat="1" applyFont="1" applyFill="1" applyBorder="1" applyAlignment="1">
      <alignment horizontal="center" vertical="center"/>
    </xf>
    <xf numFmtId="0" fontId="0" fillId="28" borderId="0" xfId="0" applyFill="1" applyAlignment="1">
      <alignment horizontal="center"/>
    </xf>
    <xf numFmtId="0" fontId="0" fillId="29" borderId="0" xfId="0" applyFill="1" applyAlignment="1">
      <alignment horizontal="center"/>
    </xf>
    <xf numFmtId="164" fontId="7" fillId="4" borderId="5" xfId="0" applyNumberFormat="1" applyFont="1" applyFill="1" applyBorder="1" applyAlignment="1">
      <alignment horizontal="center" vertical="center" wrapText="1" readingOrder="1"/>
    </xf>
    <xf numFmtId="164" fontId="7" fillId="23" borderId="5" xfId="0" applyNumberFormat="1" applyFont="1" applyFill="1" applyBorder="1" applyAlignment="1">
      <alignment horizontal="center" vertical="center" wrapText="1" readingOrder="1"/>
    </xf>
    <xf numFmtId="164" fontId="8" fillId="4" borderId="5" xfId="0" applyNumberFormat="1" applyFont="1" applyFill="1" applyBorder="1" applyAlignment="1">
      <alignment horizontal="center" vertical="center" wrapText="1" readingOrder="1"/>
    </xf>
    <xf numFmtId="164" fontId="8" fillId="23" borderId="5" xfId="0" applyNumberFormat="1" applyFont="1" applyFill="1" applyBorder="1" applyAlignment="1">
      <alignment horizontal="center" vertical="center" wrapText="1" readingOrder="1"/>
    </xf>
    <xf numFmtId="164" fontId="11" fillId="4" borderId="5" xfId="0" applyNumberFormat="1" applyFont="1" applyFill="1" applyBorder="1" applyAlignment="1">
      <alignment horizontal="center" vertical="center" wrapText="1" readingOrder="1"/>
    </xf>
    <xf numFmtId="164" fontId="7" fillId="22" borderId="5" xfId="0" applyNumberFormat="1" applyFont="1" applyFill="1" applyBorder="1" applyAlignment="1">
      <alignment horizontal="center" vertical="center" wrapText="1" readingOrder="1"/>
    </xf>
    <xf numFmtId="164" fontId="11" fillId="23" borderId="5" xfId="0" applyNumberFormat="1" applyFont="1" applyFill="1" applyBorder="1" applyAlignment="1">
      <alignment horizontal="center" vertical="center" wrapText="1" readingOrder="1"/>
    </xf>
    <xf numFmtId="164" fontId="38" fillId="4" borderId="5" xfId="0" applyNumberFormat="1" applyFont="1" applyFill="1" applyBorder="1" applyAlignment="1">
      <alignment horizontal="center" vertical="center" wrapText="1" readingOrder="1"/>
    </xf>
    <xf numFmtId="164" fontId="27" fillId="4" borderId="5" xfId="0" applyNumberFormat="1" applyFont="1" applyFill="1" applyBorder="1" applyAlignment="1">
      <alignment horizontal="center" vertical="center" wrapText="1" readingOrder="1"/>
    </xf>
    <xf numFmtId="0" fontId="0" fillId="7" borderId="8" xfId="0" applyFill="1" applyBorder="1" applyAlignment="1">
      <alignment vertical="center"/>
    </xf>
    <xf numFmtId="0" fontId="37" fillId="0" borderId="11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9" fillId="0" borderId="15" xfId="0" applyFont="1" applyBorder="1"/>
    <xf numFmtId="0" fontId="20" fillId="0" borderId="16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vertical="center" wrapText="1"/>
    </xf>
    <xf numFmtId="0" fontId="42" fillId="15" borderId="25" xfId="0" applyFont="1" applyFill="1" applyBorder="1" applyAlignment="1">
      <alignment horizontal="center" vertical="center" wrapText="1"/>
    </xf>
    <xf numFmtId="0" fontId="0" fillId="31" borderId="0" xfId="0" applyFill="1" applyAlignment="1">
      <alignment horizontal="center" vertical="center" wrapText="1"/>
    </xf>
    <xf numFmtId="0" fontId="0" fillId="31" borderId="0" xfId="0" applyFill="1"/>
    <xf numFmtId="0" fontId="42" fillId="31" borderId="0" xfId="0" applyFont="1" applyFill="1" applyAlignment="1">
      <alignment vertical="center" wrapText="1"/>
    </xf>
    <xf numFmtId="0" fontId="42" fillId="15" borderId="41" xfId="0" applyFont="1" applyFill="1" applyBorder="1" applyAlignment="1">
      <alignment horizontal="center" vertical="center" wrapText="1"/>
    </xf>
    <xf numFmtId="0" fontId="42" fillId="15" borderId="42" xfId="0" applyFont="1" applyFill="1" applyBorder="1" applyAlignment="1">
      <alignment horizontal="center" vertical="center" wrapText="1"/>
    </xf>
    <xf numFmtId="0" fontId="0" fillId="7" borderId="27" xfId="0" applyFill="1" applyBorder="1"/>
    <xf numFmtId="0" fontId="0" fillId="7" borderId="35" xfId="0" applyFill="1" applyBorder="1"/>
    <xf numFmtId="0" fontId="0" fillId="0" borderId="3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1" fillId="31" borderId="0" xfId="1" applyFill="1"/>
    <xf numFmtId="0" fontId="0" fillId="7" borderId="38" xfId="0" applyFill="1" applyBorder="1" applyAlignment="1">
      <alignment horizontal="center" vertical="center"/>
    </xf>
    <xf numFmtId="0" fontId="0" fillId="31" borderId="39" xfId="0" applyFill="1" applyBorder="1" applyAlignment="1">
      <alignment horizontal="center" vertical="center"/>
    </xf>
    <xf numFmtId="0" fontId="0" fillId="31" borderId="36" xfId="0" applyFill="1" applyBorder="1"/>
    <xf numFmtId="0" fontId="43" fillId="31" borderId="36" xfId="0" applyFont="1" applyFill="1" applyBorder="1"/>
    <xf numFmtId="0" fontId="0" fillId="31" borderId="40" xfId="0" applyFill="1" applyBorder="1" applyAlignment="1">
      <alignment horizontal="center" vertical="center"/>
    </xf>
    <xf numFmtId="0" fontId="0" fillId="31" borderId="33" xfId="0" applyFill="1" applyBorder="1"/>
    <xf numFmtId="0" fontId="0" fillId="31" borderId="37" xfId="0" applyFill="1" applyBorder="1"/>
    <xf numFmtId="0" fontId="42" fillId="15" borderId="46" xfId="0" applyFont="1" applyFill="1" applyBorder="1" applyAlignment="1">
      <alignment horizontal="center" vertical="center" wrapText="1"/>
    </xf>
    <xf numFmtId="0" fontId="42" fillId="15" borderId="47" xfId="0" applyFont="1" applyFill="1" applyBorder="1" applyAlignment="1">
      <alignment horizontal="center" vertical="center" wrapText="1"/>
    </xf>
    <xf numFmtId="0" fontId="42" fillId="15" borderId="48" xfId="0" applyFont="1" applyFill="1" applyBorder="1" applyAlignment="1">
      <alignment horizontal="center" vertical="center" wrapText="1"/>
    </xf>
    <xf numFmtId="0" fontId="42" fillId="15" borderId="50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42" fillId="15" borderId="51" xfId="0" applyFont="1" applyFill="1" applyBorder="1" applyAlignment="1">
      <alignment horizontal="center" vertical="center" wrapText="1"/>
    </xf>
    <xf numFmtId="0" fontId="0" fillId="7" borderId="28" xfId="0" applyFill="1" applyBorder="1"/>
    <xf numFmtId="0" fontId="0" fillId="31" borderId="34" xfId="0" applyFill="1" applyBorder="1"/>
    <xf numFmtId="0" fontId="0" fillId="31" borderId="0" xfId="0" applyFill="1" applyAlignment="1">
      <alignment horizontal="left"/>
    </xf>
    <xf numFmtId="0" fontId="43" fillId="31" borderId="0" xfId="0" applyFont="1" applyFill="1"/>
    <xf numFmtId="164" fontId="15" fillId="22" borderId="5" xfId="0" applyNumberFormat="1" applyFont="1" applyFill="1" applyBorder="1" applyAlignment="1">
      <alignment horizontal="center" vertical="center" wrapText="1" readingOrder="1"/>
    </xf>
    <xf numFmtId="164" fontId="15" fillId="32" borderId="5" xfId="0" applyNumberFormat="1" applyFont="1" applyFill="1" applyBorder="1" applyAlignment="1">
      <alignment horizontal="center" vertical="center" wrapText="1" readingOrder="1"/>
    </xf>
    <xf numFmtId="164" fontId="7" fillId="29" borderId="5" xfId="0" applyNumberFormat="1" applyFont="1" applyFill="1" applyBorder="1" applyAlignment="1">
      <alignment horizontal="center" vertical="center" wrapText="1" readingOrder="1"/>
    </xf>
    <xf numFmtId="164" fontId="7" fillId="32" borderId="5" xfId="0" applyNumberFormat="1" applyFont="1" applyFill="1" applyBorder="1" applyAlignment="1">
      <alignment horizontal="center" vertical="center" wrapText="1" readingOrder="1"/>
    </xf>
    <xf numFmtId="0" fontId="6" fillId="33" borderId="4" xfId="0" applyFont="1" applyFill="1" applyBorder="1" applyAlignment="1">
      <alignment horizontal="center" vertical="center" wrapText="1" readingOrder="1"/>
    </xf>
    <xf numFmtId="164" fontId="6" fillId="9" borderId="5" xfId="0" applyNumberFormat="1" applyFont="1" applyFill="1" applyBorder="1" applyAlignment="1">
      <alignment horizontal="center" vertical="center" wrapText="1" readingOrder="1"/>
    </xf>
    <xf numFmtId="164" fontId="6" fillId="22" borderId="5" xfId="0" applyNumberFormat="1" applyFont="1" applyFill="1" applyBorder="1" applyAlignment="1">
      <alignment horizontal="center" vertical="center" wrapText="1" readingOrder="1"/>
    </xf>
    <xf numFmtId="164" fontId="6" fillId="32" borderId="5" xfId="0" applyNumberFormat="1" applyFont="1" applyFill="1" applyBorder="1" applyAlignment="1">
      <alignment horizontal="center" vertical="center" wrapText="1" readingOrder="1"/>
    </xf>
    <xf numFmtId="164" fontId="8" fillId="22" borderId="5" xfId="0" applyNumberFormat="1" applyFont="1" applyFill="1" applyBorder="1" applyAlignment="1">
      <alignment horizontal="center" vertical="center" wrapText="1" readingOrder="1"/>
    </xf>
    <xf numFmtId="164" fontId="8" fillId="32" borderId="5" xfId="0" applyNumberFormat="1" applyFont="1" applyFill="1" applyBorder="1" applyAlignment="1">
      <alignment horizontal="center" vertical="center" wrapText="1" readingOrder="1"/>
    </xf>
    <xf numFmtId="164" fontId="11" fillId="22" borderId="5" xfId="0" applyNumberFormat="1" applyFont="1" applyFill="1" applyBorder="1" applyAlignment="1">
      <alignment horizontal="center" vertical="center" wrapText="1" readingOrder="1"/>
    </xf>
    <xf numFmtId="164" fontId="6" fillId="29" borderId="5" xfId="0" applyNumberFormat="1" applyFont="1" applyFill="1" applyBorder="1" applyAlignment="1">
      <alignment horizontal="center" vertical="center" wrapText="1" readingOrder="1"/>
    </xf>
    <xf numFmtId="0" fontId="6" fillId="33" borderId="5" xfId="0" applyFont="1" applyFill="1" applyBorder="1" applyAlignment="1">
      <alignment horizontal="center" vertical="center" wrapText="1" readingOrder="1"/>
    </xf>
    <xf numFmtId="0" fontId="6" fillId="33" borderId="6" xfId="0" applyFont="1" applyFill="1" applyBorder="1" applyAlignment="1">
      <alignment horizontal="center" vertical="center" wrapText="1" readingOrder="1"/>
    </xf>
    <xf numFmtId="0" fontId="6" fillId="33" borderId="7" xfId="0" applyFont="1" applyFill="1" applyBorder="1" applyAlignment="1">
      <alignment horizontal="center" vertical="center" wrapText="1" readingOrder="1"/>
    </xf>
    <xf numFmtId="164" fontId="15" fillId="7" borderId="5" xfId="0" applyNumberFormat="1" applyFont="1" applyFill="1" applyBorder="1" applyAlignment="1">
      <alignment horizontal="center" vertical="center" wrapText="1" readingOrder="1"/>
    </xf>
    <xf numFmtId="164" fontId="15" fillId="34" borderId="5" xfId="0" applyNumberFormat="1" applyFont="1" applyFill="1" applyBorder="1" applyAlignment="1">
      <alignment horizontal="center" vertical="center" wrapText="1" readingOrder="1"/>
    </xf>
    <xf numFmtId="164" fontId="7" fillId="34" borderId="5" xfId="0" applyNumberFormat="1" applyFont="1" applyFill="1" applyBorder="1" applyAlignment="1">
      <alignment horizontal="center" vertical="center" wrapText="1" readingOrder="1"/>
    </xf>
    <xf numFmtId="0" fontId="39" fillId="0" borderId="23" xfId="0" applyFont="1" applyBorder="1"/>
    <xf numFmtId="0" fontId="42" fillId="15" borderId="53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49" fillId="0" borderId="11" xfId="0" applyNumberFormat="1" applyFont="1" applyBorder="1" applyAlignment="1">
      <alignment horizontal="center" vertical="center"/>
    </xf>
    <xf numFmtId="0" fontId="0" fillId="31" borderId="30" xfId="0" applyFill="1" applyBorder="1" applyAlignment="1">
      <alignment horizontal="center"/>
    </xf>
    <xf numFmtId="0" fontId="0" fillId="31" borderId="31" xfId="0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" fontId="6" fillId="22" borderId="5" xfId="0" applyNumberFormat="1" applyFont="1" applyFill="1" applyBorder="1" applyAlignment="1">
      <alignment horizontal="center" wrapText="1" readingOrder="1"/>
    </xf>
    <xf numFmtId="164" fontId="25" fillId="4" borderId="5" xfId="0" applyNumberFormat="1" applyFont="1" applyFill="1" applyBorder="1" applyAlignment="1">
      <alignment horizontal="center" wrapText="1" readingOrder="1"/>
    </xf>
    <xf numFmtId="164" fontId="6" fillId="4" borderId="5" xfId="0" applyNumberFormat="1" applyFont="1" applyFill="1" applyBorder="1" applyAlignment="1">
      <alignment horizontal="center" vertical="center" wrapText="1" readingOrder="1"/>
    </xf>
    <xf numFmtId="164" fontId="6" fillId="21" borderId="5" xfId="0" applyNumberFormat="1" applyFont="1" applyFill="1" applyBorder="1" applyAlignment="1">
      <alignment horizontal="center" vertical="center" wrapText="1" readingOrder="1"/>
    </xf>
    <xf numFmtId="164" fontId="7" fillId="20" borderId="5" xfId="0" applyNumberFormat="1" applyFont="1" applyFill="1" applyBorder="1" applyAlignment="1">
      <alignment horizontal="center" vertical="center" wrapText="1" readingOrder="1"/>
    </xf>
    <xf numFmtId="164" fontId="15" fillId="21" borderId="5" xfId="0" applyNumberFormat="1" applyFont="1" applyFill="1" applyBorder="1" applyAlignment="1">
      <alignment horizontal="center" vertical="center" wrapText="1" readingOrder="1"/>
    </xf>
    <xf numFmtId="164" fontId="8" fillId="21" borderId="5" xfId="0" applyNumberFormat="1" applyFont="1" applyFill="1" applyBorder="1" applyAlignment="1">
      <alignment horizontal="center" vertical="center" wrapText="1" readingOrder="1"/>
    </xf>
    <xf numFmtId="164" fontId="11" fillId="21" borderId="5" xfId="0" applyNumberFormat="1" applyFont="1" applyFill="1" applyBorder="1" applyAlignment="1">
      <alignment horizontal="center" vertical="center" wrapText="1" readingOrder="1"/>
    </xf>
    <xf numFmtId="164" fontId="11" fillId="22" borderId="5" xfId="0" applyNumberFormat="1" applyFont="1" applyFill="1" applyBorder="1" applyAlignment="1">
      <alignment horizontal="center" wrapText="1" readingOrder="1"/>
    </xf>
    <xf numFmtId="0" fontId="6" fillId="30" borderId="4" xfId="0" applyFont="1" applyFill="1" applyBorder="1" applyAlignment="1">
      <alignment horizontal="center" vertical="center" wrapText="1" readingOrder="1"/>
    </xf>
    <xf numFmtId="0" fontId="6" fillId="30" borderId="5" xfId="0" applyFont="1" applyFill="1" applyBorder="1" applyAlignment="1">
      <alignment horizontal="center" vertical="center" wrapText="1" readingOrder="1"/>
    </xf>
    <xf numFmtId="164" fontId="6" fillId="30" borderId="5" xfId="0" applyNumberFormat="1" applyFont="1" applyFill="1" applyBorder="1" applyAlignment="1">
      <alignment horizontal="center" vertical="center" wrapText="1" readingOrder="1"/>
    </xf>
    <xf numFmtId="0" fontId="6" fillId="30" borderId="6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0" fillId="9" borderId="24" xfId="0" applyFill="1" applyBorder="1" applyAlignment="1">
      <alignment horizontal="center"/>
    </xf>
    <xf numFmtId="0" fontId="0" fillId="0" borderId="8" xfId="0" applyBorder="1"/>
    <xf numFmtId="0" fontId="0" fillId="0" borderId="54" xfId="0" applyBorder="1"/>
    <xf numFmtId="0" fontId="39" fillId="0" borderId="22" xfId="0" applyFont="1" applyBorder="1"/>
    <xf numFmtId="0" fontId="0" fillId="20" borderId="15" xfId="0" applyFill="1" applyBorder="1" applyAlignment="1">
      <alignment horizontal="center"/>
    </xf>
    <xf numFmtId="0" fontId="42" fillId="0" borderId="0" xfId="0" applyFont="1" applyAlignment="1">
      <alignment horizontal="center"/>
    </xf>
    <xf numFmtId="0" fontId="0" fillId="0" borderId="54" xfId="0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9" borderId="9" xfId="0" applyFill="1" applyBorder="1" applyAlignment="1">
      <alignment horizontal="center"/>
    </xf>
    <xf numFmtId="0" fontId="0" fillId="9" borderId="54" xfId="0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42" fillId="0" borderId="16" xfId="0" applyFont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39" fillId="0" borderId="16" xfId="0" applyFont="1" applyBorder="1"/>
    <xf numFmtId="0" fontId="32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14" fontId="0" fillId="19" borderId="15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14" fontId="35" fillId="20" borderId="14" xfId="0" applyNumberFormat="1" applyFont="1" applyFill="1" applyBorder="1" applyAlignment="1">
      <alignment horizontal="center" vertical="center"/>
    </xf>
    <xf numFmtId="14" fontId="35" fillId="0" borderId="14" xfId="0" applyNumberFormat="1" applyFont="1" applyBorder="1" applyAlignment="1">
      <alignment horizontal="center" vertical="center"/>
    </xf>
    <xf numFmtId="14" fontId="35" fillId="19" borderId="11" xfId="0" applyNumberFormat="1" applyFont="1" applyFill="1" applyBorder="1" applyAlignment="1">
      <alignment horizontal="center" vertical="center"/>
    </xf>
    <xf numFmtId="14" fontId="35" fillId="19" borderId="14" xfId="0" applyNumberFormat="1" applyFont="1" applyFill="1" applyBorder="1" applyAlignment="1">
      <alignment horizontal="center" vertical="center"/>
    </xf>
    <xf numFmtId="14" fontId="35" fillId="20" borderId="58" xfId="0" applyNumberFormat="1" applyFont="1" applyFill="1" applyBorder="1" applyAlignment="1">
      <alignment horizontal="center" vertical="center"/>
    </xf>
    <xf numFmtId="14" fontId="35" fillId="20" borderId="59" xfId="0" applyNumberFormat="1" applyFont="1" applyFill="1" applyBorder="1" applyAlignment="1">
      <alignment horizontal="center" vertical="center"/>
    </xf>
    <xf numFmtId="14" fontId="35" fillId="0" borderId="59" xfId="0" applyNumberFormat="1" applyFont="1" applyBorder="1" applyAlignment="1">
      <alignment horizontal="center" vertical="center"/>
    </xf>
    <xf numFmtId="14" fontId="35" fillId="20" borderId="60" xfId="0" applyNumberFormat="1" applyFont="1" applyFill="1" applyBorder="1" applyAlignment="1">
      <alignment horizontal="center" vertical="center"/>
    </xf>
    <xf numFmtId="14" fontId="35" fillId="20" borderId="56" xfId="0" applyNumberFormat="1" applyFont="1" applyFill="1" applyBorder="1" applyAlignment="1">
      <alignment horizontal="center" vertical="center"/>
    </xf>
    <xf numFmtId="14" fontId="35" fillId="0" borderId="56" xfId="0" applyNumberFormat="1" applyFont="1" applyBorder="1" applyAlignment="1">
      <alignment horizontal="center" vertical="center"/>
    </xf>
    <xf numFmtId="14" fontId="35" fillId="20" borderId="57" xfId="0" applyNumberFormat="1" applyFont="1" applyFill="1" applyBorder="1" applyAlignment="1">
      <alignment horizontal="center" vertical="center"/>
    </xf>
    <xf numFmtId="14" fontId="35" fillId="0" borderId="58" xfId="0" applyNumberFormat="1" applyFont="1" applyBorder="1" applyAlignment="1">
      <alignment horizontal="center" vertical="center"/>
    </xf>
    <xf numFmtId="14" fontId="35" fillId="19" borderId="59" xfId="0" applyNumberFormat="1" applyFont="1" applyFill="1" applyBorder="1" applyAlignment="1">
      <alignment horizontal="center" vertical="center"/>
    </xf>
    <xf numFmtId="14" fontId="35" fillId="0" borderId="57" xfId="0" applyNumberFormat="1" applyFont="1" applyBorder="1" applyAlignment="1">
      <alignment horizontal="center" vertical="center"/>
    </xf>
    <xf numFmtId="14" fontId="35" fillId="0" borderId="60" xfId="0" applyNumberFormat="1" applyFont="1" applyBorder="1" applyAlignment="1">
      <alignment horizontal="center" vertical="center"/>
    </xf>
    <xf numFmtId="14" fontId="35" fillId="20" borderId="12" xfId="0" applyNumberFormat="1" applyFont="1" applyFill="1" applyBorder="1" applyAlignment="1">
      <alignment horizontal="center" vertical="center"/>
    </xf>
    <xf numFmtId="14" fontId="35" fillId="0" borderId="12" xfId="0" applyNumberFormat="1" applyFont="1" applyBorder="1" applyAlignment="1">
      <alignment horizontal="center" vertical="center"/>
    </xf>
    <xf numFmtId="14" fontId="35" fillId="0" borderId="62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55" xfId="0" applyFont="1" applyBorder="1" applyAlignment="1">
      <alignment vertical="top" wrapText="1"/>
    </xf>
    <xf numFmtId="0" fontId="29" fillId="0" borderId="0" xfId="0" applyFont="1" applyAlignment="1">
      <alignment vertical="top" wrapText="1"/>
    </xf>
    <xf numFmtId="0" fontId="29" fillId="0" borderId="54" xfId="0" applyFont="1" applyBorder="1" applyAlignment="1">
      <alignment vertical="top" wrapText="1"/>
    </xf>
    <xf numFmtId="0" fontId="29" fillId="0" borderId="55" xfId="0" applyFont="1" applyBorder="1" applyAlignment="1">
      <alignment vertical="center" wrapText="1"/>
    </xf>
    <xf numFmtId="14" fontId="35" fillId="0" borderId="64" xfId="0" applyNumberFormat="1" applyFont="1" applyBorder="1" applyAlignment="1">
      <alignment horizontal="center" vertical="center"/>
    </xf>
    <xf numFmtId="0" fontId="31" fillId="38" borderId="9" xfId="0" applyFont="1" applyFill="1" applyBorder="1" applyAlignment="1">
      <alignment horizontal="center" vertical="center"/>
    </xf>
    <xf numFmtId="0" fontId="31" fillId="38" borderId="9" xfId="0" applyFont="1" applyFill="1" applyBorder="1" applyAlignment="1">
      <alignment horizontal="left" vertical="center" wrapText="1"/>
    </xf>
    <xf numFmtId="14" fontId="40" fillId="39" borderId="65" xfId="0" applyNumberFormat="1" applyFont="1" applyFill="1" applyBorder="1" applyAlignment="1">
      <alignment horizontal="center" vertical="center"/>
    </xf>
    <xf numFmtId="14" fontId="35" fillId="38" borderId="65" xfId="0" applyNumberFormat="1" applyFont="1" applyFill="1" applyBorder="1" applyAlignment="1">
      <alignment horizontal="center" vertical="center"/>
    </xf>
    <xf numFmtId="14" fontId="35" fillId="38" borderId="66" xfId="0" applyNumberFormat="1" applyFont="1" applyFill="1" applyBorder="1" applyAlignment="1">
      <alignment horizontal="center" vertical="center"/>
    </xf>
    <xf numFmtId="0" fontId="50" fillId="38" borderId="8" xfId="0" applyFont="1" applyFill="1" applyBorder="1" applyAlignment="1">
      <alignment horizontal="left" vertical="center" wrapText="1"/>
    </xf>
    <xf numFmtId="14" fontId="34" fillId="20" borderId="25" xfId="0" applyNumberFormat="1" applyFont="1" applyFill="1" applyBorder="1" applyAlignment="1">
      <alignment horizontal="center" vertical="center" wrapText="1" readingOrder="1"/>
    </xf>
    <xf numFmtId="14" fontId="35" fillId="20" borderId="25" xfId="0" applyNumberFormat="1" applyFont="1" applyFill="1" applyBorder="1" applyAlignment="1">
      <alignment horizontal="center" vertical="center"/>
    </xf>
    <xf numFmtId="14" fontId="34" fillId="21" borderId="25" xfId="0" applyNumberFormat="1" applyFont="1" applyFill="1" applyBorder="1" applyAlignment="1">
      <alignment horizontal="center" vertical="center" wrapText="1" readingOrder="1"/>
    </xf>
    <xf numFmtId="14" fontId="34" fillId="30" borderId="25" xfId="0" applyNumberFormat="1" applyFont="1" applyFill="1" applyBorder="1" applyAlignment="1">
      <alignment horizontal="center" vertical="center" wrapText="1" readingOrder="1"/>
    </xf>
    <xf numFmtId="14" fontId="34" fillId="21" borderId="68" xfId="0" applyNumberFormat="1" applyFont="1" applyFill="1" applyBorder="1" applyAlignment="1">
      <alignment horizontal="center" vertical="center" wrapText="1" readingOrder="1"/>
    </xf>
    <xf numFmtId="14" fontId="35" fillId="0" borderId="69" xfId="0" applyNumberFormat="1" applyFont="1" applyBorder="1" applyAlignment="1">
      <alignment horizontal="center" vertical="center"/>
    </xf>
    <xf numFmtId="14" fontId="35" fillId="0" borderId="25" xfId="0" applyNumberFormat="1" applyFont="1" applyBorder="1" applyAlignment="1">
      <alignment horizontal="center" vertical="center"/>
    </xf>
    <xf numFmtId="14" fontId="35" fillId="0" borderId="53" xfId="0" applyNumberFormat="1" applyFont="1" applyBorder="1" applyAlignment="1">
      <alignment horizontal="center" vertical="center"/>
    </xf>
    <xf numFmtId="14" fontId="40" fillId="39" borderId="63" xfId="0" applyNumberFormat="1" applyFont="1" applyFill="1" applyBorder="1" applyAlignment="1">
      <alignment horizontal="center" vertical="center"/>
    </xf>
    <xf numFmtId="14" fontId="35" fillId="20" borderId="50" xfId="0" applyNumberFormat="1" applyFont="1" applyFill="1" applyBorder="1" applyAlignment="1">
      <alignment horizontal="center" vertical="center"/>
    </xf>
    <xf numFmtId="14" fontId="34" fillId="21" borderId="53" xfId="0" applyNumberFormat="1" applyFont="1" applyFill="1" applyBorder="1" applyAlignment="1">
      <alignment horizontal="center" vertical="center" wrapText="1" readingOrder="1"/>
    </xf>
    <xf numFmtId="14" fontId="34" fillId="20" borderId="53" xfId="0" applyNumberFormat="1" applyFont="1" applyFill="1" applyBorder="1" applyAlignment="1">
      <alignment horizontal="center" vertical="center" wrapText="1" readingOrder="1"/>
    </xf>
    <xf numFmtId="14" fontId="35" fillId="38" borderId="63" xfId="0" applyNumberFormat="1" applyFont="1" applyFill="1" applyBorder="1" applyAlignment="1">
      <alignment horizontal="center" vertical="center"/>
    </xf>
    <xf numFmtId="14" fontId="35" fillId="38" borderId="70" xfId="0" applyNumberFormat="1" applyFont="1" applyFill="1" applyBorder="1" applyAlignment="1">
      <alignment horizontal="center" vertical="center"/>
    </xf>
    <xf numFmtId="14" fontId="35" fillId="20" borderId="64" xfId="0" applyNumberFormat="1" applyFont="1" applyFill="1" applyBorder="1" applyAlignment="1">
      <alignment horizontal="center" vertical="center"/>
    </xf>
    <xf numFmtId="14" fontId="45" fillId="17" borderId="72" xfId="0" applyNumberFormat="1" applyFont="1" applyFill="1" applyBorder="1" applyAlignment="1">
      <alignment horizontal="center" vertical="center" wrapText="1" readingOrder="1"/>
    </xf>
    <xf numFmtId="14" fontId="46" fillId="17" borderId="72" xfId="0" applyNumberFormat="1" applyFont="1" applyFill="1" applyBorder="1" applyAlignment="1">
      <alignment horizontal="center" vertical="center"/>
    </xf>
    <xf numFmtId="14" fontId="46" fillId="17" borderId="73" xfId="0" applyNumberFormat="1" applyFont="1" applyFill="1" applyBorder="1" applyAlignment="1">
      <alignment horizontal="center" vertical="center"/>
    </xf>
    <xf numFmtId="14" fontId="45" fillId="35" borderId="74" xfId="0" applyNumberFormat="1" applyFont="1" applyFill="1" applyBorder="1" applyAlignment="1">
      <alignment horizontal="center" vertical="center" wrapText="1" readingOrder="1"/>
    </xf>
    <xf numFmtId="14" fontId="45" fillId="35" borderId="72" xfId="0" applyNumberFormat="1" applyFont="1" applyFill="1" applyBorder="1" applyAlignment="1">
      <alignment horizontal="center" vertical="center" wrapText="1" readingOrder="1"/>
    </xf>
    <xf numFmtId="14" fontId="45" fillId="35" borderId="75" xfId="0" applyNumberFormat="1" applyFont="1" applyFill="1" applyBorder="1" applyAlignment="1">
      <alignment horizontal="center" vertical="center" wrapText="1" readingOrder="1"/>
    </xf>
    <xf numFmtId="14" fontId="46" fillId="17" borderId="76" xfId="0" applyNumberFormat="1" applyFont="1" applyFill="1" applyBorder="1" applyAlignment="1">
      <alignment horizontal="center" vertical="center"/>
    </xf>
    <xf numFmtId="14" fontId="45" fillId="17" borderId="73" xfId="0" applyNumberFormat="1" applyFont="1" applyFill="1" applyBorder="1" applyAlignment="1">
      <alignment horizontal="center" vertical="center" wrapText="1" readingOrder="1"/>
    </xf>
    <xf numFmtId="14" fontId="46" fillId="17" borderId="74" xfId="0" applyNumberFormat="1" applyFont="1" applyFill="1" applyBorder="1" applyAlignment="1">
      <alignment horizontal="center" vertical="center"/>
    </xf>
    <xf numFmtId="14" fontId="46" fillId="17" borderId="77" xfId="0" applyNumberFormat="1" applyFont="1" applyFill="1" applyBorder="1" applyAlignment="1">
      <alignment horizontal="center" vertical="center"/>
    </xf>
    <xf numFmtId="14" fontId="35" fillId="20" borderId="41" xfId="0" applyNumberFormat="1" applyFont="1" applyFill="1" applyBorder="1" applyAlignment="1">
      <alignment horizontal="center" vertical="center"/>
    </xf>
    <xf numFmtId="14" fontId="34" fillId="20" borderId="79" xfId="0" applyNumberFormat="1" applyFont="1" applyFill="1" applyBorder="1" applyAlignment="1">
      <alignment horizontal="center" vertical="center" wrapText="1" readingOrder="1"/>
    </xf>
    <xf numFmtId="14" fontId="35" fillId="20" borderId="79" xfId="0" applyNumberFormat="1" applyFont="1" applyFill="1" applyBorder="1" applyAlignment="1">
      <alignment horizontal="center" vertical="center"/>
    </xf>
    <xf numFmtId="14" fontId="34" fillId="21" borderId="79" xfId="0" applyNumberFormat="1" applyFont="1" applyFill="1" applyBorder="1" applyAlignment="1">
      <alignment horizontal="center" vertical="center" wrapText="1" readingOrder="1"/>
    </xf>
    <xf numFmtId="14" fontId="35" fillId="20" borderId="80" xfId="0" applyNumberFormat="1" applyFont="1" applyFill="1" applyBorder="1" applyAlignment="1">
      <alignment horizontal="center" vertical="center"/>
    </xf>
    <xf numFmtId="14" fontId="34" fillId="21" borderId="81" xfId="0" applyNumberFormat="1" applyFont="1" applyFill="1" applyBorder="1" applyAlignment="1">
      <alignment horizontal="center" vertical="center" wrapText="1" readingOrder="1"/>
    </xf>
    <xf numFmtId="14" fontId="34" fillId="30" borderId="79" xfId="0" applyNumberFormat="1" applyFont="1" applyFill="1" applyBorder="1" applyAlignment="1">
      <alignment horizontal="center" vertical="center" wrapText="1" readingOrder="1"/>
    </xf>
    <xf numFmtId="14" fontId="34" fillId="21" borderId="82" xfId="0" applyNumberFormat="1" applyFont="1" applyFill="1" applyBorder="1" applyAlignment="1">
      <alignment horizontal="center" vertical="center" wrapText="1" readingOrder="1"/>
    </xf>
    <xf numFmtId="14" fontId="35" fillId="0" borderId="83" xfId="0" applyNumberFormat="1" applyFont="1" applyBorder="1" applyAlignment="1">
      <alignment horizontal="center" vertical="center"/>
    </xf>
    <xf numFmtId="14" fontId="35" fillId="0" borderId="81" xfId="0" applyNumberFormat="1" applyFont="1" applyBorder="1" applyAlignment="1">
      <alignment horizontal="center" vertical="center"/>
    </xf>
    <xf numFmtId="14" fontId="35" fillId="0" borderId="79" xfId="0" applyNumberFormat="1" applyFont="1" applyBorder="1" applyAlignment="1">
      <alignment horizontal="center" vertical="center"/>
    </xf>
    <xf numFmtId="14" fontId="35" fillId="20" borderId="84" xfId="0" applyNumberFormat="1" applyFont="1" applyFill="1" applyBorder="1" applyAlignment="1">
      <alignment horizontal="center" vertical="center"/>
    </xf>
    <xf numFmtId="14" fontId="35" fillId="20" borderId="85" xfId="0" applyNumberFormat="1" applyFont="1" applyFill="1" applyBorder="1" applyAlignment="1">
      <alignment horizontal="center" vertical="center"/>
    </xf>
    <xf numFmtId="14" fontId="35" fillId="0" borderId="86" xfId="0" applyNumberFormat="1" applyFont="1" applyBorder="1" applyAlignment="1">
      <alignment horizontal="center" vertical="center"/>
    </xf>
    <xf numFmtId="14" fontId="35" fillId="20" borderId="86" xfId="0" applyNumberFormat="1" applyFont="1" applyFill="1" applyBorder="1" applyAlignment="1">
      <alignment horizontal="center" vertical="center"/>
    </xf>
    <xf numFmtId="14" fontId="35" fillId="20" borderId="87" xfId="0" applyNumberFormat="1" applyFont="1" applyFill="1" applyBorder="1" applyAlignment="1">
      <alignment horizontal="center" vertical="center"/>
    </xf>
    <xf numFmtId="14" fontId="35" fillId="29" borderId="88" xfId="0" applyNumberFormat="1" applyFont="1" applyFill="1" applyBorder="1" applyAlignment="1">
      <alignment horizontal="center" vertical="center"/>
    </xf>
    <xf numFmtId="14" fontId="35" fillId="29" borderId="89" xfId="0" applyNumberFormat="1" applyFont="1" applyFill="1" applyBorder="1" applyAlignment="1">
      <alignment horizontal="center" vertical="center"/>
    </xf>
    <xf numFmtId="14" fontId="35" fillId="29" borderId="90" xfId="0" applyNumberFormat="1" applyFont="1" applyFill="1" applyBorder="1" applyAlignment="1">
      <alignment horizontal="center" vertical="center"/>
    </xf>
    <xf numFmtId="14" fontId="45" fillId="17" borderId="74" xfId="0" applyNumberFormat="1" applyFont="1" applyFill="1" applyBorder="1" applyAlignment="1">
      <alignment horizontal="center" vertical="center" wrapText="1" readingOrder="1"/>
    </xf>
    <xf numFmtId="14" fontId="34" fillId="20" borderId="81" xfId="0" applyNumberFormat="1" applyFont="1" applyFill="1" applyBorder="1" applyAlignment="1">
      <alignment horizontal="center" vertical="center" wrapText="1" readingOrder="1"/>
    </xf>
    <xf numFmtId="14" fontId="46" fillId="29" borderId="88" xfId="0" applyNumberFormat="1" applyFont="1" applyFill="1" applyBorder="1" applyAlignment="1">
      <alignment horizontal="center" vertical="center"/>
    </xf>
    <xf numFmtId="14" fontId="35" fillId="20" borderId="91" xfId="0" applyNumberFormat="1" applyFont="1" applyFill="1" applyBorder="1" applyAlignment="1">
      <alignment horizontal="center" vertical="center"/>
    </xf>
    <xf numFmtId="14" fontId="40" fillId="39" borderId="13" xfId="0" applyNumberFormat="1" applyFont="1" applyFill="1" applyBorder="1" applyAlignment="1">
      <alignment horizontal="center" vertical="center"/>
    </xf>
    <xf numFmtId="14" fontId="35" fillId="20" borderId="92" xfId="0" applyNumberFormat="1" applyFont="1" applyFill="1" applyBorder="1" applyAlignment="1">
      <alignment horizontal="center" vertical="center"/>
    </xf>
    <xf numFmtId="14" fontId="40" fillId="36" borderId="88" xfId="0" applyNumberFormat="1" applyFont="1" applyFill="1" applyBorder="1" applyAlignment="1">
      <alignment horizontal="center" vertical="center"/>
    </xf>
    <xf numFmtId="14" fontId="40" fillId="36" borderId="89" xfId="0" applyNumberFormat="1" applyFont="1" applyFill="1" applyBorder="1" applyAlignment="1">
      <alignment horizontal="center" vertical="center"/>
    </xf>
    <xf numFmtId="14" fontId="40" fillId="36" borderId="90" xfId="0" applyNumberFormat="1" applyFont="1" applyFill="1" applyBorder="1" applyAlignment="1">
      <alignment horizontal="center" vertical="center"/>
    </xf>
    <xf numFmtId="14" fontId="35" fillId="0" borderId="85" xfId="0" applyNumberFormat="1" applyFont="1" applyBorder="1" applyAlignment="1">
      <alignment horizontal="center" vertical="center"/>
    </xf>
    <xf numFmtId="14" fontId="35" fillId="0" borderId="87" xfId="0" applyNumberFormat="1" applyFont="1" applyBorder="1" applyAlignment="1">
      <alignment horizontal="center" vertical="center"/>
    </xf>
    <xf numFmtId="14" fontId="40" fillId="36" borderId="93" xfId="0" applyNumberFormat="1" applyFont="1" applyFill="1" applyBorder="1" applyAlignment="1">
      <alignment horizontal="center" vertical="center"/>
    </xf>
    <xf numFmtId="14" fontId="40" fillId="36" borderId="94" xfId="0" applyNumberFormat="1" applyFont="1" applyFill="1" applyBorder="1" applyAlignment="1">
      <alignment horizontal="center" vertical="center"/>
    </xf>
    <xf numFmtId="14" fontId="40" fillId="36" borderId="95" xfId="0" applyNumberFormat="1" applyFont="1" applyFill="1" applyBorder="1" applyAlignment="1">
      <alignment horizontal="center" vertical="center"/>
    </xf>
    <xf numFmtId="14" fontId="35" fillId="38" borderId="61" xfId="0" applyNumberFormat="1" applyFont="1" applyFill="1" applyBorder="1" applyAlignment="1">
      <alignment horizontal="center" vertical="center"/>
    </xf>
    <xf numFmtId="14" fontId="35" fillId="0" borderId="71" xfId="0" applyNumberFormat="1" applyFont="1" applyBorder="1" applyAlignment="1">
      <alignment horizontal="center" vertical="center"/>
    </xf>
    <xf numFmtId="14" fontId="35" fillId="0" borderId="72" xfId="0" applyNumberFormat="1" applyFont="1" applyBorder="1" applyAlignment="1">
      <alignment horizontal="center" vertical="center"/>
    </xf>
    <xf numFmtId="14" fontId="35" fillId="0" borderId="77" xfId="0" applyNumberFormat="1" applyFont="1" applyBorder="1" applyAlignment="1">
      <alignment horizontal="center" vertical="center"/>
    </xf>
    <xf numFmtId="14" fontId="35" fillId="0" borderId="42" xfId="0" applyNumberFormat="1" applyFont="1" applyBorder="1" applyAlignment="1">
      <alignment horizontal="center" vertical="center"/>
    </xf>
    <xf numFmtId="14" fontId="35" fillId="0" borderId="41" xfId="0" applyNumberFormat="1" applyFont="1" applyBorder="1" applyAlignment="1">
      <alignment horizontal="center" vertical="center"/>
    </xf>
    <xf numFmtId="14" fontId="35" fillId="0" borderId="78" xfId="0" applyNumberFormat="1" applyFont="1" applyBorder="1" applyAlignment="1">
      <alignment horizontal="center" vertical="center"/>
    </xf>
    <xf numFmtId="14" fontId="35" fillId="0" borderId="84" xfId="0" applyNumberFormat="1" applyFont="1" applyBorder="1" applyAlignment="1">
      <alignment horizontal="center" vertical="center"/>
    </xf>
    <xf numFmtId="14" fontId="35" fillId="0" borderId="91" xfId="0" applyNumberFormat="1" applyFont="1" applyBorder="1" applyAlignment="1">
      <alignment horizontal="center" vertical="center"/>
    </xf>
    <xf numFmtId="14" fontId="49" fillId="0" borderId="86" xfId="0" applyNumberFormat="1" applyFont="1" applyBorder="1" applyAlignment="1">
      <alignment horizontal="center" vertical="center"/>
    </xf>
    <xf numFmtId="14" fontId="35" fillId="0" borderId="92" xfId="0" applyNumberFormat="1" applyFont="1" applyBorder="1" applyAlignment="1">
      <alignment horizontal="center" vertical="center"/>
    </xf>
    <xf numFmtId="14" fontId="34" fillId="20" borderId="50" xfId="0" applyNumberFormat="1" applyFont="1" applyFill="1" applyBorder="1" applyAlignment="1">
      <alignment horizontal="center" vertical="center" wrapText="1" readingOrder="1"/>
    </xf>
    <xf numFmtId="0" fontId="27" fillId="4" borderId="6" xfId="0" applyFont="1" applyFill="1" applyBorder="1" applyAlignment="1">
      <alignment horizontal="left" vertical="center" wrapText="1" readingOrder="1"/>
    </xf>
    <xf numFmtId="0" fontId="0" fillId="0" borderId="25" xfId="0" applyBorder="1" applyAlignment="1">
      <alignment vertical="center"/>
    </xf>
    <xf numFmtId="0" fontId="42" fillId="0" borderId="25" xfId="0" applyFont="1" applyBorder="1" applyAlignment="1">
      <alignment vertical="center"/>
    </xf>
    <xf numFmtId="0" fontId="52" fillId="0" borderId="25" xfId="0" applyFont="1" applyBorder="1" applyAlignment="1">
      <alignment horizontal="center" vertical="center"/>
    </xf>
    <xf numFmtId="164" fontId="7" fillId="9" borderId="5" xfId="0" applyNumberFormat="1" applyFont="1" applyFill="1" applyBorder="1" applyAlignment="1">
      <alignment horizontal="center" vertical="center" wrapText="1" readingOrder="1"/>
    </xf>
    <xf numFmtId="0" fontId="0" fillId="0" borderId="25" xfId="0" applyBorder="1"/>
    <xf numFmtId="0" fontId="0" fillId="0" borderId="25" xfId="0" applyBorder="1" applyAlignment="1">
      <alignment horizontal="center"/>
    </xf>
    <xf numFmtId="14" fontId="0" fillId="0" borderId="25" xfId="0" applyNumberFormat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19" borderId="25" xfId="0" applyFill="1" applyBorder="1" applyAlignment="1">
      <alignment horizontal="center"/>
    </xf>
    <xf numFmtId="0" fontId="42" fillId="0" borderId="25" xfId="0" applyFont="1" applyBorder="1"/>
    <xf numFmtId="0" fontId="42" fillId="0" borderId="25" xfId="0" applyFont="1" applyBorder="1" applyAlignment="1">
      <alignment horizontal="center"/>
    </xf>
    <xf numFmtId="0" fontId="0" fillId="31" borderId="0" xfId="0" applyFill="1" applyAlignment="1">
      <alignment horizontal="center"/>
    </xf>
    <xf numFmtId="164" fontId="8" fillId="40" borderId="5" xfId="0" applyNumberFormat="1" applyFont="1" applyFill="1" applyBorder="1" applyAlignment="1">
      <alignment horizontal="center" vertical="center" wrapText="1" readingOrder="1"/>
    </xf>
    <xf numFmtId="0" fontId="32" fillId="0" borderId="0" xfId="0" applyFont="1" applyAlignment="1">
      <alignment vertical="center" wrapText="1"/>
    </xf>
    <xf numFmtId="0" fontId="31" fillId="38" borderId="9" xfId="0" applyFont="1" applyFill="1" applyBorder="1" applyAlignment="1">
      <alignment wrapText="1"/>
    </xf>
    <xf numFmtId="0" fontId="31" fillId="0" borderId="55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54" xfId="0" applyFont="1" applyBorder="1" applyAlignment="1">
      <alignment vertical="center" wrapText="1"/>
    </xf>
    <xf numFmtId="0" fontId="31" fillId="0" borderId="54" xfId="0" applyFont="1" applyBorder="1" applyAlignment="1">
      <alignment wrapText="1"/>
    </xf>
    <xf numFmtId="0" fontId="29" fillId="0" borderId="54" xfId="0" applyFont="1" applyBorder="1" applyAlignment="1">
      <alignment vertical="center" wrapText="1"/>
    </xf>
    <xf numFmtId="0" fontId="20" fillId="0" borderId="96" xfId="0" applyFont="1" applyBorder="1"/>
    <xf numFmtId="0" fontId="0" fillId="17" borderId="96" xfId="0" applyFill="1" applyBorder="1"/>
    <xf numFmtId="0" fontId="0" fillId="0" borderId="96" xfId="0" applyBorder="1"/>
    <xf numFmtId="0" fontId="21" fillId="0" borderId="96" xfId="0" applyFont="1" applyBorder="1" applyAlignment="1">
      <alignment horizontal="left" vertical="center" wrapText="1" readingOrder="1"/>
    </xf>
    <xf numFmtId="0" fontId="1" fillId="0" borderId="96" xfId="0" applyFont="1" applyBorder="1"/>
    <xf numFmtId="0" fontId="0" fillId="15" borderId="96" xfId="0" applyFill="1" applyBorder="1"/>
    <xf numFmtId="0" fontId="0" fillId="0" borderId="97" xfId="0" applyBorder="1"/>
    <xf numFmtId="0" fontId="0" fillId="0" borderId="98" xfId="0" applyBorder="1"/>
    <xf numFmtId="0" fontId="0" fillId="29" borderId="39" xfId="0" applyFill="1" applyBorder="1" applyAlignment="1">
      <alignment horizontal="center" vertical="center"/>
    </xf>
    <xf numFmtId="0" fontId="0" fillId="29" borderId="29" xfId="0" applyFill="1" applyBorder="1" applyAlignment="1">
      <alignment horizontal="center" vertical="center"/>
    </xf>
    <xf numFmtId="0" fontId="0" fillId="29" borderId="30" xfId="0" applyFill="1" applyBorder="1" applyAlignment="1">
      <alignment horizontal="center" vertical="center"/>
    </xf>
    <xf numFmtId="0" fontId="0" fillId="29" borderId="31" xfId="0" applyFill="1" applyBorder="1" applyAlignment="1">
      <alignment horizontal="center" vertical="center"/>
    </xf>
    <xf numFmtId="0" fontId="0" fillId="29" borderId="35" xfId="0" applyFill="1" applyBorder="1" applyAlignment="1">
      <alignment horizontal="center" vertical="center"/>
    </xf>
    <xf numFmtId="0" fontId="0" fillId="29" borderId="36" xfId="0" applyFill="1" applyBorder="1" applyAlignment="1">
      <alignment horizontal="center" vertical="center"/>
    </xf>
    <xf numFmtId="0" fontId="0" fillId="29" borderId="32" xfId="0" applyFill="1" applyBorder="1" applyAlignment="1">
      <alignment horizontal="center" vertical="center"/>
    </xf>
    <xf numFmtId="0" fontId="0" fillId="29" borderId="33" xfId="0" applyFill="1" applyBorder="1" applyAlignment="1">
      <alignment horizontal="center" vertical="center"/>
    </xf>
    <xf numFmtId="0" fontId="0" fillId="29" borderId="34" xfId="0" applyFill="1" applyBorder="1" applyAlignment="1">
      <alignment horizontal="center" vertical="center"/>
    </xf>
    <xf numFmtId="0" fontId="0" fillId="29" borderId="37" xfId="0" applyFill="1" applyBorder="1" applyAlignment="1">
      <alignment horizontal="center" vertical="center"/>
    </xf>
    <xf numFmtId="0" fontId="0" fillId="29" borderId="40" xfId="0" applyFill="1" applyBorder="1" applyAlignment="1">
      <alignment horizontal="center" vertical="center"/>
    </xf>
    <xf numFmtId="0" fontId="0" fillId="29" borderId="33" xfId="0" applyFill="1" applyBorder="1"/>
    <xf numFmtId="0" fontId="0" fillId="29" borderId="34" xfId="0" applyFill="1" applyBorder="1"/>
    <xf numFmtId="0" fontId="0" fillId="29" borderId="37" xfId="0" applyFill="1" applyBorder="1"/>
    <xf numFmtId="49" fontId="0" fillId="0" borderId="40" xfId="0" applyNumberFormat="1" applyBorder="1" applyAlignment="1">
      <alignment horizontal="center" vertical="center"/>
    </xf>
    <xf numFmtId="49" fontId="0" fillId="29" borderId="40" xfId="0" applyNumberForma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53" fillId="4" borderId="5" xfId="1" applyNumberFormat="1" applyFont="1" applyFill="1" applyBorder="1" applyAlignment="1">
      <alignment horizontal="center" vertical="center" wrapText="1" readingOrder="1"/>
    </xf>
    <xf numFmtId="1" fontId="7" fillId="4" borderId="5" xfId="0" applyNumberFormat="1" applyFont="1" applyFill="1" applyBorder="1" applyAlignment="1">
      <alignment horizontal="center" vertical="center" wrapText="1" readingOrder="1"/>
    </xf>
    <xf numFmtId="1" fontId="14" fillId="4" borderId="5" xfId="0" applyNumberFormat="1" applyFont="1" applyFill="1" applyBorder="1" applyAlignment="1">
      <alignment horizontal="center" vertical="center" wrapText="1" readingOrder="1"/>
    </xf>
    <xf numFmtId="0" fontId="42" fillId="31" borderId="0" xfId="0" applyFont="1" applyFill="1" applyAlignment="1">
      <alignment horizontal="center"/>
    </xf>
    <xf numFmtId="0" fontId="0" fillId="0" borderId="25" xfId="0" applyBorder="1" applyAlignment="1">
      <alignment horizontal="center" vertical="center"/>
    </xf>
    <xf numFmtId="14" fontId="0" fillId="19" borderId="25" xfId="0" applyNumberFormat="1" applyFill="1" applyBorder="1" applyAlignment="1">
      <alignment horizontal="center" vertical="center"/>
    </xf>
    <xf numFmtId="0" fontId="0" fillId="20" borderId="25" xfId="0" applyFill="1" applyBorder="1" applyAlignment="1">
      <alignment horizontal="center" vertical="center"/>
    </xf>
    <xf numFmtId="0" fontId="0" fillId="31" borderId="25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49" fontId="0" fillId="31" borderId="25" xfId="0" applyNumberFormat="1" applyFill="1" applyBorder="1" applyAlignment="1">
      <alignment horizontal="center" vertical="center"/>
    </xf>
    <xf numFmtId="0" fontId="54" fillId="0" borderId="25" xfId="0" applyFont="1" applyBorder="1" applyAlignment="1">
      <alignment vertical="center"/>
    </xf>
    <xf numFmtId="0" fontId="0" fillId="0" borderId="53" xfId="0" applyBorder="1" applyAlignment="1">
      <alignment vertical="center"/>
    </xf>
    <xf numFmtId="0" fontId="33" fillId="32" borderId="12" xfId="0" applyFont="1" applyFill="1" applyBorder="1" applyAlignment="1">
      <alignment horizontal="center" vertical="center" textRotation="90" wrapText="1" readingOrder="1"/>
    </xf>
    <xf numFmtId="0" fontId="20" fillId="12" borderId="12" xfId="0" applyFont="1" applyFill="1" applyBorder="1" applyAlignment="1">
      <alignment horizontal="center" vertical="center" textRotation="90" wrapText="1"/>
    </xf>
    <xf numFmtId="0" fontId="20" fillId="12" borderId="12" xfId="0" applyFont="1" applyFill="1" applyBorder="1" applyAlignment="1">
      <alignment horizontal="center" vertical="center" textRotation="90"/>
    </xf>
    <xf numFmtId="0" fontId="33" fillId="37" borderId="12" xfId="0" applyFont="1" applyFill="1" applyBorder="1" applyAlignment="1">
      <alignment horizontal="center" vertical="center" textRotation="90" wrapText="1" readingOrder="1"/>
    </xf>
    <xf numFmtId="0" fontId="33" fillId="25" borderId="12" xfId="0" applyFont="1" applyFill="1" applyBorder="1" applyAlignment="1">
      <alignment horizontal="center" vertical="center" textRotation="90" wrapText="1" readingOrder="1"/>
    </xf>
    <xf numFmtId="0" fontId="20" fillId="24" borderId="12" xfId="0" applyFont="1" applyFill="1" applyBorder="1" applyAlignment="1">
      <alignment horizontal="center" vertical="center" textRotation="90"/>
    </xf>
    <xf numFmtId="0" fontId="51" fillId="42" borderId="99" xfId="0" applyFont="1" applyFill="1" applyBorder="1" applyAlignment="1">
      <alignment horizontal="center" vertical="center"/>
    </xf>
    <xf numFmtId="0" fontId="51" fillId="42" borderId="25" xfId="0" applyFont="1" applyFill="1" applyBorder="1" applyAlignment="1">
      <alignment vertical="center"/>
    </xf>
    <xf numFmtId="0" fontId="51" fillId="42" borderId="25" xfId="0" applyFont="1" applyFill="1" applyBorder="1" applyAlignment="1">
      <alignment horizontal="center" vertical="center"/>
    </xf>
    <xf numFmtId="0" fontId="55" fillId="31" borderId="0" xfId="0" applyFont="1" applyFill="1"/>
    <xf numFmtId="0" fontId="42" fillId="31" borderId="0" xfId="0" applyFont="1" applyFill="1"/>
    <xf numFmtId="0" fontId="51" fillId="42" borderId="47" xfId="0" applyFont="1" applyFill="1" applyBorder="1" applyAlignment="1">
      <alignment horizontal="center" vertical="center"/>
    </xf>
    <xf numFmtId="0" fontId="0" fillId="31" borderId="25" xfId="0" applyFill="1" applyBorder="1" applyAlignment="1">
      <alignment horizontal="center" vertical="center" wrapText="1"/>
    </xf>
    <xf numFmtId="0" fontId="51" fillId="42" borderId="47" xfId="0" applyFont="1" applyFill="1" applyBorder="1" applyAlignment="1">
      <alignment vertical="center"/>
    </xf>
    <xf numFmtId="164" fontId="56" fillId="20" borderId="5" xfId="0" applyNumberFormat="1" applyFont="1" applyFill="1" applyBorder="1" applyAlignment="1">
      <alignment horizontal="center" vertical="center" wrapText="1" readingOrder="1"/>
    </xf>
    <xf numFmtId="164" fontId="37" fillId="21" borderId="5" xfId="0" applyNumberFormat="1" applyFont="1" applyFill="1" applyBorder="1" applyAlignment="1">
      <alignment horizontal="center" vertical="center" wrapText="1" readingOrder="1"/>
    </xf>
    <xf numFmtId="164" fontId="56" fillId="22" borderId="5" xfId="0" applyNumberFormat="1" applyFont="1" applyFill="1" applyBorder="1" applyAlignment="1">
      <alignment horizontal="center" vertical="center" wrapText="1" readingOrder="1"/>
    </xf>
    <xf numFmtId="164" fontId="57" fillId="9" borderId="5" xfId="0" applyNumberFormat="1" applyFont="1" applyFill="1" applyBorder="1" applyAlignment="1">
      <alignment horizontal="center" vertical="center" wrapText="1" readingOrder="1"/>
    </xf>
    <xf numFmtId="164" fontId="56" fillId="19" borderId="5" xfId="0" applyNumberFormat="1" applyFont="1" applyFill="1" applyBorder="1" applyAlignment="1">
      <alignment horizontal="center" vertical="center" wrapText="1" readingOrder="1"/>
    </xf>
    <xf numFmtId="164" fontId="57" fillId="19" borderId="5" xfId="0" applyNumberFormat="1" applyFont="1" applyFill="1" applyBorder="1" applyAlignment="1">
      <alignment horizontal="center" vertical="center" wrapText="1" readingOrder="1"/>
    </xf>
    <xf numFmtId="0" fontId="37" fillId="30" borderId="4" xfId="0" applyFont="1" applyFill="1" applyBorder="1" applyAlignment="1">
      <alignment horizontal="center" vertical="center" wrapText="1" readingOrder="1"/>
    </xf>
    <xf numFmtId="164" fontId="37" fillId="20" borderId="5" xfId="0" applyNumberFormat="1" applyFont="1" applyFill="1" applyBorder="1" applyAlignment="1">
      <alignment horizontal="center" vertical="center" wrapText="1" readingOrder="1"/>
    </xf>
    <xf numFmtId="164" fontId="56" fillId="9" borderId="5" xfId="0" applyNumberFormat="1" applyFont="1" applyFill="1" applyBorder="1" applyAlignment="1">
      <alignment horizontal="center" vertical="center" wrapText="1" readingOrder="1"/>
    </xf>
    <xf numFmtId="164" fontId="56" fillId="21" borderId="5" xfId="0" applyNumberFormat="1" applyFont="1" applyFill="1" applyBorder="1" applyAlignment="1">
      <alignment horizontal="center" vertical="center" wrapText="1" readingOrder="1"/>
    </xf>
    <xf numFmtId="0" fontId="37" fillId="30" borderId="5" xfId="0" applyFont="1" applyFill="1" applyBorder="1" applyAlignment="1">
      <alignment horizontal="center" vertical="center" wrapText="1" readingOrder="1"/>
    </xf>
    <xf numFmtId="0" fontId="42" fillId="31" borderId="25" xfId="0" applyFont="1" applyFill="1" applyBorder="1" applyAlignment="1">
      <alignment horizontal="center" vertical="center"/>
    </xf>
    <xf numFmtId="0" fontId="0" fillId="31" borderId="25" xfId="0" applyFill="1" applyBorder="1" applyAlignment="1">
      <alignment vertical="center"/>
    </xf>
    <xf numFmtId="0" fontId="0" fillId="31" borderId="0" xfId="0" applyFill="1" applyAlignment="1">
      <alignment vertical="center"/>
    </xf>
    <xf numFmtId="0" fontId="0" fillId="31" borderId="25" xfId="0" applyFill="1" applyBorder="1" applyAlignment="1">
      <alignment horizontal="left" vertical="center"/>
    </xf>
    <xf numFmtId="0" fontId="0" fillId="0" borderId="53" xfId="0" applyBorder="1" applyAlignment="1">
      <alignment horizontal="center" vertical="center"/>
    </xf>
    <xf numFmtId="49" fontId="2" fillId="0" borderId="25" xfId="0" applyNumberFormat="1" applyFont="1" applyBorder="1" applyAlignment="1">
      <alignment horizontal="center" vertical="center"/>
    </xf>
    <xf numFmtId="164" fontId="15" fillId="4" borderId="5" xfId="0" applyNumberFormat="1" applyFont="1" applyFill="1" applyBorder="1" applyAlignment="1">
      <alignment horizontal="center" vertical="center" wrapText="1" readingOrder="1"/>
    </xf>
    <xf numFmtId="1" fontId="25" fillId="4" borderId="5" xfId="0" applyNumberFormat="1" applyFont="1" applyFill="1" applyBorder="1" applyAlignment="1">
      <alignment horizontal="center" vertical="center" wrapText="1" readingOrder="1"/>
    </xf>
    <xf numFmtId="164" fontId="10" fillId="10" borderId="5" xfId="0" applyNumberFormat="1" applyFont="1" applyFill="1" applyBorder="1" applyAlignment="1">
      <alignment horizontal="center" vertical="center" wrapText="1" readingOrder="1"/>
    </xf>
    <xf numFmtId="164" fontId="13" fillId="4" borderId="5" xfId="0" applyNumberFormat="1" applyFont="1" applyFill="1" applyBorder="1" applyAlignment="1">
      <alignment horizontal="center" vertical="center" wrapText="1" readingOrder="1"/>
    </xf>
    <xf numFmtId="164" fontId="14" fillId="4" borderId="5" xfId="0" applyNumberFormat="1" applyFont="1" applyFill="1" applyBorder="1" applyAlignment="1">
      <alignment horizontal="center" vertical="center" wrapText="1" readingOrder="1"/>
    </xf>
    <xf numFmtId="1" fontId="6" fillId="4" borderId="5" xfId="0" applyNumberFormat="1" applyFont="1" applyFill="1" applyBorder="1" applyAlignment="1">
      <alignment horizontal="center" vertical="center" wrapText="1" readingOrder="1"/>
    </xf>
    <xf numFmtId="0" fontId="9" fillId="6" borderId="5" xfId="0" applyFont="1" applyFill="1" applyBorder="1" applyAlignment="1">
      <alignment horizontal="center" vertical="center" wrapText="1" readingOrder="1"/>
    </xf>
    <xf numFmtId="0" fontId="9" fillId="6" borderId="7" xfId="0" applyFont="1" applyFill="1" applyBorder="1" applyAlignment="1">
      <alignment horizontal="center" vertical="center" wrapText="1" readingOrder="1"/>
    </xf>
    <xf numFmtId="1" fontId="7" fillId="4" borderId="7" xfId="0" applyNumberFormat="1" applyFont="1" applyFill="1" applyBorder="1" applyAlignment="1">
      <alignment horizontal="center" vertical="center" wrapText="1" readingOrder="1"/>
    </xf>
    <xf numFmtId="0" fontId="0" fillId="7" borderId="9" xfId="0" applyFill="1" applyBorder="1" applyAlignment="1">
      <alignment vertical="center"/>
    </xf>
    <xf numFmtId="1" fontId="0" fillId="7" borderId="9" xfId="0" applyNumberFormat="1" applyFill="1" applyBorder="1" applyAlignment="1">
      <alignment vertical="center"/>
    </xf>
    <xf numFmtId="1" fontId="0" fillId="7" borderId="10" xfId="0" applyNumberFormat="1" applyFill="1" applyBorder="1" applyAlignment="1">
      <alignment horizontal="center" vertical="center"/>
    </xf>
    <xf numFmtId="0" fontId="2" fillId="31" borderId="0" xfId="0" applyFont="1" applyFill="1" applyAlignment="1">
      <alignment horizontal="center" vertical="center"/>
    </xf>
    <xf numFmtId="1" fontId="7" fillId="19" borderId="5" xfId="0" applyNumberFormat="1" applyFont="1" applyFill="1" applyBorder="1" applyAlignment="1">
      <alignment horizontal="center" vertical="center" wrapText="1" readingOrder="1"/>
    </xf>
    <xf numFmtId="0" fontId="37" fillId="4" borderId="4" xfId="0" applyFont="1" applyFill="1" applyBorder="1" applyAlignment="1">
      <alignment horizontal="left" vertical="center" wrapText="1" readingOrder="1"/>
    </xf>
    <xf numFmtId="0" fontId="37" fillId="4" borderId="5" xfId="0" applyFont="1" applyFill="1" applyBorder="1" applyAlignment="1">
      <alignment horizontal="center" vertical="center" wrapText="1" readingOrder="1"/>
    </xf>
    <xf numFmtId="164" fontId="56" fillId="4" borderId="5" xfId="0" applyNumberFormat="1" applyFont="1" applyFill="1" applyBorder="1" applyAlignment="1">
      <alignment horizontal="center" vertical="center" wrapText="1" readingOrder="1"/>
    </xf>
    <xf numFmtId="164" fontId="57" fillId="4" borderId="5" xfId="0" applyNumberFormat="1" applyFont="1" applyFill="1" applyBorder="1" applyAlignment="1">
      <alignment horizontal="center" vertical="center" wrapText="1" readingOrder="1"/>
    </xf>
    <xf numFmtId="1" fontId="56" fillId="4" borderId="5" xfId="0" applyNumberFormat="1" applyFont="1" applyFill="1" applyBorder="1" applyAlignment="1">
      <alignment horizontal="center" vertical="center" wrapText="1" readingOrder="1"/>
    </xf>
    <xf numFmtId="1" fontId="58" fillId="4" borderId="5" xfId="0" applyNumberFormat="1" applyFont="1" applyFill="1" applyBorder="1" applyAlignment="1">
      <alignment horizontal="center" vertical="center" wrapText="1" readingOrder="1"/>
    </xf>
    <xf numFmtId="1" fontId="59" fillId="4" borderId="5" xfId="0" applyNumberFormat="1" applyFont="1" applyFill="1" applyBorder="1" applyAlignment="1">
      <alignment horizontal="center" vertical="center" wrapText="1" readingOrder="1"/>
    </xf>
    <xf numFmtId="0" fontId="60" fillId="6" borderId="4" xfId="0" applyFont="1" applyFill="1" applyBorder="1" applyAlignment="1">
      <alignment horizontal="center" vertical="center" wrapText="1" readingOrder="1"/>
    </xf>
    <xf numFmtId="164" fontId="58" fillId="9" borderId="5" xfId="0" applyNumberFormat="1" applyFont="1" applyFill="1" applyBorder="1" applyAlignment="1">
      <alignment horizontal="center" vertical="center" wrapText="1" readingOrder="1"/>
    </xf>
    <xf numFmtId="164" fontId="37" fillId="4" borderId="5" xfId="0" applyNumberFormat="1" applyFont="1" applyFill="1" applyBorder="1" applyAlignment="1">
      <alignment horizontal="center" vertical="center" wrapText="1" readingOrder="1"/>
    </xf>
    <xf numFmtId="0" fontId="37" fillId="19" borderId="4" xfId="0" applyFont="1" applyFill="1" applyBorder="1" applyAlignment="1">
      <alignment horizontal="left" vertical="center" wrapText="1" readingOrder="1"/>
    </xf>
    <xf numFmtId="0" fontId="37" fillId="19" borderId="5" xfId="0" applyFont="1" applyFill="1" applyBorder="1" applyAlignment="1">
      <alignment horizontal="center" vertical="center" wrapText="1" readingOrder="1"/>
    </xf>
    <xf numFmtId="0" fontId="60" fillId="19" borderId="4" xfId="0" applyFont="1" applyFill="1" applyBorder="1" applyAlignment="1">
      <alignment horizontal="center" vertical="center" wrapText="1" readingOrder="1"/>
    </xf>
    <xf numFmtId="1" fontId="56" fillId="19" borderId="5" xfId="0" applyNumberFormat="1" applyFont="1" applyFill="1" applyBorder="1" applyAlignment="1">
      <alignment horizontal="center" vertical="center" wrapText="1" readingOrder="1"/>
    </xf>
    <xf numFmtId="1" fontId="61" fillId="19" borderId="5" xfId="0" applyNumberFormat="1" applyFont="1" applyFill="1" applyBorder="1" applyAlignment="1">
      <alignment horizontal="center" vertical="center" wrapText="1" readingOrder="1"/>
    </xf>
    <xf numFmtId="0" fontId="56" fillId="4" borderId="5" xfId="0" applyFont="1" applyFill="1" applyBorder="1" applyAlignment="1">
      <alignment horizontal="center" vertical="center" wrapText="1" readingOrder="1"/>
    </xf>
    <xf numFmtId="164" fontId="62" fillId="10" borderId="5" xfId="0" applyNumberFormat="1" applyFont="1" applyFill="1" applyBorder="1" applyAlignment="1">
      <alignment horizontal="center" vertical="center" wrapText="1" readingOrder="1"/>
    </xf>
    <xf numFmtId="0" fontId="37" fillId="5" borderId="4" xfId="0" applyFont="1" applyFill="1" applyBorder="1" applyAlignment="1">
      <alignment horizontal="left" vertical="center" wrapText="1" readingOrder="1"/>
    </xf>
    <xf numFmtId="0" fontId="37" fillId="5" borderId="5" xfId="0" applyFont="1" applyFill="1" applyBorder="1" applyAlignment="1">
      <alignment horizontal="center" vertical="center" wrapText="1" readingOrder="1"/>
    </xf>
    <xf numFmtId="164" fontId="56" fillId="5" borderId="5" xfId="0" applyNumberFormat="1" applyFont="1" applyFill="1" applyBorder="1" applyAlignment="1">
      <alignment horizontal="center" vertical="center" wrapText="1" readingOrder="1"/>
    </xf>
    <xf numFmtId="1" fontId="56" fillId="5" borderId="5" xfId="0" applyNumberFormat="1" applyFont="1" applyFill="1" applyBorder="1" applyAlignment="1">
      <alignment horizontal="center" vertical="center" wrapText="1" readingOrder="1"/>
    </xf>
    <xf numFmtId="164" fontId="58" fillId="4" borderId="5" xfId="0" applyNumberFormat="1" applyFont="1" applyFill="1" applyBorder="1" applyAlignment="1">
      <alignment horizontal="center" vertical="center" wrapText="1" readingOrder="1"/>
    </xf>
    <xf numFmtId="1" fontId="37" fillId="4" borderId="5" xfId="0" applyNumberFormat="1" applyFont="1" applyFill="1" applyBorder="1" applyAlignment="1">
      <alignment horizontal="center" vertical="center" wrapText="1" readingOrder="1"/>
    </xf>
    <xf numFmtId="164" fontId="56" fillId="11" borderId="5" xfId="0" applyNumberFormat="1" applyFont="1" applyFill="1" applyBorder="1" applyAlignment="1">
      <alignment horizontal="center" vertical="center" wrapText="1" readingOrder="1"/>
    </xf>
    <xf numFmtId="0" fontId="60" fillId="6" borderId="5" xfId="0" applyFont="1" applyFill="1" applyBorder="1" applyAlignment="1">
      <alignment horizontal="center" vertical="center" wrapText="1" readingOrder="1"/>
    </xf>
    <xf numFmtId="0" fontId="37" fillId="4" borderId="4" xfId="0" applyFont="1" applyFill="1" applyBorder="1" applyAlignment="1">
      <alignment horizontal="center" vertical="center" wrapText="1" readingOrder="1"/>
    </xf>
    <xf numFmtId="0" fontId="37" fillId="4" borderId="6" xfId="0" applyFont="1" applyFill="1" applyBorder="1" applyAlignment="1">
      <alignment horizontal="left" vertical="center" wrapText="1" readingOrder="1"/>
    </xf>
    <xf numFmtId="0" fontId="37" fillId="4" borderId="6" xfId="0" applyFont="1" applyFill="1" applyBorder="1" applyAlignment="1">
      <alignment horizontal="center" vertical="center" wrapText="1" readingOrder="1"/>
    </xf>
    <xf numFmtId="0" fontId="60" fillId="6" borderId="6" xfId="0" applyFont="1" applyFill="1" applyBorder="1" applyAlignment="1">
      <alignment horizontal="center" vertical="center" wrapText="1" readingOrder="1"/>
    </xf>
    <xf numFmtId="0" fontId="60" fillId="6" borderId="7" xfId="0" applyFont="1" applyFill="1" applyBorder="1" applyAlignment="1">
      <alignment horizontal="center" vertical="center" wrapText="1" readingOrder="1"/>
    </xf>
    <xf numFmtId="1" fontId="56" fillId="4" borderId="7" xfId="0" applyNumberFormat="1" applyFont="1" applyFill="1" applyBorder="1" applyAlignment="1">
      <alignment horizontal="center" vertical="center" wrapText="1" readingOrder="1"/>
    </xf>
    <xf numFmtId="16" fontId="63" fillId="16" borderId="0" xfId="0" applyNumberFormat="1" applyFont="1" applyFill="1" applyAlignment="1">
      <alignment horizontal="center" vertical="center"/>
    </xf>
    <xf numFmtId="0" fontId="64" fillId="12" borderId="11" xfId="0" applyFont="1" applyFill="1" applyBorder="1" applyAlignment="1">
      <alignment horizontal="center" vertical="center" wrapText="1"/>
    </xf>
    <xf numFmtId="0" fontId="65" fillId="12" borderId="11" xfId="0" applyFont="1" applyFill="1" applyBorder="1" applyAlignment="1">
      <alignment horizontal="left" vertical="center" wrapText="1" readingOrder="1"/>
    </xf>
    <xf numFmtId="1" fontId="66" fillId="12" borderId="11" xfId="0" applyNumberFormat="1" applyFont="1" applyFill="1" applyBorder="1" applyAlignment="1">
      <alignment horizontal="left" vertical="center" wrapText="1" readingOrder="1"/>
    </xf>
    <xf numFmtId="165" fontId="65" fillId="12" borderId="11" xfId="0" applyNumberFormat="1" applyFont="1" applyFill="1" applyBorder="1" applyAlignment="1">
      <alignment horizontal="left" vertical="center"/>
    </xf>
    <xf numFmtId="0" fontId="64" fillId="12" borderId="11" xfId="0" applyFont="1" applyFill="1" applyBorder="1" applyAlignment="1">
      <alignment horizontal="left" vertical="center" wrapText="1" readingOrder="1"/>
    </xf>
    <xf numFmtId="1" fontId="67" fillId="12" borderId="11" xfId="0" applyNumberFormat="1" applyFont="1" applyFill="1" applyBorder="1" applyAlignment="1">
      <alignment horizontal="left" vertical="center" wrapText="1" readingOrder="1"/>
    </xf>
    <xf numFmtId="165" fontId="64" fillId="12" borderId="11" xfId="0" applyNumberFormat="1" applyFont="1" applyFill="1" applyBorder="1" applyAlignment="1">
      <alignment horizontal="left" vertical="center"/>
    </xf>
    <xf numFmtId="0" fontId="64" fillId="12" borderId="11" xfId="0" applyFont="1" applyFill="1" applyBorder="1" applyAlignment="1">
      <alignment horizontal="left" vertical="center" wrapText="1"/>
    </xf>
    <xf numFmtId="0" fontId="64" fillId="12" borderId="11" xfId="0" applyFont="1" applyFill="1" applyBorder="1" applyAlignment="1">
      <alignment horizontal="left" vertical="center"/>
    </xf>
    <xf numFmtId="0" fontId="64" fillId="0" borderId="0" xfId="0" applyFont="1"/>
    <xf numFmtId="0" fontId="64" fillId="13" borderId="11" xfId="0" applyFont="1" applyFill="1" applyBorder="1" applyAlignment="1">
      <alignment horizontal="left" vertical="center" wrapText="1"/>
    </xf>
    <xf numFmtId="0" fontId="64" fillId="13" borderId="11" xfId="0" applyFont="1" applyFill="1" applyBorder="1" applyAlignment="1">
      <alignment horizontal="left" vertical="center"/>
    </xf>
    <xf numFmtId="165" fontId="64" fillId="13" borderId="11" xfId="0" applyNumberFormat="1" applyFont="1" applyFill="1" applyBorder="1" applyAlignment="1">
      <alignment horizontal="left" vertical="center"/>
    </xf>
    <xf numFmtId="0" fontId="65" fillId="13" borderId="11" xfId="0" applyFont="1" applyFill="1" applyBorder="1" applyAlignment="1">
      <alignment horizontal="left" vertical="center" wrapText="1"/>
    </xf>
    <xf numFmtId="0" fontId="65" fillId="13" borderId="11" xfId="0" applyFont="1" applyFill="1" applyBorder="1" applyAlignment="1">
      <alignment horizontal="left" vertical="center"/>
    </xf>
    <xf numFmtId="165" fontId="65" fillId="13" borderId="11" xfId="0" applyNumberFormat="1" applyFont="1" applyFill="1" applyBorder="1" applyAlignment="1">
      <alignment horizontal="left" vertical="center"/>
    </xf>
    <xf numFmtId="0" fontId="64" fillId="14" borderId="11" xfId="0" applyFont="1" applyFill="1" applyBorder="1" applyAlignment="1">
      <alignment horizontal="left" vertical="center" wrapText="1" readingOrder="1"/>
    </xf>
    <xf numFmtId="1" fontId="67" fillId="14" borderId="11" xfId="0" applyNumberFormat="1" applyFont="1" applyFill="1" applyBorder="1" applyAlignment="1">
      <alignment horizontal="left" vertical="center" wrapText="1" readingOrder="1"/>
    </xf>
    <xf numFmtId="165" fontId="64" fillId="14" borderId="11" xfId="0" applyNumberFormat="1" applyFont="1" applyFill="1" applyBorder="1" applyAlignment="1">
      <alignment horizontal="left" vertical="center"/>
    </xf>
    <xf numFmtId="1" fontId="67" fillId="19" borderId="11" xfId="0" applyNumberFormat="1" applyFont="1" applyFill="1" applyBorder="1" applyAlignment="1">
      <alignment horizontal="left" vertical="center" wrapText="1" readingOrder="1"/>
    </xf>
    <xf numFmtId="0" fontId="65" fillId="18" borderId="12" xfId="0" applyFont="1" applyFill="1" applyBorder="1" applyAlignment="1">
      <alignment horizontal="left" vertical="center" wrapText="1" readingOrder="1"/>
    </xf>
    <xf numFmtId="1" fontId="66" fillId="18" borderId="12" xfId="0" applyNumberFormat="1" applyFont="1" applyFill="1" applyBorder="1" applyAlignment="1">
      <alignment horizontal="left" vertical="center" wrapText="1" readingOrder="1"/>
    </xf>
    <xf numFmtId="165" fontId="65" fillId="18" borderId="12" xfId="0" applyNumberFormat="1" applyFont="1" applyFill="1" applyBorder="1" applyAlignment="1">
      <alignment horizontal="left" vertical="center"/>
    </xf>
    <xf numFmtId="0" fontId="64" fillId="18" borderId="12" xfId="0" applyFont="1" applyFill="1" applyBorder="1" applyAlignment="1">
      <alignment horizontal="left" vertical="center" wrapText="1" readingOrder="1"/>
    </xf>
    <xf numFmtId="1" fontId="67" fillId="18" borderId="12" xfId="0" applyNumberFormat="1" applyFont="1" applyFill="1" applyBorder="1" applyAlignment="1">
      <alignment horizontal="left" vertical="center" wrapText="1" readingOrder="1"/>
    </xf>
    <xf numFmtId="165" fontId="64" fillId="18" borderId="12" xfId="0" applyNumberFormat="1" applyFont="1" applyFill="1" applyBorder="1" applyAlignment="1">
      <alignment horizontal="left" vertical="center"/>
    </xf>
    <xf numFmtId="0" fontId="64" fillId="11" borderId="11" xfId="0" applyFont="1" applyFill="1" applyBorder="1" applyAlignment="1">
      <alignment wrapText="1"/>
    </xf>
    <xf numFmtId="0" fontId="64" fillId="11" borderId="11" xfId="0" applyFont="1" applyFill="1" applyBorder="1" applyAlignment="1">
      <alignment horizontal="left" vertical="center"/>
    </xf>
    <xf numFmtId="165" fontId="64" fillId="11" borderId="11" xfId="0" applyNumberFormat="1" applyFont="1" applyFill="1" applyBorder="1" applyAlignment="1">
      <alignment horizontal="left" vertical="center"/>
    </xf>
    <xf numFmtId="0" fontId="64" fillId="11" borderId="11" xfId="0" applyFont="1" applyFill="1" applyBorder="1" applyAlignment="1">
      <alignment horizontal="left" vertical="center" wrapText="1"/>
    </xf>
    <xf numFmtId="0" fontId="65" fillId="11" borderId="11" xfId="0" applyFont="1" applyFill="1" applyBorder="1" applyAlignment="1">
      <alignment horizontal="left" vertical="center" wrapText="1" readingOrder="1"/>
    </xf>
    <xf numFmtId="1" fontId="66" fillId="11" borderId="11" xfId="0" applyNumberFormat="1" applyFont="1" applyFill="1" applyBorder="1" applyAlignment="1">
      <alignment horizontal="left" vertical="center" wrapText="1" readingOrder="1"/>
    </xf>
    <xf numFmtId="165" fontId="65" fillId="11" borderId="11" xfId="0" applyNumberFormat="1" applyFont="1" applyFill="1" applyBorder="1" applyAlignment="1">
      <alignment horizontal="left" vertical="center"/>
    </xf>
    <xf numFmtId="0" fontId="65" fillId="11" borderId="0" xfId="0" applyFont="1" applyFill="1" applyAlignment="1">
      <alignment horizontal="left" vertical="center" wrapText="1"/>
    </xf>
    <xf numFmtId="0" fontId="65" fillId="11" borderId="11" xfId="0" applyFont="1" applyFill="1" applyBorder="1" applyAlignment="1">
      <alignment horizontal="left" vertical="center"/>
    </xf>
    <xf numFmtId="0" fontId="65" fillId="0" borderId="0" xfId="0" applyFont="1" applyAlignment="1">
      <alignment wrapText="1"/>
    </xf>
    <xf numFmtId="0" fontId="64" fillId="0" borderId="0" xfId="0" applyFont="1" applyAlignment="1">
      <alignment horizontal="right" wrapText="1"/>
    </xf>
    <xf numFmtId="0" fontId="64" fillId="13" borderId="12" xfId="0" applyFont="1" applyFill="1" applyBorder="1" applyAlignment="1">
      <alignment horizontal="center" vertical="center" wrapText="1"/>
    </xf>
    <xf numFmtId="0" fontId="64" fillId="14" borderId="25" xfId="0" applyFont="1" applyFill="1" applyBorder="1" applyAlignment="1">
      <alignment horizontal="center" vertical="center" wrapText="1"/>
    </xf>
    <xf numFmtId="0" fontId="64" fillId="0" borderId="0" xfId="0" applyFont="1" applyAlignment="1">
      <alignment wrapText="1"/>
    </xf>
    <xf numFmtId="165" fontId="64" fillId="0" borderId="0" xfId="0" applyNumberFormat="1" applyFont="1" applyAlignment="1">
      <alignment wrapText="1"/>
    </xf>
    <xf numFmtId="0" fontId="65" fillId="0" borderId="0" xfId="0" applyFont="1"/>
    <xf numFmtId="0" fontId="65" fillId="0" borderId="0" xfId="0" applyFont="1" applyAlignment="1">
      <alignment horizontal="left" vertical="center" wrapText="1"/>
    </xf>
    <xf numFmtId="0" fontId="65" fillId="0" borderId="0" xfId="0" applyFont="1" applyAlignment="1">
      <alignment horizontal="left" vertical="center"/>
    </xf>
    <xf numFmtId="0" fontId="64" fillId="0" borderId="0" xfId="0" applyFont="1" applyAlignment="1">
      <alignment horizontal="left"/>
    </xf>
    <xf numFmtId="0" fontId="64" fillId="0" borderId="0" xfId="0" applyFont="1" applyAlignment="1">
      <alignment horizontal="left" vertical="center" wrapText="1" readingOrder="1"/>
    </xf>
    <xf numFmtId="1" fontId="67" fillId="0" borderId="0" xfId="0" applyNumberFormat="1" applyFont="1" applyAlignment="1">
      <alignment horizontal="center" wrapText="1" readingOrder="1"/>
    </xf>
    <xf numFmtId="0" fontId="37" fillId="31" borderId="0" xfId="0" applyFont="1" applyFill="1" applyAlignment="1">
      <alignment vertical="center"/>
    </xf>
    <xf numFmtId="0" fontId="36" fillId="31" borderId="0" xfId="0" applyFont="1" applyFill="1" applyAlignment="1">
      <alignment horizontal="center" vertical="center"/>
    </xf>
    <xf numFmtId="164" fontId="56" fillId="40" borderId="5" xfId="0" applyNumberFormat="1" applyFont="1" applyFill="1" applyBorder="1" applyAlignment="1">
      <alignment horizontal="center" vertical="center" wrapText="1" readingOrder="1"/>
    </xf>
    <xf numFmtId="164" fontId="37" fillId="22" borderId="5" xfId="0" applyNumberFormat="1" applyFont="1" applyFill="1" applyBorder="1" applyAlignment="1">
      <alignment horizontal="center" vertical="center" wrapText="1" readingOrder="1"/>
    </xf>
    <xf numFmtId="164" fontId="37" fillId="23" borderId="5" xfId="0" applyNumberFormat="1" applyFont="1" applyFill="1" applyBorder="1" applyAlignment="1">
      <alignment horizontal="center" vertical="center" wrapText="1" readingOrder="1"/>
    </xf>
    <xf numFmtId="164" fontId="56" fillId="23" borderId="5" xfId="0" applyNumberFormat="1" applyFont="1" applyFill="1" applyBorder="1" applyAlignment="1">
      <alignment horizontal="center" vertical="center" wrapText="1" readingOrder="1"/>
    </xf>
    <xf numFmtId="164" fontId="37" fillId="30" borderId="5" xfId="0" applyNumberFormat="1" applyFont="1" applyFill="1" applyBorder="1" applyAlignment="1">
      <alignment horizontal="center" vertical="center" wrapText="1" readingOrder="1"/>
    </xf>
    <xf numFmtId="0" fontId="27" fillId="19" borderId="4" xfId="0" applyFont="1" applyFill="1" applyBorder="1" applyAlignment="1">
      <alignment horizontal="left" vertical="center" wrapText="1" readingOrder="1"/>
    </xf>
    <xf numFmtId="164" fontId="68" fillId="20" borderId="5" xfId="0" applyNumberFormat="1" applyFont="1" applyFill="1" applyBorder="1" applyAlignment="1">
      <alignment horizontal="center" vertical="center" wrapText="1" readingOrder="1"/>
    </xf>
    <xf numFmtId="164" fontId="68" fillId="4" borderId="5" xfId="0" applyNumberFormat="1" applyFont="1" applyFill="1" applyBorder="1" applyAlignment="1">
      <alignment horizontal="center" vertical="center" wrapText="1" readingOrder="1"/>
    </xf>
    <xf numFmtId="164" fontId="69" fillId="4" borderId="5" xfId="0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64" fillId="12" borderId="11" xfId="0" applyFont="1" applyFill="1" applyBorder="1" applyAlignment="1">
      <alignment horizontal="center" vertical="center" wrapText="1"/>
    </xf>
    <xf numFmtId="0" fontId="64" fillId="13" borderId="11" xfId="0" applyFont="1" applyFill="1" applyBorder="1" applyAlignment="1">
      <alignment horizontal="center" vertical="center" wrapText="1"/>
    </xf>
    <xf numFmtId="0" fontId="64" fillId="14" borderId="12" xfId="0" applyFont="1" applyFill="1" applyBorder="1" applyAlignment="1">
      <alignment horizontal="center" vertical="center" wrapText="1"/>
    </xf>
    <xf numFmtId="0" fontId="64" fillId="14" borderId="13" xfId="0" applyFont="1" applyFill="1" applyBorder="1" applyAlignment="1">
      <alignment horizontal="center" vertical="center" wrapText="1"/>
    </xf>
    <xf numFmtId="0" fontId="64" fillId="14" borderId="14" xfId="0" applyFont="1" applyFill="1" applyBorder="1" applyAlignment="1">
      <alignment horizontal="center" vertical="center" wrapText="1"/>
    </xf>
    <xf numFmtId="0" fontId="64" fillId="11" borderId="12" xfId="0" applyFont="1" applyFill="1" applyBorder="1" applyAlignment="1">
      <alignment horizontal="center" vertical="center" wrapText="1"/>
    </xf>
    <xf numFmtId="0" fontId="64" fillId="11" borderId="13" xfId="0" applyFont="1" applyFill="1" applyBorder="1" applyAlignment="1">
      <alignment horizontal="center" vertical="center" wrapText="1"/>
    </xf>
    <xf numFmtId="0" fontId="64" fillId="18" borderId="12" xfId="0" applyFont="1" applyFill="1" applyBorder="1" applyAlignment="1">
      <alignment horizontal="center" vertical="center" wrapText="1"/>
    </xf>
    <xf numFmtId="0" fontId="64" fillId="18" borderId="13" xfId="0" applyFont="1" applyFill="1" applyBorder="1" applyAlignment="1">
      <alignment horizontal="center" vertical="center" wrapText="1"/>
    </xf>
    <xf numFmtId="0" fontId="64" fillId="18" borderId="14" xfId="0" applyFont="1" applyFill="1" applyBorder="1" applyAlignment="1">
      <alignment horizontal="center" vertical="center" wrapText="1"/>
    </xf>
    <xf numFmtId="0" fontId="43" fillId="31" borderId="0" xfId="0" applyFont="1" applyFill="1" applyAlignment="1">
      <alignment horizontal="left"/>
    </xf>
    <xf numFmtId="0" fontId="44" fillId="12" borderId="43" xfId="0" applyFont="1" applyFill="1" applyBorder="1" applyAlignment="1">
      <alignment horizontal="center" vertical="center" wrapText="1"/>
    </xf>
    <xf numFmtId="0" fontId="44" fillId="12" borderId="52" xfId="0" applyFont="1" applyFill="1" applyBorder="1" applyAlignment="1">
      <alignment horizontal="center" vertical="center" wrapText="1"/>
    </xf>
    <xf numFmtId="0" fontId="44" fillId="12" borderId="44" xfId="0" applyFont="1" applyFill="1" applyBorder="1" applyAlignment="1">
      <alignment horizontal="center" vertical="center" wrapText="1"/>
    </xf>
    <xf numFmtId="0" fontId="44" fillId="12" borderId="49" xfId="0" applyFont="1" applyFill="1" applyBorder="1" applyAlignment="1">
      <alignment horizontal="center" vertical="center" wrapText="1"/>
    </xf>
    <xf numFmtId="0" fontId="44" fillId="12" borderId="45" xfId="0" applyFont="1" applyFill="1" applyBorder="1" applyAlignment="1">
      <alignment horizontal="center" vertical="center" wrapText="1"/>
    </xf>
    <xf numFmtId="0" fontId="0" fillId="31" borderId="0" xfId="0" applyFill="1" applyAlignment="1">
      <alignment horizontal="left"/>
    </xf>
    <xf numFmtId="0" fontId="29" fillId="0" borderId="0" xfId="0" applyFont="1" applyAlignment="1">
      <alignment horizontal="left" vertical="center" wrapText="1"/>
    </xf>
    <xf numFmtId="0" fontId="29" fillId="0" borderId="54" xfId="0" applyFont="1" applyBorder="1" applyAlignment="1">
      <alignment horizontal="left" vertical="center" wrapText="1"/>
    </xf>
    <xf numFmtId="0" fontId="29" fillId="0" borderId="0" xfId="0" applyFont="1" applyAlignment="1">
      <alignment horizontal="center" vertical="center"/>
    </xf>
    <xf numFmtId="0" fontId="29" fillId="0" borderId="54" xfId="0" applyFont="1" applyBorder="1" applyAlignment="1">
      <alignment horizontal="center" vertical="center"/>
    </xf>
    <xf numFmtId="0" fontId="30" fillId="0" borderId="18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2" fillId="0" borderId="67" xfId="0" applyFont="1" applyBorder="1" applyAlignment="1">
      <alignment horizontal="left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55" xfId="0" applyFont="1" applyBorder="1" applyAlignment="1">
      <alignment horizontal="left" vertical="center" wrapText="1"/>
    </xf>
    <xf numFmtId="0" fontId="32" fillId="0" borderId="16" xfId="0" applyFont="1" applyBorder="1" applyAlignment="1">
      <alignment horizontal="left" vertical="center" wrapText="1"/>
    </xf>
    <xf numFmtId="0" fontId="32" fillId="0" borderId="18" xfId="0" applyFont="1" applyBorder="1" applyAlignment="1">
      <alignment horizontal="left" vertical="center" wrapText="1"/>
    </xf>
    <xf numFmtId="0" fontId="32" fillId="0" borderId="20" xfId="0" applyFont="1" applyBorder="1" applyAlignment="1">
      <alignment horizontal="left" vertical="center" wrapText="1"/>
    </xf>
    <xf numFmtId="0" fontId="29" fillId="0" borderId="55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31" fillId="0" borderId="55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54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center" wrapText="1"/>
    </xf>
    <xf numFmtId="0" fontId="31" fillId="0" borderId="18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42" fillId="41" borderId="0" xfId="0" applyFont="1" applyFill="1" applyAlignment="1">
      <alignment horizontal="center" vertical="center"/>
    </xf>
    <xf numFmtId="0" fontId="42" fillId="41" borderId="100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56" fillId="43" borderId="5" xfId="0" applyNumberFormat="1" applyFont="1" applyFill="1" applyBorder="1" applyAlignment="1">
      <alignment horizontal="center" vertical="center" wrapText="1" readingOrder="1"/>
    </xf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ECA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hard Casey" id="{319536E3-F699-9E41-8285-E5AA2E29211A}" userId="Richard.Casey@benchmarkestimating.com" providerId="PeoplePicker"/>
  <person displayName="Minas Kamel" id="{50B859E1-3529-774E-B4CA-CD12CA52240A}" userId="S::Minas.Kamel@benchmarkestimating.com::710a1b56-78dd-433d-8931-decc8f2762e6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6-01-13T23:17:40.16" personId="{50B859E1-3529-774E-B4CA-CD12CA52240A}" id="{F481CAAD-5AFB-45B9-AFD1-EABBC5AA5F52}">
    <text xml:space="preserve">@Richard Casey  marking this one as done since the UI design from the SRS (and Jonny’s POC) is sufficient </text>
    <mentions>
      <mention mentionpersonId="{319536E3-F699-9E41-8285-E5AA2E29211A}" mentionId="{AC4D0D7A-49EC-4F37-BF11-641DDC2693AE}" startIndex="0" length="14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3A65D0-FE5E-4E97-93BB-39B0644307D5}">
  <we:reference id="WA200000556" version="1.1.0.0" store="Omex" storeType="OMEX"/>
  <we:alternateReferences>
    <we:reference id="WA200000556" version="1.1.0.0" store="WA200000556" storeType="OMEX"/>
  </we:alternateReferences>
  <we:properties>
    <we:property name="Office.AutoShowTaskpaneWithDocument" value="true"/>
    <we:property name="documentId" value="&quot;4f837067-98bc-461f-a0b2-6d3813c7844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benchmarkestimating.atlassian.net/jira/dashboards/15786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benchmarkestimating.atlassian.net/browse/VER10-9373" TargetMode="External"/><Relationship Id="rId1" Type="http://schemas.openxmlformats.org/officeDocument/2006/relationships/hyperlink" Target="https://benchmarkestimating.atlassian.net/browse/VER10-9428" TargetMode="Externa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1224-EC89-4D9C-9846-A57B969ACCBE}">
  <dimension ref="A1:P1001"/>
  <sheetViews>
    <sheetView topLeftCell="D4" zoomScaleNormal="120" workbookViewId="0">
      <selection activeCell="M3" sqref="M3"/>
    </sheetView>
  </sheetViews>
  <sheetFormatPr defaultColWidth="0" defaultRowHeight="15.6"/>
  <cols>
    <col min="1" max="1" width="3" style="112" customWidth="1"/>
    <col min="2" max="2" width="26.25" customWidth="1"/>
    <col min="3" max="3" width="10.75" customWidth="1"/>
    <col min="4" max="4" width="10" customWidth="1"/>
    <col min="5" max="5" width="16.75" customWidth="1"/>
    <col min="6" max="7" width="13.25" customWidth="1"/>
    <col min="8" max="8" width="12.5" customWidth="1"/>
    <col min="9" max="9" width="13.5" customWidth="1"/>
    <col min="10" max="10" width="12.75" customWidth="1"/>
    <col min="11" max="11" width="21.75" customWidth="1"/>
    <col min="12" max="12" width="11.75" customWidth="1"/>
    <col min="13" max="13" width="8.75" customWidth="1"/>
    <col min="14" max="15" width="10.75" customWidth="1"/>
    <col min="16" max="16" width="8.75" style="112" customWidth="1"/>
  </cols>
  <sheetData>
    <row r="1" spans="2:15" ht="16.149999999999999" thickBot="1">
      <c r="B1" s="503" t="s">
        <v>0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</row>
    <row r="2" spans="2:15" ht="33" thickBot="1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/>
      <c r="N2" s="4" t="s">
        <v>12</v>
      </c>
      <c r="O2" s="4" t="s">
        <v>13</v>
      </c>
    </row>
    <row r="3" spans="2:15" ht="33" customHeight="1" thickTop="1" thickBot="1">
      <c r="B3" s="5" t="s">
        <v>14</v>
      </c>
      <c r="C3" s="6" t="s">
        <v>15</v>
      </c>
      <c r="D3" s="6"/>
      <c r="E3" s="90">
        <v>46015</v>
      </c>
      <c r="F3" s="92">
        <v>46021</v>
      </c>
      <c r="G3" s="92">
        <v>46038</v>
      </c>
      <c r="H3" s="92" t="s">
        <v>16</v>
      </c>
      <c r="I3" s="90">
        <f>G3+7</f>
        <v>46045</v>
      </c>
      <c r="J3" s="94">
        <f t="shared" ref="J3:J9" si="0">I3</f>
        <v>46045</v>
      </c>
      <c r="K3" s="90" t="s">
        <v>17</v>
      </c>
      <c r="L3" s="357">
        <v>575</v>
      </c>
      <c r="M3" s="358">
        <v>414</v>
      </c>
      <c r="N3" s="357" t="s">
        <v>18</v>
      </c>
      <c r="O3" s="357">
        <f>SUM(L3:N3) / Capacity!$B$2</f>
        <v>141.28571428571428</v>
      </c>
    </row>
    <row r="4" spans="2:15" ht="33" customHeight="1" thickBot="1">
      <c r="B4" s="5" t="s">
        <v>19</v>
      </c>
      <c r="C4" s="6" t="s">
        <v>20</v>
      </c>
      <c r="D4" s="6"/>
      <c r="E4" s="90">
        <v>46031</v>
      </c>
      <c r="F4" s="90">
        <v>46035</v>
      </c>
      <c r="G4" s="92">
        <v>46043</v>
      </c>
      <c r="H4" s="92" t="s">
        <v>16</v>
      </c>
      <c r="I4" s="90">
        <f>G4+7</f>
        <v>46050</v>
      </c>
      <c r="J4" s="94">
        <f t="shared" si="0"/>
        <v>46050</v>
      </c>
      <c r="K4" s="90" t="s">
        <v>21</v>
      </c>
      <c r="L4" s="357">
        <v>177</v>
      </c>
      <c r="M4" s="357">
        <v>200</v>
      </c>
      <c r="N4" s="357" t="s">
        <v>18</v>
      </c>
      <c r="O4" s="357">
        <f>SUM(L4:N4) / Capacity!$B$2</f>
        <v>53.857142857142854</v>
      </c>
    </row>
    <row r="5" spans="2:15" ht="33" customHeight="1" thickBot="1">
      <c r="B5" s="5" t="s">
        <v>22</v>
      </c>
      <c r="C5" s="6" t="s">
        <v>23</v>
      </c>
      <c r="D5" s="6"/>
      <c r="E5" s="11" t="s">
        <v>24</v>
      </c>
      <c r="F5" s="314">
        <v>46008</v>
      </c>
      <c r="G5" s="399">
        <v>46037</v>
      </c>
      <c r="H5" s="92" t="s">
        <v>16</v>
      </c>
      <c r="I5" s="90">
        <f>G5+7</f>
        <v>46044</v>
      </c>
      <c r="J5" s="94">
        <f t="shared" si="0"/>
        <v>46044</v>
      </c>
      <c r="K5" s="90" t="s">
        <v>25</v>
      </c>
      <c r="L5" s="357">
        <v>260</v>
      </c>
      <c r="M5" s="357">
        <v>200</v>
      </c>
      <c r="N5" s="357" t="s">
        <v>18</v>
      </c>
      <c r="O5" s="357">
        <f>SUM(L5:N5) / Capacity!$B$2</f>
        <v>65.714285714285708</v>
      </c>
    </row>
    <row r="6" spans="2:15" ht="33" customHeight="1" thickBot="1">
      <c r="B6" s="5" t="s">
        <v>26</v>
      </c>
      <c r="C6" s="6" t="s">
        <v>23</v>
      </c>
      <c r="D6" s="6" t="s">
        <v>27</v>
      </c>
      <c r="E6" s="11" t="s">
        <v>28</v>
      </c>
      <c r="F6" s="90">
        <v>46015</v>
      </c>
      <c r="G6" s="399">
        <v>46037</v>
      </c>
      <c r="H6" s="92" t="s">
        <v>16</v>
      </c>
      <c r="I6" s="90">
        <f>G6+7</f>
        <v>46044</v>
      </c>
      <c r="J6" s="94">
        <f t="shared" si="0"/>
        <v>46044</v>
      </c>
      <c r="K6" s="90" t="s">
        <v>29</v>
      </c>
      <c r="L6" s="357">
        <v>120</v>
      </c>
      <c r="M6" s="357">
        <v>100</v>
      </c>
      <c r="N6" s="357" t="s">
        <v>18</v>
      </c>
      <c r="O6" s="357">
        <f>SUM(L6:N6) / Capacity!$B$2</f>
        <v>31.428571428571427</v>
      </c>
    </row>
    <row r="7" spans="2:15" ht="33" customHeight="1" thickBot="1">
      <c r="B7" s="5" t="s">
        <v>30</v>
      </c>
      <c r="C7" s="6" t="s">
        <v>23</v>
      </c>
      <c r="D7" s="6" t="s">
        <v>27</v>
      </c>
      <c r="E7" s="11" t="s">
        <v>31</v>
      </c>
      <c r="F7" s="314">
        <v>46010</v>
      </c>
      <c r="G7" s="92" t="s">
        <v>16</v>
      </c>
      <c r="H7" s="90">
        <v>46031</v>
      </c>
      <c r="I7" s="90">
        <f>H7+7</f>
        <v>46038</v>
      </c>
      <c r="J7" s="94">
        <f t="shared" si="0"/>
        <v>46038</v>
      </c>
      <c r="K7" s="90" t="s">
        <v>32</v>
      </c>
      <c r="L7" s="357">
        <v>35</v>
      </c>
      <c r="M7" s="357">
        <v>35</v>
      </c>
      <c r="N7" s="357" t="s">
        <v>18</v>
      </c>
      <c r="O7" s="357">
        <f>SUM(L7:N7) / Capacity!$B$2</f>
        <v>10</v>
      </c>
    </row>
    <row r="8" spans="2:15" ht="33" customHeight="1" thickBot="1">
      <c r="B8" s="5" t="s">
        <v>33</v>
      </c>
      <c r="C8" s="6" t="s">
        <v>23</v>
      </c>
      <c r="D8" s="6"/>
      <c r="E8" s="11" t="s">
        <v>31</v>
      </c>
      <c r="F8" s="314">
        <v>46010</v>
      </c>
      <c r="G8" s="92" t="s">
        <v>16</v>
      </c>
      <c r="H8" s="90">
        <v>46031</v>
      </c>
      <c r="I8" s="90">
        <f>H8+7</f>
        <v>46038</v>
      </c>
      <c r="J8" s="94">
        <f t="shared" si="0"/>
        <v>46038</v>
      </c>
      <c r="K8" s="90" t="s">
        <v>34</v>
      </c>
      <c r="L8" s="357">
        <v>40</v>
      </c>
      <c r="M8" s="400">
        <v>0</v>
      </c>
      <c r="N8" s="357" t="s">
        <v>18</v>
      </c>
      <c r="O8" s="357">
        <f>SUM(L8:N8) / Capacity!$B$2</f>
        <v>5.7142857142857144</v>
      </c>
    </row>
    <row r="9" spans="2:15" ht="33" customHeight="1" thickBot="1">
      <c r="B9" s="5" t="s">
        <v>35</v>
      </c>
      <c r="C9" s="9" t="s">
        <v>23</v>
      </c>
      <c r="D9" s="9"/>
      <c r="E9" s="11" t="s">
        <v>24</v>
      </c>
      <c r="F9" s="314">
        <v>46008</v>
      </c>
      <c r="G9" s="401">
        <v>46044</v>
      </c>
      <c r="H9" s="92" t="s">
        <v>16</v>
      </c>
      <c r="I9" s="90">
        <f>G9+7</f>
        <v>46051</v>
      </c>
      <c r="J9" s="94">
        <f t="shared" si="0"/>
        <v>46051</v>
      </c>
      <c r="K9" s="90" t="s">
        <v>36</v>
      </c>
      <c r="L9" s="357">
        <v>80</v>
      </c>
      <c r="M9" s="357">
        <v>60</v>
      </c>
      <c r="N9" s="357" t="s">
        <v>18</v>
      </c>
      <c r="O9" s="357">
        <f>SUM(L9:N9) / Capacity!$B$2</f>
        <v>20</v>
      </c>
    </row>
    <row r="10" spans="2:15" ht="33" customHeight="1" thickBot="1">
      <c r="B10" s="5" t="s">
        <v>37</v>
      </c>
      <c r="C10" s="6" t="s">
        <v>38</v>
      </c>
      <c r="D10" s="6"/>
      <c r="E10" s="11" t="s">
        <v>39</v>
      </c>
      <c r="F10" s="90">
        <v>46015</v>
      </c>
      <c r="G10" s="92" t="s">
        <v>16</v>
      </c>
      <c r="H10" s="90">
        <v>46031</v>
      </c>
      <c r="I10" s="90">
        <f>H10+7</f>
        <v>46038</v>
      </c>
      <c r="J10" s="94">
        <f t="shared" ref="J10:J16" si="1">I10</f>
        <v>46038</v>
      </c>
      <c r="K10" s="90" t="s">
        <v>40</v>
      </c>
      <c r="L10" s="357">
        <v>20</v>
      </c>
      <c r="M10" s="357">
        <v>20</v>
      </c>
      <c r="N10" s="357" t="s">
        <v>18</v>
      </c>
      <c r="O10" s="357">
        <f>SUM(L10:N10) / Capacity!$B$2</f>
        <v>5.7142857142857144</v>
      </c>
    </row>
    <row r="11" spans="2:15" ht="33" customHeight="1" thickBot="1">
      <c r="B11" s="5" t="s">
        <v>41</v>
      </c>
      <c r="C11" s="6" t="s">
        <v>42</v>
      </c>
      <c r="D11" s="6"/>
      <c r="E11" s="90" t="s">
        <v>43</v>
      </c>
      <c r="F11" s="90" t="s">
        <v>44</v>
      </c>
      <c r="G11" s="402">
        <v>46051</v>
      </c>
      <c r="H11" s="92" t="s">
        <v>16</v>
      </c>
      <c r="I11" s="403">
        <f>G11+7</f>
        <v>46058</v>
      </c>
      <c r="J11" s="94">
        <f t="shared" si="1"/>
        <v>46058</v>
      </c>
      <c r="K11" s="90" t="s">
        <v>45</v>
      </c>
      <c r="L11" s="357">
        <v>140</v>
      </c>
      <c r="M11" s="357">
        <v>100</v>
      </c>
      <c r="N11" s="357" t="s">
        <v>18</v>
      </c>
      <c r="O11" s="357">
        <f>SUM(L11:N11) / Capacity!$B$2</f>
        <v>34.285714285714285</v>
      </c>
    </row>
    <row r="12" spans="2:15" ht="33" customHeight="1" thickBot="1">
      <c r="B12" s="5" t="s">
        <v>46</v>
      </c>
      <c r="C12" s="6" t="s">
        <v>47</v>
      </c>
      <c r="D12" s="6"/>
      <c r="E12" s="90">
        <v>46045</v>
      </c>
      <c r="F12" s="90">
        <v>46052</v>
      </c>
      <c r="G12" s="92" t="s">
        <v>16</v>
      </c>
      <c r="H12" s="90">
        <v>46059</v>
      </c>
      <c r="I12" s="90">
        <f>H12+7</f>
        <v>46066</v>
      </c>
      <c r="J12" s="94">
        <f t="shared" si="1"/>
        <v>46066</v>
      </c>
      <c r="K12" s="90" t="s">
        <v>40</v>
      </c>
      <c r="L12" s="357">
        <v>90</v>
      </c>
      <c r="M12" s="357">
        <v>60</v>
      </c>
      <c r="N12" s="357" t="s">
        <v>18</v>
      </c>
      <c r="O12" s="357">
        <f>SUM(L12:N12) / Capacity!$B$2</f>
        <v>21.428571428571427</v>
      </c>
    </row>
    <row r="13" spans="2:15" ht="33" customHeight="1" thickBot="1">
      <c r="B13" s="5" t="s">
        <v>48</v>
      </c>
      <c r="C13" s="6" t="s">
        <v>20</v>
      </c>
      <c r="D13" s="6"/>
      <c r="E13" s="176">
        <v>46045</v>
      </c>
      <c r="F13" s="176">
        <v>46050</v>
      </c>
      <c r="G13" s="92">
        <v>46059</v>
      </c>
      <c r="H13" s="92" t="s">
        <v>16</v>
      </c>
      <c r="I13" s="90">
        <f>G13+7</f>
        <v>46066</v>
      </c>
      <c r="J13" s="94">
        <f t="shared" si="1"/>
        <v>46066</v>
      </c>
      <c r="K13" s="176" t="s">
        <v>49</v>
      </c>
      <c r="L13" s="404">
        <v>350</v>
      </c>
      <c r="M13" s="358">
        <v>215</v>
      </c>
      <c r="N13" s="404" t="s">
        <v>18</v>
      </c>
      <c r="O13" s="357">
        <f>SUM(L13:N13) / Capacity!$B$2</f>
        <v>80.714285714285708</v>
      </c>
    </row>
    <row r="14" spans="2:15" ht="33" customHeight="1" thickBot="1">
      <c r="B14" s="5" t="s">
        <v>50</v>
      </c>
      <c r="C14" s="6" t="s">
        <v>38</v>
      </c>
      <c r="D14" s="6"/>
      <c r="E14" s="314">
        <v>46015</v>
      </c>
      <c r="F14" s="90">
        <v>46022</v>
      </c>
      <c r="G14" s="92">
        <v>46051</v>
      </c>
      <c r="H14" s="92" t="s">
        <v>16</v>
      </c>
      <c r="I14" s="90">
        <f>G14+7</f>
        <v>46058</v>
      </c>
      <c r="J14" s="94">
        <f t="shared" si="1"/>
        <v>46058</v>
      </c>
      <c r="K14" s="90" t="s">
        <v>40</v>
      </c>
      <c r="L14" s="357">
        <v>40</v>
      </c>
      <c r="M14" s="357">
        <v>40</v>
      </c>
      <c r="N14" s="357" t="s">
        <v>18</v>
      </c>
      <c r="O14" s="357">
        <f>SUM(L14:N14) / Capacity!$B$2</f>
        <v>11.428571428571429</v>
      </c>
    </row>
    <row r="15" spans="2:15" ht="33" customHeight="1" thickBot="1">
      <c r="B15" s="5" t="s">
        <v>51</v>
      </c>
      <c r="C15" s="6" t="s">
        <v>38</v>
      </c>
      <c r="D15" s="6"/>
      <c r="E15" s="90">
        <v>46031</v>
      </c>
      <c r="F15" s="90">
        <v>46036</v>
      </c>
      <c r="G15" s="92" t="s">
        <v>16</v>
      </c>
      <c r="H15" s="90">
        <v>46038</v>
      </c>
      <c r="I15" s="90">
        <f>H15+7</f>
        <v>46045</v>
      </c>
      <c r="J15" s="94">
        <f t="shared" si="1"/>
        <v>46045</v>
      </c>
      <c r="K15" s="90" t="s">
        <v>52</v>
      </c>
      <c r="L15" s="357">
        <v>90</v>
      </c>
      <c r="M15" s="357">
        <v>80</v>
      </c>
      <c r="N15" s="357" t="s">
        <v>18</v>
      </c>
      <c r="O15" s="357">
        <f>SUM(L15:N15) / Capacity!$B$2</f>
        <v>24.285714285714285</v>
      </c>
    </row>
    <row r="16" spans="2:15" ht="33" customHeight="1" thickBot="1">
      <c r="B16" s="5" t="s">
        <v>53</v>
      </c>
      <c r="C16" s="6" t="s">
        <v>38</v>
      </c>
      <c r="D16" s="6"/>
      <c r="E16" s="90">
        <v>46038</v>
      </c>
      <c r="F16" s="92" t="s">
        <v>16</v>
      </c>
      <c r="G16" s="92" t="s">
        <v>16</v>
      </c>
      <c r="H16" s="90">
        <v>46038</v>
      </c>
      <c r="I16" s="90">
        <f>H16+7</f>
        <v>46045</v>
      </c>
      <c r="J16" s="94">
        <f t="shared" si="1"/>
        <v>46045</v>
      </c>
      <c r="K16" s="90" t="s">
        <v>40</v>
      </c>
      <c r="L16" s="357">
        <v>40</v>
      </c>
      <c r="M16" s="357">
        <v>40</v>
      </c>
      <c r="N16" s="357" t="s">
        <v>18</v>
      </c>
      <c r="O16" s="357">
        <f>SUM(L16:N16) / Capacity!$B$2</f>
        <v>11.428571428571429</v>
      </c>
    </row>
    <row r="17" spans="2:15" ht="33" customHeight="1" thickBot="1">
      <c r="B17" s="5" t="s">
        <v>54</v>
      </c>
      <c r="C17" s="6" t="s">
        <v>38</v>
      </c>
      <c r="D17" s="6"/>
      <c r="E17" s="90">
        <v>46052</v>
      </c>
      <c r="F17" s="90">
        <v>46059</v>
      </c>
      <c r="G17" s="92" t="s">
        <v>16</v>
      </c>
      <c r="H17" s="90">
        <v>46066</v>
      </c>
      <c r="I17" s="403" t="s">
        <v>55</v>
      </c>
      <c r="J17" s="90"/>
      <c r="K17" s="90" t="s">
        <v>56</v>
      </c>
      <c r="L17" s="357">
        <v>10</v>
      </c>
      <c r="M17" s="357">
        <v>11</v>
      </c>
      <c r="N17" s="357" t="s">
        <v>18</v>
      </c>
      <c r="O17" s="357">
        <f>SUM(L17:N17) / Capacity!$B$2</f>
        <v>3</v>
      </c>
    </row>
    <row r="18" spans="2:15" ht="33" customHeight="1" thickBot="1">
      <c r="B18" s="5" t="s">
        <v>57</v>
      </c>
      <c r="C18" s="6" t="s">
        <v>23</v>
      </c>
      <c r="D18" s="6"/>
      <c r="E18" s="11" t="s">
        <v>58</v>
      </c>
      <c r="F18" s="11" t="s">
        <v>58</v>
      </c>
      <c r="G18" s="405" t="s">
        <v>58</v>
      </c>
      <c r="H18" s="405" t="s">
        <v>58</v>
      </c>
      <c r="I18" s="405" t="s">
        <v>58</v>
      </c>
      <c r="J18" s="405" t="s">
        <v>58</v>
      </c>
      <c r="K18" s="90" t="s">
        <v>59</v>
      </c>
      <c r="L18" s="357" t="s">
        <v>60</v>
      </c>
      <c r="M18" s="357" t="s">
        <v>60</v>
      </c>
      <c r="N18" s="357" t="s">
        <v>18</v>
      </c>
      <c r="O18" s="357">
        <f>SUM(L18:N18) / Capacity!$B$2</f>
        <v>0</v>
      </c>
    </row>
    <row r="19" spans="2:15" ht="33" customHeight="1" thickBot="1">
      <c r="B19" s="5" t="s">
        <v>61</v>
      </c>
      <c r="C19" s="6" t="s">
        <v>23</v>
      </c>
      <c r="D19" s="6"/>
      <c r="E19" s="11" t="s">
        <v>58</v>
      </c>
      <c r="F19" s="11" t="s">
        <v>58</v>
      </c>
      <c r="G19" s="405" t="s">
        <v>58</v>
      </c>
      <c r="H19" s="405" t="s">
        <v>58</v>
      </c>
      <c r="I19" s="405" t="s">
        <v>58</v>
      </c>
      <c r="J19" s="405" t="s">
        <v>58</v>
      </c>
      <c r="K19" s="90" t="s">
        <v>62</v>
      </c>
      <c r="L19" s="357">
        <v>19</v>
      </c>
      <c r="M19" s="357">
        <v>19</v>
      </c>
      <c r="N19" s="357" t="s">
        <v>18</v>
      </c>
      <c r="O19" s="357">
        <f>SUM(L19:N19) / Capacity!$B$2</f>
        <v>5.4285714285714288</v>
      </c>
    </row>
    <row r="20" spans="2:15" ht="33" customHeight="1" thickBot="1">
      <c r="B20" s="5" t="s">
        <v>63</v>
      </c>
      <c r="C20" s="6" t="s">
        <v>23</v>
      </c>
      <c r="D20" s="6"/>
      <c r="E20" s="11" t="s">
        <v>58</v>
      </c>
      <c r="F20" s="11" t="s">
        <v>58</v>
      </c>
      <c r="G20" s="405" t="s">
        <v>58</v>
      </c>
      <c r="H20" s="405" t="s">
        <v>58</v>
      </c>
      <c r="I20" s="405" t="s">
        <v>58</v>
      </c>
      <c r="J20" s="405" t="s">
        <v>58</v>
      </c>
      <c r="K20" s="90" t="s">
        <v>64</v>
      </c>
      <c r="L20" s="357">
        <v>41</v>
      </c>
      <c r="M20" s="357">
        <v>41</v>
      </c>
      <c r="N20" s="357" t="s">
        <v>18</v>
      </c>
      <c r="O20" s="357">
        <f>SUM(L20:N20) / Capacity!$B$2</f>
        <v>11.714285714285714</v>
      </c>
    </row>
    <row r="21" spans="2:15" ht="33" customHeight="1" thickBot="1">
      <c r="B21" s="5" t="s">
        <v>65</v>
      </c>
      <c r="C21" s="10"/>
      <c r="D21" s="10"/>
      <c r="E21" s="11" t="s">
        <v>58</v>
      </c>
      <c r="F21" s="11" t="s">
        <v>58</v>
      </c>
      <c r="G21" s="405" t="s">
        <v>58</v>
      </c>
      <c r="H21" s="405" t="s">
        <v>58</v>
      </c>
      <c r="I21" s="11" t="s">
        <v>58</v>
      </c>
      <c r="J21" s="11" t="s">
        <v>58</v>
      </c>
      <c r="K21" s="357" t="s">
        <v>66</v>
      </c>
      <c r="L21" s="357">
        <v>47</v>
      </c>
      <c r="M21" s="357">
        <v>47</v>
      </c>
      <c r="N21" s="357" t="s">
        <v>18</v>
      </c>
      <c r="O21" s="357">
        <f>SUM(L21:N21) / Capacity!$B$2</f>
        <v>13.428571428571429</v>
      </c>
    </row>
    <row r="22" spans="2:15" ht="33" customHeight="1" thickBot="1">
      <c r="B22" s="16" t="s">
        <v>67</v>
      </c>
      <c r="C22" s="17"/>
      <c r="D22" s="17"/>
      <c r="E22" s="18" t="s">
        <v>58</v>
      </c>
      <c r="F22" s="18" t="s">
        <v>58</v>
      </c>
      <c r="G22" s="406" t="s">
        <v>58</v>
      </c>
      <c r="H22" s="406" t="s">
        <v>58</v>
      </c>
      <c r="I22" s="18" t="s">
        <v>58</v>
      </c>
      <c r="J22" s="18" t="s">
        <v>58</v>
      </c>
      <c r="K22" s="407" t="s">
        <v>68</v>
      </c>
      <c r="L22" s="407">
        <v>5</v>
      </c>
      <c r="M22" s="407">
        <v>5</v>
      </c>
      <c r="N22" s="407" t="s">
        <v>18</v>
      </c>
      <c r="O22" s="357">
        <f>SUM(L22:N22) / Capacity!$B$2</f>
        <v>1.4285714285714286</v>
      </c>
    </row>
    <row r="23" spans="2:15" ht="33" customHeight="1" thickBot="1">
      <c r="B23" s="99"/>
      <c r="C23" s="20"/>
      <c r="D23" s="20"/>
      <c r="E23" s="408"/>
      <c r="F23" s="408"/>
      <c r="G23" s="408"/>
      <c r="H23" s="408"/>
      <c r="I23" s="408"/>
      <c r="J23" s="408"/>
      <c r="K23" s="408"/>
      <c r="L23" s="409">
        <f>SUM(L3:L22)</f>
        <v>2179</v>
      </c>
      <c r="M23" s="409">
        <f>SUM(M3:M22)</f>
        <v>1687</v>
      </c>
      <c r="N23" s="410"/>
      <c r="O23" s="410">
        <f>SUM(O3:O22)</f>
        <v>552.28571428571433</v>
      </c>
    </row>
    <row r="24" spans="2:15">
      <c r="C24" s="1"/>
      <c r="D24" s="1"/>
    </row>
    <row r="25" spans="2:15">
      <c r="C25" s="1"/>
      <c r="D25" s="1"/>
    </row>
    <row r="26" spans="2:15">
      <c r="C26" s="1"/>
      <c r="D26" s="1"/>
    </row>
    <row r="27" spans="2:15">
      <c r="C27" s="1"/>
      <c r="D27" s="1"/>
    </row>
    <row r="28" spans="2:15">
      <c r="C28" s="1"/>
      <c r="D28" s="1"/>
    </row>
    <row r="29" spans="2:15">
      <c r="C29" s="1"/>
      <c r="D29" s="1"/>
    </row>
    <row r="30" spans="2:15">
      <c r="C30" s="1"/>
      <c r="D30" s="1"/>
    </row>
    <row r="31" spans="2:15">
      <c r="C31" s="1"/>
      <c r="D31" s="1"/>
    </row>
    <row r="32" spans="2:15">
      <c r="C32" s="1"/>
      <c r="D32" s="1"/>
    </row>
    <row r="33" spans="3:4">
      <c r="C33" s="1"/>
      <c r="D33" s="1"/>
    </row>
    <row r="34" spans="3:4">
      <c r="C34" s="1"/>
      <c r="D34" s="1"/>
    </row>
    <row r="35" spans="3:4">
      <c r="C35" s="1"/>
      <c r="D35" s="1"/>
    </row>
    <row r="36" spans="3:4">
      <c r="C36" s="1"/>
      <c r="D36" s="1"/>
    </row>
    <row r="37" spans="3:4">
      <c r="C37" s="1"/>
      <c r="D37" s="1"/>
    </row>
    <row r="38" spans="3:4">
      <c r="C38" s="1"/>
      <c r="D38" s="1"/>
    </row>
    <row r="39" spans="3:4">
      <c r="C39" s="1"/>
      <c r="D39" s="1"/>
    </row>
    <row r="40" spans="3:4">
      <c r="C40" s="1"/>
      <c r="D40" s="1"/>
    </row>
    <row r="41" spans="3:4">
      <c r="C41" s="1"/>
      <c r="D41" s="1"/>
    </row>
    <row r="42" spans="3:4">
      <c r="C42" s="1"/>
      <c r="D42" s="1"/>
    </row>
    <row r="43" spans="3:4">
      <c r="C43" s="1"/>
      <c r="D43" s="1"/>
    </row>
    <row r="44" spans="3:4">
      <c r="C44" s="1"/>
      <c r="D44" s="1"/>
    </row>
    <row r="45" spans="3:4">
      <c r="C45" s="1"/>
      <c r="D45" s="1"/>
    </row>
    <row r="46" spans="3:4">
      <c r="C46" s="1"/>
      <c r="D46" s="1"/>
    </row>
    <row r="47" spans="3:4">
      <c r="C47" s="1"/>
      <c r="D47" s="1"/>
    </row>
    <row r="48" spans="3:4">
      <c r="C48" s="1"/>
      <c r="D48" s="1"/>
    </row>
    <row r="49" spans="3:4">
      <c r="C49" s="1"/>
      <c r="D49" s="1"/>
    </row>
    <row r="50" spans="3:4">
      <c r="C50" s="1"/>
      <c r="D50" s="1"/>
    </row>
    <row r="51" spans="3:4">
      <c r="C51" s="1"/>
      <c r="D51" s="1"/>
    </row>
    <row r="52" spans="3:4">
      <c r="C52" s="1"/>
      <c r="D52" s="1"/>
    </row>
    <row r="53" spans="3:4">
      <c r="C53" s="1"/>
      <c r="D53" s="1"/>
    </row>
    <row r="54" spans="3:4">
      <c r="C54" s="1"/>
      <c r="D54" s="1"/>
    </row>
    <row r="55" spans="3:4">
      <c r="C55" s="1"/>
      <c r="D55" s="1"/>
    </row>
    <row r="56" spans="3:4">
      <c r="C56" s="1"/>
      <c r="D56" s="1"/>
    </row>
    <row r="57" spans="3:4">
      <c r="C57" s="1"/>
      <c r="D57" s="1"/>
    </row>
    <row r="58" spans="3:4">
      <c r="C58" s="1"/>
      <c r="D58" s="1"/>
    </row>
    <row r="59" spans="3:4">
      <c r="C59" s="1"/>
      <c r="D59" s="1"/>
    </row>
    <row r="60" spans="3:4">
      <c r="C60" s="1"/>
      <c r="D60" s="1"/>
    </row>
    <row r="61" spans="3:4">
      <c r="C61" s="1"/>
      <c r="D61" s="1"/>
    </row>
    <row r="62" spans="3:4">
      <c r="C62" s="1"/>
      <c r="D62" s="1"/>
    </row>
    <row r="63" spans="3:4">
      <c r="C63" s="1"/>
      <c r="D63" s="1"/>
    </row>
    <row r="64" spans="3:4">
      <c r="C64" s="1"/>
      <c r="D64" s="1"/>
    </row>
    <row r="65" spans="3:4">
      <c r="C65" s="1"/>
      <c r="D65" s="1"/>
    </row>
    <row r="66" spans="3:4">
      <c r="C66" s="1"/>
      <c r="D66" s="1"/>
    </row>
    <row r="67" spans="3:4">
      <c r="C67" s="1"/>
      <c r="D67" s="1"/>
    </row>
    <row r="68" spans="3:4">
      <c r="C68" s="1"/>
      <c r="D68" s="1"/>
    </row>
    <row r="69" spans="3:4">
      <c r="C69" s="1"/>
      <c r="D69" s="1"/>
    </row>
    <row r="70" spans="3:4">
      <c r="C70" s="1"/>
      <c r="D70" s="1"/>
    </row>
    <row r="71" spans="3:4">
      <c r="C71" s="1"/>
      <c r="D71" s="1"/>
    </row>
    <row r="72" spans="3:4">
      <c r="C72" s="1"/>
      <c r="D72" s="1"/>
    </row>
    <row r="73" spans="3:4">
      <c r="C73" s="1"/>
      <c r="D73" s="1"/>
    </row>
    <row r="74" spans="3:4">
      <c r="C74" s="1"/>
      <c r="D74" s="1"/>
    </row>
    <row r="75" spans="3:4">
      <c r="C75" s="1"/>
      <c r="D75" s="1"/>
    </row>
    <row r="76" spans="3:4">
      <c r="C76" s="1"/>
      <c r="D76" s="1"/>
    </row>
    <row r="77" spans="3:4">
      <c r="C77" s="1"/>
      <c r="D77" s="1"/>
    </row>
    <row r="78" spans="3:4">
      <c r="C78" s="1"/>
      <c r="D78" s="1"/>
    </row>
    <row r="79" spans="3:4">
      <c r="C79" s="1"/>
      <c r="D79" s="1"/>
    </row>
    <row r="80" spans="3:4">
      <c r="C80" s="1"/>
      <c r="D80" s="1"/>
    </row>
    <row r="81" spans="3:4">
      <c r="C81" s="1"/>
      <c r="D81" s="1"/>
    </row>
    <row r="82" spans="3:4">
      <c r="C82" s="1"/>
      <c r="D82" s="1"/>
    </row>
    <row r="83" spans="3:4">
      <c r="C83" s="1"/>
      <c r="D83" s="1"/>
    </row>
    <row r="84" spans="3:4">
      <c r="C84" s="1"/>
      <c r="D84" s="1"/>
    </row>
    <row r="85" spans="3:4">
      <c r="C85" s="1"/>
      <c r="D85" s="1"/>
    </row>
    <row r="86" spans="3:4">
      <c r="C86" s="1"/>
      <c r="D86" s="1"/>
    </row>
    <row r="87" spans="3:4">
      <c r="C87" s="1"/>
      <c r="D87" s="1"/>
    </row>
    <row r="88" spans="3:4">
      <c r="C88" s="1"/>
      <c r="D88" s="1"/>
    </row>
    <row r="89" spans="3:4">
      <c r="C89" s="1"/>
      <c r="D89" s="1"/>
    </row>
    <row r="90" spans="3:4">
      <c r="C90" s="1"/>
      <c r="D90" s="1"/>
    </row>
    <row r="91" spans="3:4">
      <c r="C91" s="1"/>
      <c r="D91" s="1"/>
    </row>
    <row r="92" spans="3:4">
      <c r="C92" s="1"/>
      <c r="D92" s="1"/>
    </row>
    <row r="93" spans="3:4">
      <c r="C93" s="1"/>
      <c r="D93" s="1"/>
    </row>
    <row r="94" spans="3:4">
      <c r="C94" s="1"/>
      <c r="D94" s="1"/>
    </row>
    <row r="95" spans="3:4">
      <c r="C95" s="1"/>
      <c r="D95" s="1"/>
    </row>
    <row r="96" spans="3:4">
      <c r="C96" s="1"/>
      <c r="D96" s="1"/>
    </row>
    <row r="97" spans="3:4">
      <c r="C97" s="1"/>
      <c r="D97" s="1"/>
    </row>
    <row r="98" spans="3:4">
      <c r="C98" s="1"/>
      <c r="D98" s="1"/>
    </row>
    <row r="99" spans="3:4">
      <c r="C99" s="1"/>
      <c r="D99" s="1"/>
    </row>
    <row r="100" spans="3:4">
      <c r="C100" s="1"/>
      <c r="D100" s="1"/>
    </row>
    <row r="101" spans="3:4">
      <c r="C101" s="1"/>
      <c r="D101" s="1"/>
    </row>
    <row r="102" spans="3:4">
      <c r="C102" s="1"/>
      <c r="D102" s="1"/>
    </row>
    <row r="103" spans="3:4">
      <c r="C103" s="1"/>
      <c r="D103" s="1"/>
    </row>
    <row r="104" spans="3:4">
      <c r="C104" s="1"/>
      <c r="D104" s="1"/>
    </row>
    <row r="105" spans="3:4">
      <c r="C105" s="1"/>
      <c r="D105" s="1"/>
    </row>
    <row r="106" spans="3:4">
      <c r="C106" s="1"/>
      <c r="D106" s="1"/>
    </row>
    <row r="107" spans="3:4">
      <c r="C107" s="1"/>
      <c r="D107" s="1"/>
    </row>
    <row r="108" spans="3:4">
      <c r="C108" s="1"/>
      <c r="D108" s="1"/>
    </row>
    <row r="109" spans="3:4">
      <c r="C109" s="1"/>
      <c r="D109" s="1"/>
    </row>
    <row r="110" spans="3:4">
      <c r="C110" s="1"/>
      <c r="D110" s="1"/>
    </row>
    <row r="111" spans="3:4">
      <c r="C111" s="1"/>
      <c r="D111" s="1"/>
    </row>
    <row r="112" spans="3:4">
      <c r="C112" s="1"/>
      <c r="D112" s="1"/>
    </row>
    <row r="113" spans="3:4">
      <c r="C113" s="1"/>
      <c r="D113" s="1"/>
    </row>
    <row r="114" spans="3:4">
      <c r="C114" s="1"/>
      <c r="D114" s="1"/>
    </row>
    <row r="115" spans="3:4">
      <c r="C115" s="1"/>
      <c r="D115" s="1"/>
    </row>
    <row r="116" spans="3:4">
      <c r="C116" s="1"/>
      <c r="D116" s="1"/>
    </row>
    <row r="117" spans="3:4">
      <c r="C117" s="1"/>
      <c r="D117" s="1"/>
    </row>
    <row r="118" spans="3:4">
      <c r="C118" s="1"/>
      <c r="D118" s="1"/>
    </row>
    <row r="119" spans="3:4">
      <c r="C119" s="1"/>
      <c r="D119" s="1"/>
    </row>
    <row r="120" spans="3:4">
      <c r="C120" s="1"/>
      <c r="D120" s="1"/>
    </row>
    <row r="121" spans="3:4">
      <c r="C121" s="1"/>
      <c r="D121" s="1"/>
    </row>
    <row r="122" spans="3:4">
      <c r="C122" s="1"/>
      <c r="D122" s="1"/>
    </row>
    <row r="123" spans="3:4">
      <c r="C123" s="1"/>
      <c r="D123" s="1"/>
    </row>
    <row r="124" spans="3:4">
      <c r="C124" s="1"/>
      <c r="D124" s="1"/>
    </row>
    <row r="125" spans="3:4">
      <c r="C125" s="1"/>
      <c r="D125" s="1"/>
    </row>
    <row r="126" spans="3:4">
      <c r="C126" s="1"/>
      <c r="D126" s="1"/>
    </row>
    <row r="127" spans="3:4">
      <c r="C127" s="1"/>
      <c r="D127" s="1"/>
    </row>
    <row r="128" spans="3:4">
      <c r="C128" s="1"/>
      <c r="D128" s="1"/>
    </row>
    <row r="129" spans="3:4">
      <c r="C129" s="1"/>
      <c r="D129" s="1"/>
    </row>
    <row r="130" spans="3:4">
      <c r="C130" s="1"/>
      <c r="D130" s="1"/>
    </row>
    <row r="131" spans="3:4">
      <c r="C131" s="1"/>
      <c r="D131" s="1"/>
    </row>
    <row r="132" spans="3:4">
      <c r="C132" s="1"/>
      <c r="D132" s="1"/>
    </row>
    <row r="133" spans="3:4">
      <c r="C133" s="1"/>
      <c r="D133" s="1"/>
    </row>
    <row r="134" spans="3:4">
      <c r="C134" s="1"/>
      <c r="D134" s="1"/>
    </row>
    <row r="135" spans="3:4">
      <c r="C135" s="1"/>
      <c r="D135" s="1"/>
    </row>
    <row r="136" spans="3:4">
      <c r="C136" s="1"/>
      <c r="D136" s="1"/>
    </row>
    <row r="137" spans="3:4">
      <c r="C137" s="1"/>
      <c r="D137" s="1"/>
    </row>
    <row r="138" spans="3:4">
      <c r="C138" s="1"/>
      <c r="D138" s="1"/>
    </row>
    <row r="139" spans="3:4">
      <c r="C139" s="1"/>
      <c r="D139" s="1"/>
    </row>
    <row r="140" spans="3:4">
      <c r="C140" s="1"/>
      <c r="D140" s="1"/>
    </row>
    <row r="141" spans="3:4">
      <c r="C141" s="1"/>
      <c r="D141" s="1"/>
    </row>
    <row r="142" spans="3:4">
      <c r="C142" s="1"/>
      <c r="D142" s="1"/>
    </row>
    <row r="143" spans="3:4">
      <c r="C143" s="1"/>
      <c r="D143" s="1"/>
    </row>
    <row r="144" spans="3:4">
      <c r="C144" s="1"/>
      <c r="D144" s="1"/>
    </row>
    <row r="145" spans="3:4">
      <c r="C145" s="1"/>
      <c r="D145" s="1"/>
    </row>
    <row r="146" spans="3:4">
      <c r="C146" s="1"/>
      <c r="D146" s="1"/>
    </row>
    <row r="147" spans="3:4">
      <c r="C147" s="1"/>
      <c r="D147" s="1"/>
    </row>
    <row r="148" spans="3:4">
      <c r="C148" s="1"/>
      <c r="D148" s="1"/>
    </row>
    <row r="149" spans="3:4">
      <c r="C149" s="1"/>
      <c r="D149" s="1"/>
    </row>
    <row r="150" spans="3:4">
      <c r="C150" s="1"/>
      <c r="D150" s="1"/>
    </row>
    <row r="151" spans="3:4">
      <c r="C151" s="1"/>
      <c r="D151" s="1"/>
    </row>
    <row r="152" spans="3:4">
      <c r="C152" s="1"/>
      <c r="D152" s="1"/>
    </row>
    <row r="153" spans="3:4">
      <c r="C153" s="1"/>
      <c r="D153" s="1"/>
    </row>
    <row r="154" spans="3:4">
      <c r="C154" s="1"/>
      <c r="D154" s="1"/>
    </row>
    <row r="155" spans="3:4">
      <c r="C155" s="1"/>
      <c r="D155" s="1"/>
    </row>
    <row r="156" spans="3:4">
      <c r="C156" s="1"/>
      <c r="D156" s="1"/>
    </row>
    <row r="157" spans="3:4">
      <c r="C157" s="1"/>
      <c r="D157" s="1"/>
    </row>
    <row r="158" spans="3:4">
      <c r="C158" s="1"/>
      <c r="D158" s="1"/>
    </row>
    <row r="159" spans="3:4">
      <c r="C159" s="1"/>
      <c r="D159" s="1"/>
    </row>
    <row r="160" spans="3:4">
      <c r="C160" s="1"/>
      <c r="D160" s="1"/>
    </row>
    <row r="161" spans="3:4">
      <c r="C161" s="1"/>
      <c r="D161" s="1"/>
    </row>
    <row r="162" spans="3:4">
      <c r="C162" s="1"/>
      <c r="D162" s="1"/>
    </row>
    <row r="163" spans="3:4">
      <c r="C163" s="1"/>
      <c r="D163" s="1"/>
    </row>
    <row r="164" spans="3:4">
      <c r="C164" s="1"/>
      <c r="D164" s="1"/>
    </row>
    <row r="165" spans="3:4">
      <c r="C165" s="1"/>
      <c r="D165" s="1"/>
    </row>
    <row r="166" spans="3:4">
      <c r="C166" s="1"/>
      <c r="D166" s="1"/>
    </row>
    <row r="167" spans="3:4">
      <c r="C167" s="1"/>
      <c r="D167" s="1"/>
    </row>
    <row r="168" spans="3:4">
      <c r="C168" s="1"/>
      <c r="D168" s="1"/>
    </row>
    <row r="169" spans="3:4">
      <c r="C169" s="1"/>
      <c r="D169" s="1"/>
    </row>
    <row r="170" spans="3:4">
      <c r="C170" s="1"/>
      <c r="D170" s="1"/>
    </row>
    <row r="171" spans="3:4">
      <c r="C171" s="1"/>
      <c r="D171" s="1"/>
    </row>
    <row r="172" spans="3:4">
      <c r="C172" s="1"/>
      <c r="D172" s="1"/>
    </row>
    <row r="173" spans="3:4">
      <c r="C173" s="1"/>
      <c r="D173" s="1"/>
    </row>
    <row r="174" spans="3:4">
      <c r="C174" s="1"/>
      <c r="D174" s="1"/>
    </row>
    <row r="175" spans="3:4">
      <c r="C175" s="1"/>
      <c r="D175" s="1"/>
    </row>
    <row r="176" spans="3:4">
      <c r="C176" s="1"/>
      <c r="D176" s="1"/>
    </row>
    <row r="177" spans="3:4">
      <c r="C177" s="1"/>
      <c r="D177" s="1"/>
    </row>
    <row r="178" spans="3:4">
      <c r="C178" s="1"/>
      <c r="D178" s="1"/>
    </row>
    <row r="179" spans="3:4">
      <c r="C179" s="1"/>
      <c r="D179" s="1"/>
    </row>
    <row r="180" spans="3:4">
      <c r="C180" s="1"/>
      <c r="D180" s="1"/>
    </row>
    <row r="181" spans="3:4">
      <c r="C181" s="1"/>
      <c r="D181" s="1"/>
    </row>
    <row r="182" spans="3:4">
      <c r="C182" s="1"/>
      <c r="D182" s="1"/>
    </row>
    <row r="183" spans="3:4">
      <c r="C183" s="1"/>
      <c r="D183" s="1"/>
    </row>
    <row r="184" spans="3:4">
      <c r="C184" s="1"/>
      <c r="D184" s="1"/>
    </row>
    <row r="185" spans="3:4">
      <c r="C185" s="1"/>
      <c r="D185" s="1"/>
    </row>
    <row r="186" spans="3:4">
      <c r="C186" s="1"/>
      <c r="D186" s="1"/>
    </row>
    <row r="187" spans="3:4">
      <c r="C187" s="1"/>
      <c r="D187" s="1"/>
    </row>
    <row r="188" spans="3:4">
      <c r="C188" s="1"/>
      <c r="D188" s="1"/>
    </row>
    <row r="189" spans="3:4">
      <c r="C189" s="1"/>
      <c r="D189" s="1"/>
    </row>
    <row r="190" spans="3:4">
      <c r="C190" s="1"/>
      <c r="D190" s="1"/>
    </row>
    <row r="191" spans="3:4">
      <c r="C191" s="1"/>
      <c r="D191" s="1"/>
    </row>
    <row r="192" spans="3:4">
      <c r="C192" s="1"/>
      <c r="D192" s="1"/>
    </row>
    <row r="193" spans="3:4">
      <c r="C193" s="1"/>
      <c r="D193" s="1"/>
    </row>
    <row r="194" spans="3:4">
      <c r="C194" s="1"/>
      <c r="D194" s="1"/>
    </row>
    <row r="195" spans="3:4">
      <c r="C195" s="1"/>
      <c r="D195" s="1"/>
    </row>
    <row r="196" spans="3:4">
      <c r="C196" s="1"/>
      <c r="D196" s="1"/>
    </row>
    <row r="197" spans="3:4">
      <c r="C197" s="1"/>
      <c r="D197" s="1"/>
    </row>
    <row r="198" spans="3:4">
      <c r="C198" s="1"/>
      <c r="D198" s="1"/>
    </row>
    <row r="199" spans="3:4">
      <c r="C199" s="1"/>
      <c r="D199" s="1"/>
    </row>
    <row r="200" spans="3:4">
      <c r="C200" s="1"/>
      <c r="D200" s="1"/>
    </row>
    <row r="201" spans="3:4">
      <c r="C201" s="1"/>
      <c r="D201" s="1"/>
    </row>
    <row r="202" spans="3:4">
      <c r="C202" s="1"/>
      <c r="D202" s="1"/>
    </row>
    <row r="203" spans="3:4">
      <c r="C203" s="1"/>
      <c r="D203" s="1"/>
    </row>
    <row r="204" spans="3:4">
      <c r="C204" s="1"/>
      <c r="D204" s="1"/>
    </row>
    <row r="205" spans="3:4">
      <c r="C205" s="1"/>
      <c r="D205" s="1"/>
    </row>
    <row r="206" spans="3:4">
      <c r="C206" s="1"/>
      <c r="D206" s="1"/>
    </row>
    <row r="207" spans="3:4">
      <c r="C207" s="1"/>
      <c r="D207" s="1"/>
    </row>
    <row r="208" spans="3:4">
      <c r="C208" s="1"/>
      <c r="D208" s="1"/>
    </row>
    <row r="209" spans="3:4">
      <c r="C209" s="1"/>
      <c r="D209" s="1"/>
    </row>
    <row r="210" spans="3:4">
      <c r="C210" s="1"/>
      <c r="D210" s="1"/>
    </row>
    <row r="211" spans="3:4">
      <c r="C211" s="1"/>
      <c r="D211" s="1"/>
    </row>
    <row r="212" spans="3:4">
      <c r="C212" s="1"/>
      <c r="D212" s="1"/>
    </row>
    <row r="213" spans="3:4">
      <c r="C213" s="1"/>
      <c r="D213" s="1"/>
    </row>
    <row r="214" spans="3:4">
      <c r="C214" s="1"/>
      <c r="D214" s="1"/>
    </row>
    <row r="215" spans="3:4">
      <c r="C215" s="1"/>
      <c r="D215" s="1"/>
    </row>
    <row r="216" spans="3:4">
      <c r="C216" s="1"/>
      <c r="D216" s="1"/>
    </row>
    <row r="217" spans="3:4">
      <c r="C217" s="1"/>
      <c r="D217" s="1"/>
    </row>
    <row r="218" spans="3:4">
      <c r="C218" s="1"/>
      <c r="D218" s="1"/>
    </row>
    <row r="219" spans="3:4">
      <c r="C219" s="1"/>
      <c r="D219" s="1"/>
    </row>
    <row r="220" spans="3:4">
      <c r="C220" s="1"/>
      <c r="D220" s="1"/>
    </row>
    <row r="221" spans="3:4">
      <c r="C221" s="1"/>
      <c r="D221" s="1"/>
    </row>
    <row r="222" spans="3:4">
      <c r="C222" s="1"/>
      <c r="D222" s="1"/>
    </row>
    <row r="223" spans="3:4">
      <c r="C223" s="1"/>
      <c r="D223" s="1"/>
    </row>
    <row r="224" spans="3:4">
      <c r="C224" s="1"/>
      <c r="D224" s="1"/>
    </row>
    <row r="225" spans="3:4">
      <c r="C225" s="1"/>
      <c r="D225" s="1"/>
    </row>
    <row r="226" spans="3:4">
      <c r="C226" s="1"/>
      <c r="D226" s="1"/>
    </row>
    <row r="227" spans="3:4">
      <c r="C227" s="1"/>
      <c r="D227" s="1"/>
    </row>
    <row r="228" spans="3:4">
      <c r="C228" s="1"/>
      <c r="D228" s="1"/>
    </row>
    <row r="229" spans="3:4">
      <c r="C229" s="1"/>
      <c r="D229" s="1"/>
    </row>
    <row r="230" spans="3:4">
      <c r="C230" s="1"/>
      <c r="D230" s="1"/>
    </row>
    <row r="231" spans="3:4">
      <c r="C231" s="1"/>
      <c r="D231" s="1"/>
    </row>
    <row r="232" spans="3:4">
      <c r="C232" s="1"/>
      <c r="D232" s="1"/>
    </row>
    <row r="233" spans="3:4">
      <c r="C233" s="1"/>
      <c r="D233" s="1"/>
    </row>
    <row r="234" spans="3:4">
      <c r="C234" s="1"/>
      <c r="D234" s="1"/>
    </row>
    <row r="235" spans="3:4">
      <c r="C235" s="1"/>
      <c r="D235" s="1"/>
    </row>
    <row r="236" spans="3:4">
      <c r="C236" s="1"/>
      <c r="D236" s="1"/>
    </row>
    <row r="237" spans="3:4">
      <c r="C237" s="1"/>
      <c r="D237" s="1"/>
    </row>
    <row r="238" spans="3:4">
      <c r="C238" s="1"/>
      <c r="D238" s="1"/>
    </row>
    <row r="239" spans="3:4">
      <c r="C239" s="1"/>
      <c r="D239" s="1"/>
    </row>
    <row r="240" spans="3:4">
      <c r="C240" s="1"/>
      <c r="D240" s="1"/>
    </row>
    <row r="241" spans="3:4">
      <c r="C241" s="1"/>
      <c r="D241" s="1"/>
    </row>
    <row r="242" spans="3:4">
      <c r="C242" s="1"/>
      <c r="D242" s="1"/>
    </row>
    <row r="243" spans="3:4">
      <c r="C243" s="1"/>
      <c r="D243" s="1"/>
    </row>
    <row r="244" spans="3:4">
      <c r="C244" s="1"/>
      <c r="D244" s="1"/>
    </row>
    <row r="245" spans="3:4">
      <c r="C245" s="1"/>
      <c r="D245" s="1"/>
    </row>
    <row r="246" spans="3:4">
      <c r="C246" s="1"/>
      <c r="D246" s="1"/>
    </row>
    <row r="247" spans="3:4">
      <c r="C247" s="1"/>
      <c r="D247" s="1"/>
    </row>
    <row r="248" spans="3:4">
      <c r="C248" s="1"/>
      <c r="D248" s="1"/>
    </row>
    <row r="249" spans="3:4">
      <c r="C249" s="1"/>
      <c r="D249" s="1"/>
    </row>
    <row r="250" spans="3:4">
      <c r="C250" s="1"/>
      <c r="D250" s="1"/>
    </row>
    <row r="251" spans="3:4">
      <c r="C251" s="1"/>
      <c r="D251" s="1"/>
    </row>
    <row r="252" spans="3:4">
      <c r="C252" s="1"/>
      <c r="D252" s="1"/>
    </row>
    <row r="253" spans="3:4">
      <c r="C253" s="1"/>
      <c r="D253" s="1"/>
    </row>
    <row r="254" spans="3:4">
      <c r="C254" s="1"/>
      <c r="D254" s="1"/>
    </row>
    <row r="255" spans="3:4">
      <c r="C255" s="1"/>
      <c r="D255" s="1"/>
    </row>
    <row r="256" spans="3:4">
      <c r="C256" s="1"/>
      <c r="D256" s="1"/>
    </row>
    <row r="257" spans="3:4">
      <c r="C257" s="1"/>
      <c r="D257" s="1"/>
    </row>
    <row r="258" spans="3:4">
      <c r="C258" s="1"/>
      <c r="D258" s="1"/>
    </row>
    <row r="259" spans="3:4">
      <c r="C259" s="1"/>
      <c r="D259" s="1"/>
    </row>
    <row r="260" spans="3:4">
      <c r="C260" s="1"/>
      <c r="D260" s="1"/>
    </row>
    <row r="261" spans="3:4">
      <c r="C261" s="1"/>
      <c r="D261" s="1"/>
    </row>
    <row r="262" spans="3:4">
      <c r="C262" s="1"/>
      <c r="D262" s="1"/>
    </row>
    <row r="263" spans="3:4">
      <c r="C263" s="1"/>
      <c r="D263" s="1"/>
    </row>
    <row r="264" spans="3:4">
      <c r="C264" s="1"/>
      <c r="D264" s="1"/>
    </row>
    <row r="265" spans="3:4">
      <c r="C265" s="1"/>
      <c r="D265" s="1"/>
    </row>
    <row r="266" spans="3:4">
      <c r="C266" s="1"/>
      <c r="D266" s="1"/>
    </row>
    <row r="267" spans="3:4">
      <c r="C267" s="1"/>
      <c r="D267" s="1"/>
    </row>
    <row r="268" spans="3:4">
      <c r="C268" s="1"/>
      <c r="D268" s="1"/>
    </row>
    <row r="269" spans="3:4">
      <c r="C269" s="1"/>
      <c r="D269" s="1"/>
    </row>
    <row r="270" spans="3:4">
      <c r="C270" s="1"/>
      <c r="D270" s="1"/>
    </row>
    <row r="271" spans="3:4">
      <c r="C271" s="1"/>
      <c r="D271" s="1"/>
    </row>
    <row r="272" spans="3:4">
      <c r="C272" s="1"/>
      <c r="D272" s="1"/>
    </row>
    <row r="273" spans="3:4">
      <c r="C273" s="1"/>
      <c r="D273" s="1"/>
    </row>
    <row r="274" spans="3:4">
      <c r="C274" s="1"/>
      <c r="D274" s="1"/>
    </row>
    <row r="275" spans="3:4">
      <c r="C275" s="1"/>
      <c r="D275" s="1"/>
    </row>
    <row r="276" spans="3:4">
      <c r="C276" s="1"/>
      <c r="D276" s="1"/>
    </row>
    <row r="277" spans="3:4">
      <c r="C277" s="1"/>
      <c r="D277" s="1"/>
    </row>
    <row r="278" spans="3:4">
      <c r="C278" s="1"/>
      <c r="D278" s="1"/>
    </row>
    <row r="279" spans="3:4">
      <c r="C279" s="1"/>
      <c r="D279" s="1"/>
    </row>
    <row r="280" spans="3:4">
      <c r="C280" s="1"/>
      <c r="D280" s="1"/>
    </row>
    <row r="281" spans="3:4">
      <c r="C281" s="1"/>
      <c r="D281" s="1"/>
    </row>
    <row r="282" spans="3:4">
      <c r="C282" s="1"/>
      <c r="D282" s="1"/>
    </row>
    <row r="283" spans="3:4">
      <c r="C283" s="1"/>
      <c r="D283" s="1"/>
    </row>
    <row r="284" spans="3:4">
      <c r="C284" s="1"/>
      <c r="D284" s="1"/>
    </row>
    <row r="285" spans="3:4">
      <c r="C285" s="1"/>
      <c r="D285" s="1"/>
    </row>
    <row r="286" spans="3:4">
      <c r="C286" s="1"/>
      <c r="D286" s="1"/>
    </row>
    <row r="287" spans="3:4">
      <c r="C287" s="1"/>
      <c r="D287" s="1"/>
    </row>
    <row r="288" spans="3:4">
      <c r="C288" s="1"/>
      <c r="D288" s="1"/>
    </row>
    <row r="289" spans="3:4">
      <c r="C289" s="1"/>
      <c r="D289" s="1"/>
    </row>
    <row r="290" spans="3:4">
      <c r="C290" s="1"/>
      <c r="D290" s="1"/>
    </row>
    <row r="291" spans="3:4">
      <c r="C291" s="1"/>
      <c r="D291" s="1"/>
    </row>
    <row r="292" spans="3:4">
      <c r="C292" s="1"/>
      <c r="D292" s="1"/>
    </row>
    <row r="293" spans="3:4">
      <c r="C293" s="1"/>
      <c r="D293" s="1"/>
    </row>
    <row r="294" spans="3:4">
      <c r="C294" s="1"/>
      <c r="D294" s="1"/>
    </row>
    <row r="295" spans="3:4">
      <c r="C295" s="1"/>
      <c r="D295" s="1"/>
    </row>
    <row r="296" spans="3:4">
      <c r="C296" s="1"/>
      <c r="D296" s="1"/>
    </row>
    <row r="297" spans="3:4">
      <c r="C297" s="1"/>
      <c r="D297" s="1"/>
    </row>
    <row r="298" spans="3:4">
      <c r="C298" s="1"/>
      <c r="D298" s="1"/>
    </row>
    <row r="299" spans="3:4">
      <c r="C299" s="1"/>
      <c r="D299" s="1"/>
    </row>
    <row r="300" spans="3:4">
      <c r="C300" s="1"/>
      <c r="D300" s="1"/>
    </row>
    <row r="301" spans="3:4">
      <c r="C301" s="1"/>
      <c r="D301" s="1"/>
    </row>
    <row r="302" spans="3:4">
      <c r="C302" s="1"/>
      <c r="D302" s="1"/>
    </row>
    <row r="303" spans="3:4">
      <c r="C303" s="1"/>
      <c r="D303" s="1"/>
    </row>
    <row r="304" spans="3:4">
      <c r="C304" s="1"/>
      <c r="D304" s="1"/>
    </row>
    <row r="305" spans="3:4">
      <c r="C305" s="1"/>
      <c r="D305" s="1"/>
    </row>
    <row r="306" spans="3:4">
      <c r="C306" s="1"/>
      <c r="D306" s="1"/>
    </row>
    <row r="307" spans="3:4">
      <c r="C307" s="1"/>
      <c r="D307" s="1"/>
    </row>
    <row r="308" spans="3:4">
      <c r="C308" s="1"/>
      <c r="D308" s="1"/>
    </row>
    <row r="309" spans="3:4">
      <c r="C309" s="1"/>
      <c r="D309" s="1"/>
    </row>
    <row r="310" spans="3:4">
      <c r="C310" s="1"/>
      <c r="D310" s="1"/>
    </row>
    <row r="311" spans="3:4">
      <c r="C311" s="1"/>
      <c r="D311" s="1"/>
    </row>
    <row r="312" spans="3:4">
      <c r="C312" s="1"/>
      <c r="D312" s="1"/>
    </row>
    <row r="313" spans="3:4">
      <c r="C313" s="1"/>
      <c r="D313" s="1"/>
    </row>
    <row r="314" spans="3:4">
      <c r="C314" s="1"/>
      <c r="D314" s="1"/>
    </row>
    <row r="315" spans="3:4">
      <c r="C315" s="1"/>
      <c r="D315" s="1"/>
    </row>
    <row r="316" spans="3:4">
      <c r="C316" s="1"/>
      <c r="D316" s="1"/>
    </row>
    <row r="317" spans="3:4">
      <c r="C317" s="1"/>
      <c r="D317" s="1"/>
    </row>
    <row r="318" spans="3:4">
      <c r="C318" s="1"/>
      <c r="D318" s="1"/>
    </row>
    <row r="319" spans="3:4">
      <c r="C319" s="1"/>
      <c r="D319" s="1"/>
    </row>
    <row r="320" spans="3:4">
      <c r="C320" s="1"/>
      <c r="D320" s="1"/>
    </row>
    <row r="321" spans="3:4">
      <c r="C321" s="1"/>
      <c r="D321" s="1"/>
    </row>
    <row r="322" spans="3:4">
      <c r="C322" s="1"/>
      <c r="D322" s="1"/>
    </row>
    <row r="323" spans="3:4">
      <c r="C323" s="1"/>
      <c r="D323" s="1"/>
    </row>
    <row r="324" spans="3:4">
      <c r="C324" s="1"/>
      <c r="D324" s="1"/>
    </row>
    <row r="325" spans="3:4">
      <c r="C325" s="1"/>
      <c r="D325" s="1"/>
    </row>
    <row r="326" spans="3:4">
      <c r="C326" s="1"/>
      <c r="D326" s="1"/>
    </row>
    <row r="327" spans="3:4">
      <c r="C327" s="1"/>
      <c r="D327" s="1"/>
    </row>
    <row r="328" spans="3:4">
      <c r="C328" s="1"/>
      <c r="D328" s="1"/>
    </row>
    <row r="329" spans="3:4">
      <c r="C329" s="1"/>
      <c r="D329" s="1"/>
    </row>
    <row r="330" spans="3:4">
      <c r="C330" s="1"/>
      <c r="D330" s="1"/>
    </row>
    <row r="331" spans="3:4">
      <c r="C331" s="1"/>
      <c r="D331" s="1"/>
    </row>
    <row r="332" spans="3:4">
      <c r="C332" s="1"/>
      <c r="D332" s="1"/>
    </row>
    <row r="333" spans="3:4">
      <c r="C333" s="1"/>
      <c r="D333" s="1"/>
    </row>
    <row r="334" spans="3:4">
      <c r="C334" s="1"/>
      <c r="D334" s="1"/>
    </row>
    <row r="335" spans="3:4">
      <c r="C335" s="1"/>
      <c r="D335" s="1"/>
    </row>
    <row r="336" spans="3:4">
      <c r="C336" s="1"/>
      <c r="D336" s="1"/>
    </row>
    <row r="337" spans="3:4">
      <c r="C337" s="1"/>
      <c r="D337" s="1"/>
    </row>
    <row r="338" spans="3:4">
      <c r="C338" s="1"/>
      <c r="D338" s="1"/>
    </row>
    <row r="339" spans="3:4">
      <c r="C339" s="1"/>
      <c r="D339" s="1"/>
    </row>
    <row r="340" spans="3:4">
      <c r="C340" s="1"/>
      <c r="D340" s="1"/>
    </row>
    <row r="341" spans="3:4">
      <c r="C341" s="1"/>
      <c r="D341" s="1"/>
    </row>
    <row r="342" spans="3:4">
      <c r="C342" s="1"/>
      <c r="D342" s="1"/>
    </row>
    <row r="343" spans="3:4">
      <c r="C343" s="1"/>
      <c r="D343" s="1"/>
    </row>
    <row r="344" spans="3:4">
      <c r="C344" s="1"/>
      <c r="D344" s="1"/>
    </row>
    <row r="345" spans="3:4">
      <c r="C345" s="1"/>
      <c r="D345" s="1"/>
    </row>
    <row r="346" spans="3:4">
      <c r="C346" s="1"/>
      <c r="D346" s="1"/>
    </row>
    <row r="347" spans="3:4">
      <c r="C347" s="1"/>
      <c r="D347" s="1"/>
    </row>
    <row r="348" spans="3:4">
      <c r="C348" s="1"/>
      <c r="D348" s="1"/>
    </row>
    <row r="349" spans="3:4">
      <c r="C349" s="1"/>
      <c r="D349" s="1"/>
    </row>
    <row r="350" spans="3:4">
      <c r="C350" s="1"/>
      <c r="D350" s="1"/>
    </row>
    <row r="351" spans="3:4">
      <c r="C351" s="1"/>
      <c r="D351" s="1"/>
    </row>
    <row r="352" spans="3:4">
      <c r="C352" s="1"/>
      <c r="D352" s="1"/>
    </row>
    <row r="353" spans="3:4">
      <c r="C353" s="1"/>
      <c r="D353" s="1"/>
    </row>
    <row r="354" spans="3:4">
      <c r="C354" s="1"/>
      <c r="D354" s="1"/>
    </row>
    <row r="355" spans="3:4">
      <c r="C355" s="1"/>
      <c r="D355" s="1"/>
    </row>
    <row r="356" spans="3:4">
      <c r="C356" s="1"/>
      <c r="D356" s="1"/>
    </row>
    <row r="357" spans="3:4">
      <c r="C357" s="1"/>
      <c r="D357" s="1"/>
    </row>
    <row r="358" spans="3:4">
      <c r="C358" s="1"/>
      <c r="D358" s="1"/>
    </row>
    <row r="359" spans="3:4">
      <c r="C359" s="1"/>
      <c r="D359" s="1"/>
    </row>
    <row r="360" spans="3:4">
      <c r="C360" s="1"/>
      <c r="D360" s="1"/>
    </row>
    <row r="361" spans="3:4">
      <c r="C361" s="1"/>
      <c r="D361" s="1"/>
    </row>
    <row r="362" spans="3:4">
      <c r="C362" s="1"/>
      <c r="D362" s="1"/>
    </row>
    <row r="363" spans="3:4">
      <c r="C363" s="1"/>
      <c r="D363" s="1"/>
    </row>
    <row r="364" spans="3:4">
      <c r="C364" s="1"/>
      <c r="D364" s="1"/>
    </row>
    <row r="365" spans="3:4">
      <c r="C365" s="1"/>
      <c r="D365" s="1"/>
    </row>
    <row r="366" spans="3:4">
      <c r="C366" s="1"/>
      <c r="D366" s="1"/>
    </row>
    <row r="367" spans="3:4">
      <c r="C367" s="1"/>
      <c r="D367" s="1"/>
    </row>
    <row r="368" spans="3:4">
      <c r="C368" s="1"/>
      <c r="D368" s="1"/>
    </row>
    <row r="369" spans="3:4">
      <c r="C369" s="1"/>
      <c r="D369" s="1"/>
    </row>
    <row r="370" spans="3:4">
      <c r="C370" s="1"/>
      <c r="D370" s="1"/>
    </row>
    <row r="371" spans="3:4">
      <c r="C371" s="1"/>
      <c r="D371" s="1"/>
    </row>
    <row r="372" spans="3:4">
      <c r="C372" s="1"/>
      <c r="D372" s="1"/>
    </row>
    <row r="373" spans="3:4">
      <c r="C373" s="1"/>
      <c r="D373" s="1"/>
    </row>
    <row r="374" spans="3:4">
      <c r="C374" s="1"/>
      <c r="D374" s="1"/>
    </row>
    <row r="375" spans="3:4">
      <c r="C375" s="1"/>
      <c r="D375" s="1"/>
    </row>
    <row r="376" spans="3:4">
      <c r="C376" s="1"/>
      <c r="D376" s="1"/>
    </row>
    <row r="377" spans="3:4">
      <c r="C377" s="1"/>
      <c r="D377" s="1"/>
    </row>
    <row r="378" spans="3:4">
      <c r="C378" s="1"/>
      <c r="D378" s="1"/>
    </row>
    <row r="379" spans="3:4">
      <c r="C379" s="1"/>
      <c r="D379" s="1"/>
    </row>
    <row r="380" spans="3:4">
      <c r="C380" s="1"/>
      <c r="D380" s="1"/>
    </row>
    <row r="381" spans="3:4">
      <c r="C381" s="1"/>
      <c r="D381" s="1"/>
    </row>
    <row r="382" spans="3:4">
      <c r="C382" s="1"/>
      <c r="D382" s="1"/>
    </row>
    <row r="383" spans="3:4">
      <c r="C383" s="1"/>
      <c r="D383" s="1"/>
    </row>
    <row r="384" spans="3:4">
      <c r="C384" s="1"/>
      <c r="D384" s="1"/>
    </row>
    <row r="385" spans="3:4">
      <c r="C385" s="1"/>
      <c r="D385" s="1"/>
    </row>
    <row r="386" spans="3:4">
      <c r="C386" s="1"/>
      <c r="D386" s="1"/>
    </row>
    <row r="387" spans="3:4">
      <c r="C387" s="1"/>
      <c r="D387" s="1"/>
    </row>
    <row r="388" spans="3:4">
      <c r="C388" s="1"/>
      <c r="D388" s="1"/>
    </row>
    <row r="389" spans="3:4">
      <c r="C389" s="1"/>
      <c r="D389" s="1"/>
    </row>
    <row r="390" spans="3:4">
      <c r="C390" s="1"/>
      <c r="D390" s="1"/>
    </row>
    <row r="391" spans="3:4">
      <c r="C391" s="1"/>
      <c r="D391" s="1"/>
    </row>
    <row r="392" spans="3:4">
      <c r="C392" s="1"/>
      <c r="D392" s="1"/>
    </row>
    <row r="393" spans="3:4">
      <c r="C393" s="1"/>
      <c r="D393" s="1"/>
    </row>
    <row r="394" spans="3:4">
      <c r="C394" s="1"/>
      <c r="D394" s="1"/>
    </row>
    <row r="395" spans="3:4">
      <c r="C395" s="1"/>
      <c r="D395" s="1"/>
    </row>
    <row r="396" spans="3:4">
      <c r="C396" s="1"/>
      <c r="D396" s="1"/>
    </row>
    <row r="397" spans="3:4">
      <c r="C397" s="1"/>
      <c r="D397" s="1"/>
    </row>
    <row r="398" spans="3:4">
      <c r="C398" s="1"/>
      <c r="D398" s="1"/>
    </row>
    <row r="399" spans="3:4">
      <c r="C399" s="1"/>
      <c r="D399" s="1"/>
    </row>
    <row r="400" spans="3:4">
      <c r="C400" s="1"/>
      <c r="D400" s="1"/>
    </row>
    <row r="401" spans="3:4">
      <c r="C401" s="1"/>
      <c r="D401" s="1"/>
    </row>
    <row r="402" spans="3:4">
      <c r="C402" s="1"/>
      <c r="D402" s="1"/>
    </row>
    <row r="403" spans="3:4">
      <c r="C403" s="1"/>
      <c r="D403" s="1"/>
    </row>
    <row r="404" spans="3:4">
      <c r="C404" s="1"/>
      <c r="D404" s="1"/>
    </row>
    <row r="405" spans="3:4">
      <c r="C405" s="1"/>
      <c r="D405" s="1"/>
    </row>
    <row r="406" spans="3:4">
      <c r="C406" s="1"/>
      <c r="D406" s="1"/>
    </row>
    <row r="407" spans="3:4">
      <c r="C407" s="1"/>
      <c r="D407" s="1"/>
    </row>
    <row r="408" spans="3:4">
      <c r="C408" s="1"/>
      <c r="D408" s="1"/>
    </row>
    <row r="409" spans="3:4">
      <c r="C409" s="1"/>
      <c r="D409" s="1"/>
    </row>
    <row r="410" spans="3:4">
      <c r="C410" s="1"/>
      <c r="D410" s="1"/>
    </row>
    <row r="411" spans="3:4">
      <c r="C411" s="1"/>
      <c r="D411" s="1"/>
    </row>
    <row r="412" spans="3:4">
      <c r="C412" s="1"/>
      <c r="D412" s="1"/>
    </row>
    <row r="413" spans="3:4">
      <c r="C413" s="1"/>
      <c r="D413" s="1"/>
    </row>
    <row r="414" spans="3:4">
      <c r="C414" s="1"/>
      <c r="D414" s="1"/>
    </row>
    <row r="415" spans="3:4">
      <c r="C415" s="1"/>
      <c r="D415" s="1"/>
    </row>
    <row r="416" spans="3:4">
      <c r="C416" s="1"/>
      <c r="D416" s="1"/>
    </row>
    <row r="417" spans="3:4">
      <c r="C417" s="1"/>
      <c r="D417" s="1"/>
    </row>
    <row r="418" spans="3:4">
      <c r="C418" s="1"/>
      <c r="D418" s="1"/>
    </row>
    <row r="419" spans="3:4">
      <c r="C419" s="1"/>
      <c r="D419" s="1"/>
    </row>
    <row r="420" spans="3:4">
      <c r="C420" s="1"/>
      <c r="D420" s="1"/>
    </row>
    <row r="421" spans="3:4">
      <c r="C421" s="1"/>
      <c r="D421" s="1"/>
    </row>
    <row r="422" spans="3:4">
      <c r="C422" s="1"/>
      <c r="D422" s="1"/>
    </row>
    <row r="423" spans="3:4">
      <c r="C423" s="1"/>
      <c r="D423" s="1"/>
    </row>
    <row r="424" spans="3:4">
      <c r="C424" s="1"/>
      <c r="D424" s="1"/>
    </row>
    <row r="425" spans="3:4">
      <c r="C425" s="1"/>
      <c r="D425" s="1"/>
    </row>
    <row r="426" spans="3:4">
      <c r="C426" s="1"/>
      <c r="D426" s="1"/>
    </row>
    <row r="427" spans="3:4">
      <c r="C427" s="1"/>
      <c r="D427" s="1"/>
    </row>
    <row r="428" spans="3:4">
      <c r="C428" s="1"/>
      <c r="D428" s="1"/>
    </row>
    <row r="429" spans="3:4">
      <c r="C429" s="1"/>
      <c r="D429" s="1"/>
    </row>
    <row r="430" spans="3:4">
      <c r="C430" s="1"/>
      <c r="D430" s="1"/>
    </row>
    <row r="431" spans="3:4">
      <c r="C431" s="1"/>
      <c r="D431" s="1"/>
    </row>
    <row r="432" spans="3:4">
      <c r="C432" s="1"/>
      <c r="D432" s="1"/>
    </row>
    <row r="433" spans="3:4">
      <c r="C433" s="1"/>
      <c r="D433" s="1"/>
    </row>
    <row r="434" spans="3:4">
      <c r="C434" s="1"/>
      <c r="D434" s="1"/>
    </row>
    <row r="435" spans="3:4">
      <c r="C435" s="1"/>
      <c r="D435" s="1"/>
    </row>
    <row r="436" spans="3:4">
      <c r="C436" s="1"/>
      <c r="D436" s="1"/>
    </row>
    <row r="437" spans="3:4">
      <c r="C437" s="1"/>
      <c r="D437" s="1"/>
    </row>
    <row r="438" spans="3:4">
      <c r="C438" s="1"/>
      <c r="D438" s="1"/>
    </row>
    <row r="439" spans="3:4">
      <c r="C439" s="1"/>
      <c r="D439" s="1"/>
    </row>
    <row r="440" spans="3:4">
      <c r="C440" s="1"/>
      <c r="D440" s="1"/>
    </row>
    <row r="441" spans="3:4">
      <c r="C441" s="1"/>
      <c r="D441" s="1"/>
    </row>
    <row r="442" spans="3:4">
      <c r="C442" s="1"/>
      <c r="D442" s="1"/>
    </row>
    <row r="443" spans="3:4">
      <c r="C443" s="1"/>
      <c r="D443" s="1"/>
    </row>
    <row r="444" spans="3:4">
      <c r="C444" s="1"/>
      <c r="D444" s="1"/>
    </row>
    <row r="445" spans="3:4">
      <c r="C445" s="1"/>
      <c r="D445" s="1"/>
    </row>
    <row r="446" spans="3:4">
      <c r="C446" s="1"/>
      <c r="D446" s="1"/>
    </row>
    <row r="447" spans="3:4">
      <c r="C447" s="1"/>
      <c r="D447" s="1"/>
    </row>
    <row r="448" spans="3:4">
      <c r="C448" s="1"/>
      <c r="D448" s="1"/>
    </row>
    <row r="449" spans="3:4">
      <c r="C449" s="1"/>
      <c r="D449" s="1"/>
    </row>
    <row r="450" spans="3:4">
      <c r="C450" s="1"/>
      <c r="D450" s="1"/>
    </row>
    <row r="451" spans="3:4">
      <c r="C451" s="1"/>
      <c r="D451" s="1"/>
    </row>
    <row r="452" spans="3:4">
      <c r="C452" s="1"/>
      <c r="D452" s="1"/>
    </row>
    <row r="453" spans="3:4">
      <c r="C453" s="1"/>
      <c r="D453" s="1"/>
    </row>
    <row r="454" spans="3:4">
      <c r="C454" s="1"/>
      <c r="D454" s="1"/>
    </row>
    <row r="455" spans="3:4">
      <c r="C455" s="1"/>
      <c r="D455" s="1"/>
    </row>
    <row r="456" spans="3:4">
      <c r="C456" s="1"/>
      <c r="D456" s="1"/>
    </row>
    <row r="457" spans="3:4">
      <c r="C457" s="1"/>
      <c r="D457" s="1"/>
    </row>
    <row r="458" spans="3:4">
      <c r="C458" s="1"/>
      <c r="D458" s="1"/>
    </row>
    <row r="459" spans="3:4">
      <c r="C459" s="1"/>
      <c r="D459" s="1"/>
    </row>
    <row r="460" spans="3:4">
      <c r="C460" s="1"/>
      <c r="D460" s="1"/>
    </row>
    <row r="461" spans="3:4">
      <c r="C461" s="1"/>
      <c r="D461" s="1"/>
    </row>
    <row r="462" spans="3:4">
      <c r="C462" s="1"/>
      <c r="D462" s="1"/>
    </row>
    <row r="463" spans="3:4">
      <c r="C463" s="1"/>
      <c r="D463" s="1"/>
    </row>
    <row r="464" spans="3:4">
      <c r="C464" s="1"/>
      <c r="D464" s="1"/>
    </row>
    <row r="465" spans="3:4">
      <c r="C465" s="1"/>
      <c r="D465" s="1"/>
    </row>
    <row r="466" spans="3:4">
      <c r="C466" s="1"/>
      <c r="D466" s="1"/>
    </row>
    <row r="467" spans="3:4">
      <c r="C467" s="1"/>
      <c r="D467" s="1"/>
    </row>
    <row r="468" spans="3:4">
      <c r="C468" s="1"/>
      <c r="D468" s="1"/>
    </row>
    <row r="469" spans="3:4">
      <c r="C469" s="1"/>
      <c r="D469" s="1"/>
    </row>
    <row r="470" spans="3:4">
      <c r="C470" s="1"/>
      <c r="D470" s="1"/>
    </row>
    <row r="471" spans="3:4">
      <c r="C471" s="1"/>
      <c r="D471" s="1"/>
    </row>
    <row r="472" spans="3:4">
      <c r="C472" s="1"/>
      <c r="D472" s="1"/>
    </row>
    <row r="473" spans="3:4">
      <c r="C473" s="1"/>
      <c r="D473" s="1"/>
    </row>
    <row r="474" spans="3:4">
      <c r="C474" s="1"/>
      <c r="D474" s="1"/>
    </row>
    <row r="475" spans="3:4">
      <c r="C475" s="1"/>
      <c r="D475" s="1"/>
    </row>
    <row r="476" spans="3:4">
      <c r="C476" s="1"/>
      <c r="D476" s="1"/>
    </row>
    <row r="477" spans="3:4">
      <c r="C477" s="1"/>
      <c r="D477" s="1"/>
    </row>
    <row r="478" spans="3:4">
      <c r="C478" s="1"/>
      <c r="D478" s="1"/>
    </row>
    <row r="479" spans="3:4">
      <c r="C479" s="1"/>
      <c r="D479" s="1"/>
    </row>
    <row r="480" spans="3:4">
      <c r="C480" s="1"/>
      <c r="D480" s="1"/>
    </row>
    <row r="481" spans="3:4">
      <c r="C481" s="1"/>
      <c r="D481" s="1"/>
    </row>
    <row r="482" spans="3:4">
      <c r="C482" s="1"/>
      <c r="D482" s="1"/>
    </row>
    <row r="483" spans="3:4">
      <c r="C483" s="1"/>
      <c r="D483" s="1"/>
    </row>
    <row r="484" spans="3:4">
      <c r="C484" s="1"/>
      <c r="D484" s="1"/>
    </row>
    <row r="485" spans="3:4">
      <c r="C485" s="1"/>
      <c r="D485" s="1"/>
    </row>
    <row r="486" spans="3:4">
      <c r="C486" s="1"/>
      <c r="D486" s="1"/>
    </row>
    <row r="487" spans="3:4">
      <c r="C487" s="1"/>
      <c r="D487" s="1"/>
    </row>
    <row r="488" spans="3:4">
      <c r="C488" s="1"/>
      <c r="D488" s="1"/>
    </row>
    <row r="489" spans="3:4">
      <c r="C489" s="1"/>
      <c r="D489" s="1"/>
    </row>
    <row r="490" spans="3:4">
      <c r="C490" s="1"/>
      <c r="D490" s="1"/>
    </row>
    <row r="491" spans="3:4">
      <c r="C491" s="1"/>
      <c r="D491" s="1"/>
    </row>
    <row r="492" spans="3:4">
      <c r="C492" s="1"/>
      <c r="D492" s="1"/>
    </row>
    <row r="493" spans="3:4">
      <c r="C493" s="1"/>
      <c r="D493" s="1"/>
    </row>
    <row r="494" spans="3:4">
      <c r="C494" s="1"/>
      <c r="D494" s="1"/>
    </row>
    <row r="495" spans="3:4">
      <c r="C495" s="1"/>
      <c r="D495" s="1"/>
    </row>
    <row r="496" spans="3:4">
      <c r="C496" s="1"/>
      <c r="D496" s="1"/>
    </row>
    <row r="497" spans="3:4">
      <c r="C497" s="1"/>
      <c r="D497" s="1"/>
    </row>
    <row r="498" spans="3:4">
      <c r="C498" s="1"/>
      <c r="D498" s="1"/>
    </row>
    <row r="499" spans="3:4">
      <c r="C499" s="1"/>
      <c r="D499" s="1"/>
    </row>
    <row r="500" spans="3:4">
      <c r="C500" s="1"/>
      <c r="D500" s="1"/>
    </row>
    <row r="501" spans="3:4">
      <c r="C501" s="1"/>
      <c r="D501" s="1"/>
    </row>
    <row r="502" spans="3:4">
      <c r="C502" s="1"/>
      <c r="D502" s="1"/>
    </row>
    <row r="503" spans="3:4">
      <c r="C503" s="1"/>
      <c r="D503" s="1"/>
    </row>
    <row r="504" spans="3:4">
      <c r="C504" s="1"/>
      <c r="D504" s="1"/>
    </row>
    <row r="505" spans="3:4">
      <c r="C505" s="1"/>
      <c r="D505" s="1"/>
    </row>
    <row r="506" spans="3:4">
      <c r="C506" s="1"/>
      <c r="D506" s="1"/>
    </row>
    <row r="507" spans="3:4">
      <c r="C507" s="1"/>
      <c r="D507" s="1"/>
    </row>
    <row r="508" spans="3:4">
      <c r="C508" s="1"/>
      <c r="D508" s="1"/>
    </row>
    <row r="509" spans="3:4">
      <c r="C509" s="1"/>
      <c r="D509" s="1"/>
    </row>
    <row r="510" spans="3:4">
      <c r="C510" s="1"/>
      <c r="D510" s="1"/>
    </row>
    <row r="511" spans="3:4">
      <c r="C511" s="1"/>
      <c r="D511" s="1"/>
    </row>
    <row r="512" spans="3:4">
      <c r="C512" s="1"/>
      <c r="D512" s="1"/>
    </row>
    <row r="513" spans="3:4">
      <c r="C513" s="1"/>
      <c r="D513" s="1"/>
    </row>
    <row r="514" spans="3:4">
      <c r="C514" s="1"/>
      <c r="D514" s="1"/>
    </row>
    <row r="515" spans="3:4">
      <c r="C515" s="1"/>
      <c r="D515" s="1"/>
    </row>
    <row r="516" spans="3:4">
      <c r="C516" s="1"/>
      <c r="D516" s="1"/>
    </row>
    <row r="517" spans="3:4">
      <c r="C517" s="1"/>
      <c r="D517" s="1"/>
    </row>
    <row r="518" spans="3:4">
      <c r="C518" s="1"/>
      <c r="D518" s="1"/>
    </row>
    <row r="519" spans="3:4">
      <c r="C519" s="1"/>
      <c r="D519" s="1"/>
    </row>
    <row r="520" spans="3:4">
      <c r="C520" s="1"/>
      <c r="D520" s="1"/>
    </row>
    <row r="521" spans="3:4">
      <c r="C521" s="1"/>
      <c r="D521" s="1"/>
    </row>
    <row r="522" spans="3:4">
      <c r="C522" s="1"/>
      <c r="D522" s="1"/>
    </row>
    <row r="523" spans="3:4">
      <c r="C523" s="1"/>
      <c r="D523" s="1"/>
    </row>
    <row r="524" spans="3:4">
      <c r="C524" s="1"/>
      <c r="D524" s="1"/>
    </row>
    <row r="525" spans="3:4">
      <c r="C525" s="1"/>
      <c r="D525" s="1"/>
    </row>
    <row r="526" spans="3:4">
      <c r="C526" s="1"/>
      <c r="D526" s="1"/>
    </row>
    <row r="527" spans="3:4">
      <c r="C527" s="1"/>
      <c r="D527" s="1"/>
    </row>
    <row r="528" spans="3:4">
      <c r="C528" s="1"/>
      <c r="D528" s="1"/>
    </row>
    <row r="529" spans="3:4">
      <c r="C529" s="1"/>
      <c r="D529" s="1"/>
    </row>
    <row r="530" spans="3:4">
      <c r="C530" s="1"/>
      <c r="D530" s="1"/>
    </row>
    <row r="531" spans="3:4">
      <c r="C531" s="1"/>
      <c r="D531" s="1"/>
    </row>
    <row r="532" spans="3:4">
      <c r="C532" s="1"/>
      <c r="D532" s="1"/>
    </row>
    <row r="533" spans="3:4">
      <c r="C533" s="1"/>
      <c r="D533" s="1"/>
    </row>
    <row r="534" spans="3:4">
      <c r="C534" s="1"/>
      <c r="D534" s="1"/>
    </row>
    <row r="535" spans="3:4">
      <c r="C535" s="1"/>
      <c r="D535" s="1"/>
    </row>
    <row r="536" spans="3:4">
      <c r="C536" s="1"/>
      <c r="D536" s="1"/>
    </row>
    <row r="537" spans="3:4">
      <c r="C537" s="1"/>
      <c r="D537" s="1"/>
    </row>
    <row r="538" spans="3:4">
      <c r="C538" s="1"/>
      <c r="D538" s="1"/>
    </row>
    <row r="539" spans="3:4">
      <c r="C539" s="1"/>
      <c r="D539" s="1"/>
    </row>
    <row r="540" spans="3:4">
      <c r="C540" s="1"/>
      <c r="D540" s="1"/>
    </row>
    <row r="541" spans="3:4">
      <c r="C541" s="1"/>
      <c r="D541" s="1"/>
    </row>
    <row r="542" spans="3:4">
      <c r="C542" s="1"/>
      <c r="D542" s="1"/>
    </row>
    <row r="543" spans="3:4">
      <c r="C543" s="1"/>
      <c r="D543" s="1"/>
    </row>
    <row r="544" spans="3:4">
      <c r="C544" s="1"/>
      <c r="D544" s="1"/>
    </row>
    <row r="545" spans="3:4">
      <c r="C545" s="1"/>
      <c r="D545" s="1"/>
    </row>
    <row r="546" spans="3:4">
      <c r="C546" s="1"/>
      <c r="D546" s="1"/>
    </row>
    <row r="547" spans="3:4">
      <c r="C547" s="1"/>
      <c r="D547" s="1"/>
    </row>
    <row r="548" spans="3:4">
      <c r="C548" s="1"/>
      <c r="D548" s="1"/>
    </row>
    <row r="549" spans="3:4">
      <c r="C549" s="1"/>
      <c r="D549" s="1"/>
    </row>
    <row r="550" spans="3:4">
      <c r="C550" s="1"/>
      <c r="D550" s="1"/>
    </row>
    <row r="551" spans="3:4">
      <c r="C551" s="1"/>
      <c r="D551" s="1"/>
    </row>
    <row r="552" spans="3:4">
      <c r="C552" s="1"/>
      <c r="D552" s="1"/>
    </row>
    <row r="553" spans="3:4">
      <c r="C553" s="1"/>
      <c r="D553" s="1"/>
    </row>
    <row r="554" spans="3:4">
      <c r="C554" s="1"/>
      <c r="D554" s="1"/>
    </row>
    <row r="555" spans="3:4">
      <c r="C555" s="1"/>
      <c r="D555" s="1"/>
    </row>
    <row r="556" spans="3:4">
      <c r="C556" s="1"/>
      <c r="D556" s="1"/>
    </row>
    <row r="557" spans="3:4">
      <c r="C557" s="1"/>
      <c r="D557" s="1"/>
    </row>
    <row r="558" spans="3:4">
      <c r="C558" s="1"/>
      <c r="D558" s="1"/>
    </row>
    <row r="559" spans="3:4">
      <c r="C559" s="1"/>
      <c r="D559" s="1"/>
    </row>
    <row r="560" spans="3:4">
      <c r="C560" s="1"/>
      <c r="D560" s="1"/>
    </row>
    <row r="561" spans="3:4">
      <c r="C561" s="1"/>
      <c r="D561" s="1"/>
    </row>
    <row r="562" spans="3:4">
      <c r="C562" s="1"/>
      <c r="D562" s="1"/>
    </row>
    <row r="563" spans="3:4">
      <c r="C563" s="1"/>
      <c r="D563" s="1"/>
    </row>
    <row r="564" spans="3:4">
      <c r="C564" s="1"/>
      <c r="D564" s="1"/>
    </row>
    <row r="565" spans="3:4">
      <c r="C565" s="1"/>
      <c r="D565" s="1"/>
    </row>
    <row r="566" spans="3:4">
      <c r="C566" s="1"/>
      <c r="D566" s="1"/>
    </row>
    <row r="567" spans="3:4">
      <c r="C567" s="1"/>
      <c r="D567" s="1"/>
    </row>
    <row r="568" spans="3:4">
      <c r="C568" s="1"/>
      <c r="D568" s="1"/>
    </row>
    <row r="569" spans="3:4">
      <c r="C569" s="1"/>
      <c r="D569" s="1"/>
    </row>
    <row r="570" spans="3:4">
      <c r="C570" s="1"/>
      <c r="D570" s="1"/>
    </row>
    <row r="571" spans="3:4">
      <c r="C571" s="1"/>
      <c r="D571" s="1"/>
    </row>
    <row r="572" spans="3:4">
      <c r="C572" s="1"/>
      <c r="D572" s="1"/>
    </row>
    <row r="573" spans="3:4">
      <c r="C573" s="1"/>
      <c r="D573" s="1"/>
    </row>
    <row r="574" spans="3:4">
      <c r="C574" s="1"/>
      <c r="D574" s="1"/>
    </row>
    <row r="575" spans="3:4">
      <c r="C575" s="1"/>
      <c r="D575" s="1"/>
    </row>
    <row r="576" spans="3:4">
      <c r="C576" s="1"/>
      <c r="D576" s="1"/>
    </row>
    <row r="577" spans="3:4">
      <c r="C577" s="1"/>
      <c r="D577" s="1"/>
    </row>
    <row r="578" spans="3:4">
      <c r="C578" s="1"/>
      <c r="D578" s="1"/>
    </row>
    <row r="579" spans="3:4">
      <c r="C579" s="1"/>
      <c r="D579" s="1"/>
    </row>
    <row r="580" spans="3:4">
      <c r="C580" s="1"/>
      <c r="D580" s="1"/>
    </row>
    <row r="581" spans="3:4">
      <c r="C581" s="1"/>
      <c r="D581" s="1"/>
    </row>
    <row r="582" spans="3:4">
      <c r="C582" s="1"/>
      <c r="D582" s="1"/>
    </row>
    <row r="583" spans="3:4">
      <c r="C583" s="1"/>
      <c r="D583" s="1"/>
    </row>
    <row r="584" spans="3:4">
      <c r="C584" s="1"/>
      <c r="D584" s="1"/>
    </row>
    <row r="585" spans="3:4">
      <c r="C585" s="1"/>
      <c r="D585" s="1"/>
    </row>
    <row r="586" spans="3:4">
      <c r="C586" s="1"/>
      <c r="D586" s="1"/>
    </row>
    <row r="587" spans="3:4">
      <c r="C587" s="1"/>
      <c r="D587" s="1"/>
    </row>
    <row r="588" spans="3:4">
      <c r="C588" s="1"/>
      <c r="D588" s="1"/>
    </row>
    <row r="589" spans="3:4">
      <c r="C589" s="1"/>
      <c r="D589" s="1"/>
    </row>
    <row r="590" spans="3:4">
      <c r="C590" s="1"/>
      <c r="D590" s="1"/>
    </row>
    <row r="591" spans="3:4">
      <c r="C591" s="1"/>
      <c r="D591" s="1"/>
    </row>
    <row r="592" spans="3:4">
      <c r="C592" s="1"/>
      <c r="D592" s="1"/>
    </row>
    <row r="593" spans="3:4">
      <c r="C593" s="1"/>
      <c r="D593" s="1"/>
    </row>
    <row r="594" spans="3:4">
      <c r="C594" s="1"/>
      <c r="D594" s="1"/>
    </row>
    <row r="595" spans="3:4">
      <c r="C595" s="1"/>
      <c r="D595" s="1"/>
    </row>
    <row r="596" spans="3:4">
      <c r="C596" s="1"/>
      <c r="D596" s="1"/>
    </row>
    <row r="597" spans="3:4">
      <c r="C597" s="1"/>
      <c r="D597" s="1"/>
    </row>
    <row r="598" spans="3:4">
      <c r="C598" s="1"/>
      <c r="D598" s="1"/>
    </row>
    <row r="599" spans="3:4">
      <c r="C599" s="1"/>
      <c r="D599" s="1"/>
    </row>
    <row r="600" spans="3:4">
      <c r="C600" s="1"/>
      <c r="D600" s="1"/>
    </row>
    <row r="601" spans="3:4">
      <c r="C601" s="1"/>
      <c r="D601" s="1"/>
    </row>
    <row r="602" spans="3:4">
      <c r="C602" s="1"/>
      <c r="D602" s="1"/>
    </row>
    <row r="603" spans="3:4">
      <c r="C603" s="1"/>
      <c r="D603" s="1"/>
    </row>
    <row r="604" spans="3:4">
      <c r="C604" s="1"/>
      <c r="D604" s="1"/>
    </row>
    <row r="605" spans="3:4">
      <c r="C605" s="1"/>
      <c r="D605" s="1"/>
    </row>
    <row r="606" spans="3:4">
      <c r="C606" s="1"/>
      <c r="D606" s="1"/>
    </row>
    <row r="607" spans="3:4">
      <c r="C607" s="1"/>
      <c r="D607" s="1"/>
    </row>
    <row r="608" spans="3:4">
      <c r="C608" s="1"/>
      <c r="D608" s="1"/>
    </row>
    <row r="609" spans="3:4">
      <c r="C609" s="1"/>
      <c r="D609" s="1"/>
    </row>
    <row r="610" spans="3:4">
      <c r="C610" s="1"/>
      <c r="D610" s="1"/>
    </row>
    <row r="611" spans="3:4">
      <c r="C611" s="1"/>
      <c r="D611" s="1"/>
    </row>
    <row r="612" spans="3:4">
      <c r="C612" s="1"/>
      <c r="D612" s="1"/>
    </row>
    <row r="613" spans="3:4">
      <c r="C613" s="1"/>
      <c r="D613" s="1"/>
    </row>
    <row r="614" spans="3:4">
      <c r="C614" s="1"/>
      <c r="D614" s="1"/>
    </row>
    <row r="615" spans="3:4">
      <c r="C615" s="1"/>
      <c r="D615" s="1"/>
    </row>
    <row r="616" spans="3:4">
      <c r="C616" s="1"/>
      <c r="D616" s="1"/>
    </row>
    <row r="617" spans="3:4">
      <c r="C617" s="1"/>
      <c r="D617" s="1"/>
    </row>
    <row r="618" spans="3:4">
      <c r="C618" s="1"/>
      <c r="D618" s="1"/>
    </row>
    <row r="619" spans="3:4">
      <c r="C619" s="1"/>
      <c r="D619" s="1"/>
    </row>
    <row r="620" spans="3:4">
      <c r="C620" s="1"/>
      <c r="D620" s="1"/>
    </row>
    <row r="621" spans="3:4">
      <c r="C621" s="1"/>
      <c r="D621" s="1"/>
    </row>
    <row r="622" spans="3:4">
      <c r="C622" s="1"/>
      <c r="D622" s="1"/>
    </row>
    <row r="623" spans="3:4">
      <c r="C623" s="1"/>
      <c r="D623" s="1"/>
    </row>
    <row r="624" spans="3:4">
      <c r="C624" s="1"/>
      <c r="D624" s="1"/>
    </row>
    <row r="625" spans="3:4">
      <c r="C625" s="1"/>
      <c r="D625" s="1"/>
    </row>
    <row r="626" spans="3:4">
      <c r="C626" s="1"/>
      <c r="D626" s="1"/>
    </row>
    <row r="627" spans="3:4">
      <c r="C627" s="1"/>
      <c r="D627" s="1"/>
    </row>
    <row r="628" spans="3:4">
      <c r="C628" s="1"/>
      <c r="D628" s="1"/>
    </row>
    <row r="629" spans="3:4">
      <c r="C629" s="1"/>
      <c r="D629" s="1"/>
    </row>
    <row r="630" spans="3:4">
      <c r="C630" s="1"/>
      <c r="D630" s="1"/>
    </row>
    <row r="631" spans="3:4">
      <c r="C631" s="1"/>
      <c r="D631" s="1"/>
    </row>
    <row r="632" spans="3:4">
      <c r="C632" s="1"/>
      <c r="D632" s="1"/>
    </row>
    <row r="633" spans="3:4">
      <c r="C633" s="1"/>
      <c r="D633" s="1"/>
    </row>
    <row r="634" spans="3:4">
      <c r="C634" s="1"/>
      <c r="D634" s="1"/>
    </row>
    <row r="635" spans="3:4">
      <c r="C635" s="1"/>
      <c r="D635" s="1"/>
    </row>
    <row r="636" spans="3:4">
      <c r="C636" s="1"/>
      <c r="D636" s="1"/>
    </row>
    <row r="637" spans="3:4">
      <c r="C637" s="1"/>
      <c r="D637" s="1"/>
    </row>
    <row r="638" spans="3:4">
      <c r="C638" s="1"/>
      <c r="D638" s="1"/>
    </row>
    <row r="639" spans="3:4">
      <c r="C639" s="1"/>
      <c r="D639" s="1"/>
    </row>
    <row r="640" spans="3:4">
      <c r="C640" s="1"/>
      <c r="D640" s="1"/>
    </row>
    <row r="641" spans="3:4">
      <c r="C641" s="1"/>
      <c r="D641" s="1"/>
    </row>
    <row r="642" spans="3:4">
      <c r="C642" s="1"/>
      <c r="D642" s="1"/>
    </row>
    <row r="643" spans="3:4">
      <c r="C643" s="1"/>
      <c r="D643" s="1"/>
    </row>
    <row r="644" spans="3:4">
      <c r="C644" s="1"/>
      <c r="D644" s="1"/>
    </row>
    <row r="645" spans="3:4">
      <c r="C645" s="1"/>
      <c r="D645" s="1"/>
    </row>
    <row r="646" spans="3:4">
      <c r="C646" s="1"/>
      <c r="D646" s="1"/>
    </row>
    <row r="647" spans="3:4">
      <c r="C647" s="1"/>
      <c r="D647" s="1"/>
    </row>
    <row r="648" spans="3:4">
      <c r="C648" s="1"/>
      <c r="D648" s="1"/>
    </row>
    <row r="649" spans="3:4">
      <c r="C649" s="1"/>
      <c r="D649" s="1"/>
    </row>
    <row r="650" spans="3:4">
      <c r="C650" s="1"/>
      <c r="D650" s="1"/>
    </row>
    <row r="651" spans="3:4">
      <c r="C651" s="1"/>
      <c r="D651" s="1"/>
    </row>
    <row r="652" spans="3:4">
      <c r="C652" s="1"/>
      <c r="D652" s="1"/>
    </row>
    <row r="653" spans="3:4">
      <c r="C653" s="1"/>
      <c r="D653" s="1"/>
    </row>
    <row r="654" spans="3:4">
      <c r="C654" s="1"/>
      <c r="D654" s="1"/>
    </row>
    <row r="655" spans="3:4">
      <c r="C655" s="1"/>
      <c r="D655" s="1"/>
    </row>
    <row r="656" spans="3:4">
      <c r="C656" s="1"/>
      <c r="D656" s="1"/>
    </row>
    <row r="657" spans="3:4">
      <c r="C657" s="1"/>
      <c r="D657" s="1"/>
    </row>
    <row r="658" spans="3:4">
      <c r="C658" s="1"/>
      <c r="D658" s="1"/>
    </row>
    <row r="659" spans="3:4">
      <c r="C659" s="1"/>
      <c r="D659" s="1"/>
    </row>
    <row r="660" spans="3:4">
      <c r="C660" s="1"/>
      <c r="D660" s="1"/>
    </row>
    <row r="661" spans="3:4">
      <c r="C661" s="1"/>
      <c r="D661" s="1"/>
    </row>
    <row r="662" spans="3:4">
      <c r="C662" s="1"/>
      <c r="D662" s="1"/>
    </row>
    <row r="663" spans="3:4">
      <c r="C663" s="1"/>
      <c r="D663" s="1"/>
    </row>
    <row r="664" spans="3:4">
      <c r="C664" s="1"/>
      <c r="D664" s="1"/>
    </row>
    <row r="665" spans="3:4">
      <c r="C665" s="1"/>
      <c r="D665" s="1"/>
    </row>
    <row r="666" spans="3:4">
      <c r="C666" s="1"/>
      <c r="D666" s="1"/>
    </row>
    <row r="667" spans="3:4">
      <c r="C667" s="1"/>
      <c r="D667" s="1"/>
    </row>
    <row r="668" spans="3:4">
      <c r="C668" s="1"/>
      <c r="D668" s="1"/>
    </row>
    <row r="669" spans="3:4">
      <c r="C669" s="1"/>
      <c r="D669" s="1"/>
    </row>
    <row r="670" spans="3:4">
      <c r="C670" s="1"/>
      <c r="D670" s="1"/>
    </row>
    <row r="671" spans="3:4">
      <c r="C671" s="1"/>
      <c r="D671" s="1"/>
    </row>
    <row r="672" spans="3:4">
      <c r="C672" s="1"/>
      <c r="D672" s="1"/>
    </row>
    <row r="673" spans="3:4">
      <c r="C673" s="1"/>
      <c r="D673" s="1"/>
    </row>
    <row r="674" spans="3:4">
      <c r="C674" s="1"/>
      <c r="D674" s="1"/>
    </row>
    <row r="675" spans="3:4">
      <c r="C675" s="1"/>
      <c r="D675" s="1"/>
    </row>
    <row r="676" spans="3:4">
      <c r="C676" s="1"/>
      <c r="D676" s="1"/>
    </row>
    <row r="677" spans="3:4">
      <c r="C677" s="1"/>
      <c r="D677" s="1"/>
    </row>
    <row r="678" spans="3:4">
      <c r="C678" s="1"/>
      <c r="D678" s="1"/>
    </row>
    <row r="679" spans="3:4">
      <c r="C679" s="1"/>
      <c r="D679" s="1"/>
    </row>
    <row r="680" spans="3:4">
      <c r="C680" s="1"/>
      <c r="D680" s="1"/>
    </row>
    <row r="681" spans="3:4">
      <c r="C681" s="1"/>
      <c r="D681" s="1"/>
    </row>
    <row r="682" spans="3:4">
      <c r="C682" s="1"/>
      <c r="D682" s="1"/>
    </row>
    <row r="683" spans="3:4">
      <c r="C683" s="1"/>
      <c r="D683" s="1"/>
    </row>
    <row r="684" spans="3:4">
      <c r="C684" s="1"/>
      <c r="D684" s="1"/>
    </row>
    <row r="685" spans="3:4">
      <c r="C685" s="1"/>
      <c r="D685" s="1"/>
    </row>
    <row r="686" spans="3:4">
      <c r="C686" s="1"/>
      <c r="D686" s="1"/>
    </row>
    <row r="687" spans="3:4">
      <c r="C687" s="1"/>
      <c r="D687" s="1"/>
    </row>
    <row r="688" spans="3:4">
      <c r="C688" s="1"/>
      <c r="D688" s="1"/>
    </row>
    <row r="689" spans="3:4">
      <c r="C689" s="1"/>
      <c r="D689" s="1"/>
    </row>
    <row r="690" spans="3:4">
      <c r="C690" s="1"/>
      <c r="D690" s="1"/>
    </row>
    <row r="691" spans="3:4">
      <c r="C691" s="1"/>
      <c r="D691" s="1"/>
    </row>
    <row r="692" spans="3:4">
      <c r="C692" s="1"/>
      <c r="D692" s="1"/>
    </row>
    <row r="693" spans="3:4">
      <c r="C693" s="1"/>
      <c r="D693" s="1"/>
    </row>
    <row r="694" spans="3:4">
      <c r="C694" s="1"/>
      <c r="D694" s="1"/>
    </row>
    <row r="695" spans="3:4">
      <c r="C695" s="1"/>
      <c r="D695" s="1"/>
    </row>
    <row r="696" spans="3:4">
      <c r="C696" s="1"/>
      <c r="D696" s="1"/>
    </row>
    <row r="697" spans="3:4">
      <c r="C697" s="1"/>
      <c r="D697" s="1"/>
    </row>
    <row r="698" spans="3:4">
      <c r="C698" s="1"/>
      <c r="D698" s="1"/>
    </row>
    <row r="699" spans="3:4">
      <c r="C699" s="1"/>
      <c r="D699" s="1"/>
    </row>
    <row r="700" spans="3:4">
      <c r="C700" s="1"/>
      <c r="D700" s="1"/>
    </row>
    <row r="701" spans="3:4">
      <c r="C701" s="1"/>
      <c r="D701" s="1"/>
    </row>
    <row r="702" spans="3:4">
      <c r="C702" s="1"/>
      <c r="D702" s="1"/>
    </row>
    <row r="703" spans="3:4">
      <c r="C703" s="1"/>
      <c r="D703" s="1"/>
    </row>
    <row r="704" spans="3:4">
      <c r="C704" s="1"/>
      <c r="D704" s="1"/>
    </row>
    <row r="705" spans="3:4">
      <c r="C705" s="1"/>
      <c r="D705" s="1"/>
    </row>
    <row r="706" spans="3:4">
      <c r="C706" s="1"/>
      <c r="D706" s="1"/>
    </row>
    <row r="707" spans="3:4">
      <c r="C707" s="1"/>
      <c r="D707" s="1"/>
    </row>
    <row r="708" spans="3:4">
      <c r="C708" s="1"/>
      <c r="D708" s="1"/>
    </row>
    <row r="709" spans="3:4">
      <c r="C709" s="1"/>
      <c r="D709" s="1"/>
    </row>
    <row r="710" spans="3:4">
      <c r="C710" s="1"/>
      <c r="D710" s="1"/>
    </row>
    <row r="711" spans="3:4">
      <c r="C711" s="1"/>
      <c r="D711" s="1"/>
    </row>
    <row r="712" spans="3:4">
      <c r="C712" s="1"/>
      <c r="D712" s="1"/>
    </row>
    <row r="713" spans="3:4">
      <c r="C713" s="1"/>
      <c r="D713" s="1"/>
    </row>
    <row r="714" spans="3:4">
      <c r="C714" s="1"/>
      <c r="D714" s="1"/>
    </row>
    <row r="715" spans="3:4">
      <c r="C715" s="1"/>
      <c r="D715" s="1"/>
    </row>
    <row r="716" spans="3:4">
      <c r="C716" s="1"/>
      <c r="D716" s="1"/>
    </row>
    <row r="717" spans="3:4">
      <c r="C717" s="1"/>
      <c r="D717" s="1"/>
    </row>
    <row r="718" spans="3:4">
      <c r="C718" s="1"/>
      <c r="D718" s="1"/>
    </row>
    <row r="719" spans="3:4">
      <c r="C719" s="1"/>
      <c r="D719" s="1"/>
    </row>
    <row r="720" spans="3:4">
      <c r="C720" s="1"/>
      <c r="D720" s="1"/>
    </row>
    <row r="721" spans="3:4">
      <c r="C721" s="1"/>
      <c r="D721" s="1"/>
    </row>
    <row r="722" spans="3:4">
      <c r="C722" s="1"/>
      <c r="D722" s="1"/>
    </row>
    <row r="723" spans="3:4">
      <c r="C723" s="1"/>
      <c r="D723" s="1"/>
    </row>
    <row r="724" spans="3:4">
      <c r="C724" s="1"/>
      <c r="D724" s="1"/>
    </row>
    <row r="725" spans="3:4">
      <c r="C725" s="1"/>
      <c r="D725" s="1"/>
    </row>
    <row r="726" spans="3:4">
      <c r="C726" s="1"/>
      <c r="D726" s="1"/>
    </row>
    <row r="727" spans="3:4">
      <c r="C727" s="1"/>
      <c r="D727" s="1"/>
    </row>
    <row r="728" spans="3:4">
      <c r="C728" s="1"/>
      <c r="D728" s="1"/>
    </row>
    <row r="729" spans="3:4">
      <c r="C729" s="1"/>
      <c r="D729" s="1"/>
    </row>
    <row r="730" spans="3:4">
      <c r="C730" s="1"/>
      <c r="D730" s="1"/>
    </row>
    <row r="731" spans="3:4">
      <c r="C731" s="1"/>
      <c r="D731" s="1"/>
    </row>
    <row r="732" spans="3:4">
      <c r="C732" s="1"/>
      <c r="D732" s="1"/>
    </row>
    <row r="733" spans="3:4">
      <c r="C733" s="1"/>
      <c r="D733" s="1"/>
    </row>
    <row r="734" spans="3:4">
      <c r="C734" s="1"/>
      <c r="D734" s="1"/>
    </row>
    <row r="735" spans="3:4">
      <c r="C735" s="1"/>
      <c r="D735" s="1"/>
    </row>
    <row r="736" spans="3:4">
      <c r="C736" s="1"/>
      <c r="D736" s="1"/>
    </row>
    <row r="737" spans="3:4">
      <c r="C737" s="1"/>
      <c r="D737" s="1"/>
    </row>
    <row r="738" spans="3:4">
      <c r="C738" s="1"/>
      <c r="D738" s="1"/>
    </row>
    <row r="739" spans="3:4">
      <c r="C739" s="1"/>
      <c r="D739" s="1"/>
    </row>
    <row r="740" spans="3:4">
      <c r="C740" s="1"/>
      <c r="D740" s="1"/>
    </row>
    <row r="741" spans="3:4">
      <c r="C741" s="1"/>
      <c r="D741" s="1"/>
    </row>
    <row r="742" spans="3:4">
      <c r="C742" s="1"/>
      <c r="D742" s="1"/>
    </row>
    <row r="743" spans="3:4">
      <c r="C743" s="1"/>
      <c r="D743" s="1"/>
    </row>
    <row r="744" spans="3:4">
      <c r="C744" s="1"/>
      <c r="D744" s="1"/>
    </row>
    <row r="745" spans="3:4">
      <c r="C745" s="1"/>
      <c r="D745" s="1"/>
    </row>
    <row r="746" spans="3:4">
      <c r="C746" s="1"/>
      <c r="D746" s="1"/>
    </row>
    <row r="747" spans="3:4">
      <c r="C747" s="1"/>
      <c r="D747" s="1"/>
    </row>
    <row r="748" spans="3:4">
      <c r="C748" s="1"/>
      <c r="D748" s="1"/>
    </row>
    <row r="749" spans="3:4">
      <c r="C749" s="1"/>
      <c r="D749" s="1"/>
    </row>
    <row r="750" spans="3:4">
      <c r="C750" s="1"/>
      <c r="D750" s="1"/>
    </row>
    <row r="751" spans="3:4">
      <c r="C751" s="1"/>
      <c r="D751" s="1"/>
    </row>
    <row r="752" spans="3:4">
      <c r="C752" s="1"/>
      <c r="D752" s="1"/>
    </row>
    <row r="753" spans="3:4">
      <c r="C753" s="1"/>
      <c r="D753" s="1"/>
    </row>
    <row r="754" spans="3:4">
      <c r="C754" s="1"/>
      <c r="D754" s="1"/>
    </row>
    <row r="755" spans="3:4">
      <c r="C755" s="1"/>
      <c r="D755" s="1"/>
    </row>
    <row r="756" spans="3:4">
      <c r="C756" s="1"/>
      <c r="D756" s="1"/>
    </row>
    <row r="757" spans="3:4">
      <c r="C757" s="1"/>
      <c r="D757" s="1"/>
    </row>
    <row r="758" spans="3:4">
      <c r="C758" s="1"/>
      <c r="D758" s="1"/>
    </row>
    <row r="759" spans="3:4">
      <c r="C759" s="1"/>
      <c r="D759" s="1"/>
    </row>
    <row r="760" spans="3:4">
      <c r="C760" s="1"/>
      <c r="D760" s="1"/>
    </row>
    <row r="761" spans="3:4">
      <c r="C761" s="1"/>
      <c r="D761" s="1"/>
    </row>
    <row r="762" spans="3:4">
      <c r="C762" s="1"/>
      <c r="D762" s="1"/>
    </row>
    <row r="763" spans="3:4">
      <c r="C763" s="1"/>
      <c r="D763" s="1"/>
    </row>
    <row r="764" spans="3:4">
      <c r="C764" s="1"/>
      <c r="D764" s="1"/>
    </row>
    <row r="765" spans="3:4">
      <c r="C765" s="1"/>
      <c r="D765" s="1"/>
    </row>
    <row r="766" spans="3:4">
      <c r="C766" s="1"/>
      <c r="D766" s="1"/>
    </row>
    <row r="767" spans="3:4">
      <c r="C767" s="1"/>
      <c r="D767" s="1"/>
    </row>
    <row r="768" spans="3:4">
      <c r="C768" s="1"/>
      <c r="D768" s="1"/>
    </row>
    <row r="769" spans="3:4">
      <c r="C769" s="1"/>
      <c r="D769" s="1"/>
    </row>
    <row r="770" spans="3:4">
      <c r="C770" s="1"/>
      <c r="D770" s="1"/>
    </row>
    <row r="771" spans="3:4">
      <c r="C771" s="1"/>
      <c r="D771" s="1"/>
    </row>
    <row r="772" spans="3:4">
      <c r="C772" s="1"/>
      <c r="D772" s="1"/>
    </row>
    <row r="773" spans="3:4">
      <c r="C773" s="1"/>
      <c r="D773" s="1"/>
    </row>
    <row r="774" spans="3:4">
      <c r="C774" s="1"/>
      <c r="D774" s="1"/>
    </row>
    <row r="775" spans="3:4">
      <c r="C775" s="1"/>
      <c r="D775" s="1"/>
    </row>
    <row r="776" spans="3:4">
      <c r="C776" s="1"/>
      <c r="D776" s="1"/>
    </row>
    <row r="777" spans="3:4">
      <c r="C777" s="1"/>
      <c r="D777" s="1"/>
    </row>
    <row r="778" spans="3:4">
      <c r="C778" s="1"/>
      <c r="D778" s="1"/>
    </row>
    <row r="779" spans="3:4">
      <c r="C779" s="1"/>
      <c r="D779" s="1"/>
    </row>
    <row r="780" spans="3:4">
      <c r="C780" s="1"/>
      <c r="D780" s="1"/>
    </row>
    <row r="781" spans="3:4">
      <c r="C781" s="1"/>
      <c r="D781" s="1"/>
    </row>
    <row r="782" spans="3:4">
      <c r="C782" s="1"/>
      <c r="D782" s="1"/>
    </row>
    <row r="783" spans="3:4">
      <c r="C783" s="1"/>
      <c r="D783" s="1"/>
    </row>
    <row r="784" spans="3:4">
      <c r="C784" s="1"/>
      <c r="D784" s="1"/>
    </row>
    <row r="785" spans="3:4">
      <c r="C785" s="1"/>
      <c r="D785" s="1"/>
    </row>
    <row r="786" spans="3:4">
      <c r="C786" s="1"/>
      <c r="D786" s="1"/>
    </row>
    <row r="787" spans="3:4">
      <c r="C787" s="1"/>
      <c r="D787" s="1"/>
    </row>
    <row r="788" spans="3:4">
      <c r="C788" s="1"/>
      <c r="D788" s="1"/>
    </row>
    <row r="789" spans="3:4">
      <c r="C789" s="1"/>
      <c r="D789" s="1"/>
    </row>
    <row r="790" spans="3:4">
      <c r="C790" s="1"/>
      <c r="D790" s="1"/>
    </row>
    <row r="791" spans="3:4">
      <c r="C791" s="1"/>
      <c r="D791" s="1"/>
    </row>
    <row r="792" spans="3:4">
      <c r="C792" s="1"/>
      <c r="D792" s="1"/>
    </row>
    <row r="793" spans="3:4">
      <c r="C793" s="1"/>
      <c r="D793" s="1"/>
    </row>
    <row r="794" spans="3:4">
      <c r="C794" s="1"/>
      <c r="D794" s="1"/>
    </row>
    <row r="795" spans="3:4">
      <c r="C795" s="1"/>
      <c r="D795" s="1"/>
    </row>
    <row r="796" spans="3:4">
      <c r="C796" s="1"/>
      <c r="D796" s="1"/>
    </row>
    <row r="797" spans="3:4">
      <c r="C797" s="1"/>
      <c r="D797" s="1"/>
    </row>
    <row r="798" spans="3:4">
      <c r="C798" s="1"/>
      <c r="D798" s="1"/>
    </row>
    <row r="799" spans="3:4">
      <c r="C799" s="1"/>
      <c r="D799" s="1"/>
    </row>
    <row r="800" spans="3:4">
      <c r="C800" s="1"/>
      <c r="D800" s="1"/>
    </row>
    <row r="801" spans="3:4">
      <c r="C801" s="1"/>
      <c r="D801" s="1"/>
    </row>
    <row r="802" spans="3:4">
      <c r="C802" s="1"/>
      <c r="D802" s="1"/>
    </row>
    <row r="803" spans="3:4">
      <c r="C803" s="1"/>
      <c r="D803" s="1"/>
    </row>
    <row r="804" spans="3:4">
      <c r="C804" s="1"/>
      <c r="D804" s="1"/>
    </row>
    <row r="805" spans="3:4">
      <c r="C805" s="1"/>
      <c r="D805" s="1"/>
    </row>
    <row r="806" spans="3:4">
      <c r="C806" s="1"/>
      <c r="D806" s="1"/>
    </row>
    <row r="807" spans="3:4">
      <c r="C807" s="1"/>
      <c r="D807" s="1"/>
    </row>
    <row r="808" spans="3:4">
      <c r="C808" s="1"/>
      <c r="D808" s="1"/>
    </row>
    <row r="809" spans="3:4">
      <c r="C809" s="1"/>
      <c r="D809" s="1"/>
    </row>
    <row r="810" spans="3:4">
      <c r="C810" s="1"/>
      <c r="D810" s="1"/>
    </row>
    <row r="811" spans="3:4">
      <c r="C811" s="1"/>
      <c r="D811" s="1"/>
    </row>
    <row r="812" spans="3:4">
      <c r="C812" s="1"/>
      <c r="D812" s="1"/>
    </row>
    <row r="813" spans="3:4">
      <c r="C813" s="1"/>
      <c r="D813" s="1"/>
    </row>
    <row r="814" spans="3:4">
      <c r="C814" s="1"/>
      <c r="D814" s="1"/>
    </row>
    <row r="815" spans="3:4">
      <c r="C815" s="1"/>
      <c r="D815" s="1"/>
    </row>
    <row r="816" spans="3:4">
      <c r="C816" s="1"/>
      <c r="D816" s="1"/>
    </row>
    <row r="817" spans="3:4">
      <c r="C817" s="1"/>
      <c r="D817" s="1"/>
    </row>
    <row r="818" spans="3:4">
      <c r="C818" s="1"/>
      <c r="D818" s="1"/>
    </row>
    <row r="819" spans="3:4">
      <c r="C819" s="1"/>
      <c r="D819" s="1"/>
    </row>
    <row r="820" spans="3:4">
      <c r="C820" s="1"/>
      <c r="D820" s="1"/>
    </row>
    <row r="821" spans="3:4">
      <c r="C821" s="1"/>
      <c r="D821" s="1"/>
    </row>
    <row r="822" spans="3:4">
      <c r="C822" s="1"/>
      <c r="D822" s="1"/>
    </row>
    <row r="823" spans="3:4">
      <c r="C823" s="1"/>
      <c r="D823" s="1"/>
    </row>
    <row r="824" spans="3:4">
      <c r="C824" s="1"/>
      <c r="D824" s="1"/>
    </row>
    <row r="825" spans="3:4">
      <c r="C825" s="1"/>
      <c r="D825" s="1"/>
    </row>
    <row r="826" spans="3:4">
      <c r="C826" s="1"/>
      <c r="D826" s="1"/>
    </row>
    <row r="827" spans="3:4">
      <c r="C827" s="1"/>
      <c r="D827" s="1"/>
    </row>
    <row r="828" spans="3:4">
      <c r="C828" s="1"/>
      <c r="D828" s="1"/>
    </row>
    <row r="829" spans="3:4">
      <c r="C829" s="1"/>
      <c r="D829" s="1"/>
    </row>
    <row r="830" spans="3:4">
      <c r="C830" s="1"/>
      <c r="D830" s="1"/>
    </row>
    <row r="831" spans="3:4">
      <c r="C831" s="1"/>
      <c r="D831" s="1"/>
    </row>
    <row r="832" spans="3:4">
      <c r="C832" s="1"/>
      <c r="D832" s="1"/>
    </row>
    <row r="833" spans="3:4">
      <c r="C833" s="1"/>
      <c r="D833" s="1"/>
    </row>
    <row r="834" spans="3:4">
      <c r="C834" s="1"/>
      <c r="D834" s="1"/>
    </row>
    <row r="835" spans="3:4">
      <c r="C835" s="1"/>
      <c r="D835" s="1"/>
    </row>
    <row r="836" spans="3:4">
      <c r="C836" s="1"/>
      <c r="D836" s="1"/>
    </row>
    <row r="837" spans="3:4">
      <c r="C837" s="1"/>
      <c r="D837" s="1"/>
    </row>
    <row r="838" spans="3:4">
      <c r="C838" s="1"/>
      <c r="D838" s="1"/>
    </row>
    <row r="839" spans="3:4">
      <c r="C839" s="1"/>
      <c r="D839" s="1"/>
    </row>
    <row r="840" spans="3:4">
      <c r="C840" s="1"/>
      <c r="D840" s="1"/>
    </row>
    <row r="841" spans="3:4">
      <c r="C841" s="1"/>
      <c r="D841" s="1"/>
    </row>
    <row r="842" spans="3:4">
      <c r="C842" s="1"/>
      <c r="D842" s="1"/>
    </row>
    <row r="843" spans="3:4">
      <c r="C843" s="1"/>
      <c r="D843" s="1"/>
    </row>
    <row r="844" spans="3:4">
      <c r="C844" s="1"/>
      <c r="D844" s="1"/>
    </row>
    <row r="845" spans="3:4">
      <c r="C845" s="1"/>
      <c r="D845" s="1"/>
    </row>
    <row r="846" spans="3:4">
      <c r="C846" s="1"/>
      <c r="D846" s="1"/>
    </row>
    <row r="847" spans="3:4">
      <c r="C847" s="1"/>
      <c r="D847" s="1"/>
    </row>
    <row r="848" spans="3:4">
      <c r="C848" s="1"/>
      <c r="D848" s="1"/>
    </row>
    <row r="849" spans="3:4">
      <c r="C849" s="1"/>
      <c r="D849" s="1"/>
    </row>
    <row r="850" spans="3:4">
      <c r="C850" s="1"/>
      <c r="D850" s="1"/>
    </row>
    <row r="851" spans="3:4">
      <c r="C851" s="1"/>
      <c r="D851" s="1"/>
    </row>
    <row r="852" spans="3:4">
      <c r="C852" s="1"/>
      <c r="D852" s="1"/>
    </row>
    <row r="853" spans="3:4">
      <c r="C853" s="1"/>
      <c r="D853" s="1"/>
    </row>
    <row r="854" spans="3:4">
      <c r="C854" s="1"/>
      <c r="D854" s="1"/>
    </row>
    <row r="855" spans="3:4">
      <c r="C855" s="1"/>
      <c r="D855" s="1"/>
    </row>
    <row r="856" spans="3:4">
      <c r="C856" s="1"/>
      <c r="D856" s="1"/>
    </row>
    <row r="857" spans="3:4">
      <c r="C857" s="1"/>
      <c r="D857" s="1"/>
    </row>
    <row r="858" spans="3:4">
      <c r="C858" s="1"/>
      <c r="D858" s="1"/>
    </row>
    <row r="859" spans="3:4">
      <c r="C859" s="1"/>
      <c r="D859" s="1"/>
    </row>
    <row r="860" spans="3:4">
      <c r="C860" s="1"/>
      <c r="D860" s="1"/>
    </row>
    <row r="861" spans="3:4">
      <c r="C861" s="1"/>
      <c r="D861" s="1"/>
    </row>
    <row r="862" spans="3:4">
      <c r="C862" s="1"/>
      <c r="D862" s="1"/>
    </row>
    <row r="863" spans="3:4">
      <c r="C863" s="1"/>
      <c r="D863" s="1"/>
    </row>
    <row r="864" spans="3:4">
      <c r="C864" s="1"/>
      <c r="D864" s="1"/>
    </row>
    <row r="865" spans="3:4">
      <c r="C865" s="1"/>
      <c r="D865" s="1"/>
    </row>
    <row r="866" spans="3:4">
      <c r="C866" s="1"/>
      <c r="D866" s="1"/>
    </row>
    <row r="867" spans="3:4">
      <c r="C867" s="1"/>
      <c r="D867" s="1"/>
    </row>
    <row r="868" spans="3:4">
      <c r="C868" s="1"/>
      <c r="D868" s="1"/>
    </row>
    <row r="869" spans="3:4">
      <c r="C869" s="1"/>
      <c r="D869" s="1"/>
    </row>
    <row r="870" spans="3:4">
      <c r="C870" s="1"/>
      <c r="D870" s="1"/>
    </row>
    <row r="871" spans="3:4">
      <c r="C871" s="1"/>
      <c r="D871" s="1"/>
    </row>
    <row r="872" spans="3:4">
      <c r="C872" s="1"/>
      <c r="D872" s="1"/>
    </row>
    <row r="873" spans="3:4">
      <c r="C873" s="1"/>
      <c r="D873" s="1"/>
    </row>
    <row r="874" spans="3:4">
      <c r="C874" s="1"/>
      <c r="D874" s="1"/>
    </row>
    <row r="875" spans="3:4">
      <c r="C875" s="1"/>
      <c r="D875" s="1"/>
    </row>
    <row r="876" spans="3:4">
      <c r="C876" s="1"/>
      <c r="D876" s="1"/>
    </row>
    <row r="877" spans="3:4">
      <c r="C877" s="1"/>
      <c r="D877" s="1"/>
    </row>
    <row r="878" spans="3:4">
      <c r="C878" s="1"/>
      <c r="D878" s="1"/>
    </row>
    <row r="879" spans="3:4">
      <c r="C879" s="1"/>
      <c r="D879" s="1"/>
    </row>
    <row r="880" spans="3:4">
      <c r="C880" s="1"/>
      <c r="D880" s="1"/>
    </row>
    <row r="881" spans="3:4">
      <c r="C881" s="1"/>
      <c r="D881" s="1"/>
    </row>
    <row r="882" spans="3:4">
      <c r="C882" s="1"/>
      <c r="D882" s="1"/>
    </row>
    <row r="883" spans="3:4">
      <c r="C883" s="1"/>
      <c r="D883" s="1"/>
    </row>
    <row r="884" spans="3:4">
      <c r="C884" s="1"/>
      <c r="D884" s="1"/>
    </row>
    <row r="885" spans="3:4">
      <c r="C885" s="1"/>
      <c r="D885" s="1"/>
    </row>
    <row r="886" spans="3:4">
      <c r="C886" s="1"/>
      <c r="D886" s="1"/>
    </row>
    <row r="887" spans="3:4">
      <c r="C887" s="1"/>
      <c r="D887" s="1"/>
    </row>
    <row r="888" spans="3:4">
      <c r="C888" s="1"/>
      <c r="D888" s="1"/>
    </row>
    <row r="889" spans="3:4">
      <c r="C889" s="1"/>
      <c r="D889" s="1"/>
    </row>
    <row r="890" spans="3:4">
      <c r="C890" s="1"/>
      <c r="D890" s="1"/>
    </row>
    <row r="891" spans="3:4">
      <c r="C891" s="1"/>
      <c r="D891" s="1"/>
    </row>
    <row r="892" spans="3:4">
      <c r="C892" s="1"/>
      <c r="D892" s="1"/>
    </row>
    <row r="893" spans="3:4">
      <c r="C893" s="1"/>
      <c r="D893" s="1"/>
    </row>
    <row r="894" spans="3:4">
      <c r="C894" s="1"/>
      <c r="D894" s="1"/>
    </row>
    <row r="895" spans="3:4">
      <c r="C895" s="1"/>
      <c r="D895" s="1"/>
    </row>
    <row r="896" spans="3:4">
      <c r="C896" s="1"/>
      <c r="D896" s="1"/>
    </row>
    <row r="897" spans="3:4">
      <c r="C897" s="1"/>
      <c r="D897" s="1"/>
    </row>
    <row r="898" spans="3:4">
      <c r="C898" s="1"/>
      <c r="D898" s="1"/>
    </row>
    <row r="899" spans="3:4">
      <c r="C899" s="1"/>
      <c r="D899" s="1"/>
    </row>
    <row r="900" spans="3:4">
      <c r="C900" s="1"/>
      <c r="D900" s="1"/>
    </row>
    <row r="901" spans="3:4">
      <c r="C901" s="1"/>
      <c r="D901" s="1"/>
    </row>
    <row r="902" spans="3:4">
      <c r="C902" s="1"/>
      <c r="D902" s="1"/>
    </row>
    <row r="903" spans="3:4">
      <c r="C903" s="1"/>
      <c r="D903" s="1"/>
    </row>
    <row r="904" spans="3:4">
      <c r="C904" s="1"/>
      <c r="D904" s="1"/>
    </row>
    <row r="905" spans="3:4">
      <c r="C905" s="1"/>
      <c r="D905" s="1"/>
    </row>
    <row r="906" spans="3:4">
      <c r="C906" s="1"/>
      <c r="D906" s="1"/>
    </row>
    <row r="907" spans="3:4">
      <c r="C907" s="1"/>
      <c r="D907" s="1"/>
    </row>
    <row r="908" spans="3:4">
      <c r="C908" s="1"/>
      <c r="D908" s="1"/>
    </row>
    <row r="909" spans="3:4">
      <c r="C909" s="1"/>
      <c r="D909" s="1"/>
    </row>
    <row r="910" spans="3:4">
      <c r="C910" s="1"/>
      <c r="D910" s="1"/>
    </row>
    <row r="911" spans="3:4">
      <c r="C911" s="1"/>
      <c r="D911" s="1"/>
    </row>
    <row r="912" spans="3:4">
      <c r="C912" s="1"/>
      <c r="D912" s="1"/>
    </row>
    <row r="913" spans="3:4">
      <c r="C913" s="1"/>
      <c r="D913" s="1"/>
    </row>
    <row r="914" spans="3:4">
      <c r="C914" s="1"/>
      <c r="D914" s="1"/>
    </row>
    <row r="915" spans="3:4">
      <c r="C915" s="1"/>
      <c r="D915" s="1"/>
    </row>
    <row r="916" spans="3:4">
      <c r="C916" s="1"/>
      <c r="D916" s="1"/>
    </row>
    <row r="917" spans="3:4">
      <c r="C917" s="1"/>
      <c r="D917" s="1"/>
    </row>
    <row r="918" spans="3:4">
      <c r="C918" s="1"/>
      <c r="D918" s="1"/>
    </row>
    <row r="919" spans="3:4">
      <c r="C919" s="1"/>
      <c r="D919" s="1"/>
    </row>
    <row r="920" spans="3:4">
      <c r="C920" s="1"/>
      <c r="D920" s="1"/>
    </row>
    <row r="921" spans="3:4">
      <c r="C921" s="1"/>
      <c r="D921" s="1"/>
    </row>
    <row r="922" spans="3:4">
      <c r="C922" s="1"/>
      <c r="D922" s="1"/>
    </row>
    <row r="923" spans="3:4">
      <c r="C923" s="1"/>
      <c r="D923" s="1"/>
    </row>
    <row r="924" spans="3:4">
      <c r="C924" s="1"/>
      <c r="D924" s="1"/>
    </row>
    <row r="925" spans="3:4">
      <c r="C925" s="1"/>
      <c r="D925" s="1"/>
    </row>
    <row r="926" spans="3:4">
      <c r="C926" s="1"/>
      <c r="D926" s="1"/>
    </row>
    <row r="927" spans="3:4">
      <c r="C927" s="1"/>
      <c r="D927" s="1"/>
    </row>
    <row r="928" spans="3:4">
      <c r="C928" s="1"/>
      <c r="D928" s="1"/>
    </row>
    <row r="929" spans="3:4">
      <c r="C929" s="1"/>
      <c r="D929" s="1"/>
    </row>
    <row r="930" spans="3:4">
      <c r="C930" s="1"/>
      <c r="D930" s="1"/>
    </row>
    <row r="931" spans="3:4">
      <c r="C931" s="1"/>
      <c r="D931" s="1"/>
    </row>
    <row r="932" spans="3:4">
      <c r="C932" s="1"/>
      <c r="D932" s="1"/>
    </row>
    <row r="933" spans="3:4">
      <c r="C933" s="1"/>
      <c r="D933" s="1"/>
    </row>
    <row r="934" spans="3:4">
      <c r="C934" s="1"/>
      <c r="D934" s="1"/>
    </row>
    <row r="935" spans="3:4">
      <c r="C935" s="1"/>
      <c r="D935" s="1"/>
    </row>
    <row r="936" spans="3:4">
      <c r="C936" s="1"/>
      <c r="D936" s="1"/>
    </row>
    <row r="937" spans="3:4">
      <c r="C937" s="1"/>
      <c r="D937" s="1"/>
    </row>
    <row r="938" spans="3:4">
      <c r="C938" s="1"/>
      <c r="D938" s="1"/>
    </row>
    <row r="939" spans="3:4">
      <c r="C939" s="1"/>
      <c r="D939" s="1"/>
    </row>
    <row r="940" spans="3:4">
      <c r="C940" s="1"/>
      <c r="D940" s="1"/>
    </row>
    <row r="941" spans="3:4">
      <c r="C941" s="1"/>
      <c r="D941" s="1"/>
    </row>
    <row r="942" spans="3:4">
      <c r="C942" s="1"/>
      <c r="D942" s="1"/>
    </row>
    <row r="943" spans="3:4">
      <c r="C943" s="1"/>
      <c r="D943" s="1"/>
    </row>
    <row r="944" spans="3:4">
      <c r="C944" s="1"/>
      <c r="D944" s="1"/>
    </row>
    <row r="945" spans="3:4">
      <c r="C945" s="1"/>
      <c r="D945" s="1"/>
    </row>
    <row r="946" spans="3:4">
      <c r="C946" s="1"/>
      <c r="D946" s="1"/>
    </row>
    <row r="947" spans="3:4">
      <c r="C947" s="1"/>
      <c r="D947" s="1"/>
    </row>
    <row r="948" spans="3:4">
      <c r="C948" s="1"/>
      <c r="D948" s="1"/>
    </row>
    <row r="949" spans="3:4">
      <c r="C949" s="1"/>
      <c r="D949" s="1"/>
    </row>
    <row r="950" spans="3:4">
      <c r="C950" s="1"/>
      <c r="D950" s="1"/>
    </row>
    <row r="951" spans="3:4">
      <c r="C951" s="1"/>
      <c r="D951" s="1"/>
    </row>
    <row r="952" spans="3:4">
      <c r="C952" s="1"/>
      <c r="D952" s="1"/>
    </row>
    <row r="953" spans="3:4">
      <c r="C953" s="1"/>
      <c r="D953" s="1"/>
    </row>
    <row r="954" spans="3:4">
      <c r="C954" s="1"/>
      <c r="D954" s="1"/>
    </row>
    <row r="955" spans="3:4">
      <c r="C955" s="1"/>
      <c r="D955" s="1"/>
    </row>
    <row r="956" spans="3:4">
      <c r="C956" s="1"/>
      <c r="D956" s="1"/>
    </row>
    <row r="957" spans="3:4">
      <c r="C957" s="1"/>
      <c r="D957" s="1"/>
    </row>
    <row r="958" spans="3:4">
      <c r="C958" s="1"/>
      <c r="D958" s="1"/>
    </row>
    <row r="959" spans="3:4">
      <c r="C959" s="1"/>
      <c r="D959" s="1"/>
    </row>
    <row r="960" spans="3:4">
      <c r="C960" s="1"/>
      <c r="D960" s="1"/>
    </row>
    <row r="961" spans="3:4">
      <c r="C961" s="1"/>
      <c r="D961" s="1"/>
    </row>
    <row r="962" spans="3:4">
      <c r="C962" s="1"/>
      <c r="D962" s="1"/>
    </row>
    <row r="963" spans="3:4">
      <c r="C963" s="1"/>
      <c r="D963" s="1"/>
    </row>
    <row r="964" spans="3:4">
      <c r="C964" s="1"/>
      <c r="D964" s="1"/>
    </row>
    <row r="965" spans="3:4">
      <c r="C965" s="1"/>
      <c r="D965" s="1"/>
    </row>
    <row r="966" spans="3:4">
      <c r="C966" s="1"/>
      <c r="D966" s="1"/>
    </row>
    <row r="967" spans="3:4">
      <c r="C967" s="1"/>
      <c r="D967" s="1"/>
    </row>
    <row r="968" spans="3:4">
      <c r="C968" s="1"/>
      <c r="D968" s="1"/>
    </row>
    <row r="969" spans="3:4">
      <c r="C969" s="1"/>
      <c r="D969" s="1"/>
    </row>
    <row r="970" spans="3:4">
      <c r="C970" s="1"/>
      <c r="D970" s="1"/>
    </row>
    <row r="971" spans="3:4">
      <c r="C971" s="1"/>
      <c r="D971" s="1"/>
    </row>
    <row r="972" spans="3:4">
      <c r="C972" s="1"/>
      <c r="D972" s="1"/>
    </row>
    <row r="973" spans="3:4">
      <c r="C973" s="1"/>
      <c r="D973" s="1"/>
    </row>
    <row r="974" spans="3:4">
      <c r="C974" s="1"/>
      <c r="D974" s="1"/>
    </row>
    <row r="975" spans="3:4">
      <c r="C975" s="1"/>
      <c r="D975" s="1"/>
    </row>
    <row r="976" spans="3:4">
      <c r="C976" s="1"/>
      <c r="D976" s="1"/>
    </row>
    <row r="977" spans="3:4">
      <c r="C977" s="1"/>
      <c r="D977" s="1"/>
    </row>
    <row r="978" spans="3:4">
      <c r="C978" s="1"/>
      <c r="D978" s="1"/>
    </row>
    <row r="979" spans="3:4">
      <c r="C979" s="1"/>
      <c r="D979" s="1"/>
    </row>
    <row r="980" spans="3:4">
      <c r="C980" s="1"/>
      <c r="D980" s="1"/>
    </row>
    <row r="981" spans="3:4">
      <c r="C981" s="1"/>
      <c r="D981" s="1"/>
    </row>
    <row r="982" spans="3:4">
      <c r="C982" s="1"/>
      <c r="D982" s="1"/>
    </row>
    <row r="983" spans="3:4">
      <c r="C983" s="1"/>
      <c r="D983" s="1"/>
    </row>
    <row r="984" spans="3:4">
      <c r="C984" s="1"/>
      <c r="D984" s="1"/>
    </row>
    <row r="985" spans="3:4">
      <c r="C985" s="1"/>
      <c r="D985" s="1"/>
    </row>
    <row r="986" spans="3:4">
      <c r="C986" s="1"/>
      <c r="D986" s="1"/>
    </row>
    <row r="987" spans="3:4">
      <c r="C987" s="1"/>
      <c r="D987" s="1"/>
    </row>
    <row r="988" spans="3:4">
      <c r="C988" s="1"/>
      <c r="D988" s="1"/>
    </row>
    <row r="989" spans="3:4">
      <c r="C989" s="1"/>
      <c r="D989" s="1"/>
    </row>
    <row r="990" spans="3:4">
      <c r="C990" s="1"/>
      <c r="D990" s="1"/>
    </row>
    <row r="991" spans="3:4">
      <c r="C991" s="1"/>
      <c r="D991" s="1"/>
    </row>
    <row r="992" spans="3:4">
      <c r="C992" s="1"/>
      <c r="D992" s="1"/>
    </row>
    <row r="993" spans="3:4">
      <c r="C993" s="1"/>
      <c r="D993" s="1"/>
    </row>
    <row r="994" spans="3:4">
      <c r="C994" s="1"/>
      <c r="D994" s="1"/>
    </row>
    <row r="995" spans="3:4">
      <c r="C995" s="1"/>
      <c r="D995" s="1"/>
    </row>
    <row r="996" spans="3:4">
      <c r="C996" s="1"/>
      <c r="D996" s="1"/>
    </row>
    <row r="997" spans="3:4">
      <c r="C997" s="1"/>
      <c r="D997" s="1"/>
    </row>
    <row r="998" spans="3:4">
      <c r="C998" s="1"/>
      <c r="D998" s="1"/>
    </row>
    <row r="999" spans="3:4">
      <c r="C999" s="1"/>
      <c r="D999" s="1"/>
    </row>
    <row r="1000" spans="3:4">
      <c r="C1000" s="1"/>
      <c r="D1000" s="1"/>
    </row>
    <row r="1001" spans="3:4">
      <c r="C1001" s="1"/>
      <c r="D1001" s="1"/>
    </row>
  </sheetData>
  <mergeCells count="1">
    <mergeCell ref="B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178B-40C2-DA4A-B870-7CEC98D6269B}">
  <dimension ref="A1:D5"/>
  <sheetViews>
    <sheetView zoomScale="125" zoomScaleNormal="125" workbookViewId="0">
      <selection activeCell="C17" sqref="C17"/>
    </sheetView>
  </sheetViews>
  <sheetFormatPr defaultColWidth="11" defaultRowHeight="15.6"/>
  <cols>
    <col min="1" max="1" width="24.25" customWidth="1"/>
  </cols>
  <sheetData>
    <row r="1" spans="1:4">
      <c r="C1" s="36" t="s">
        <v>69</v>
      </c>
      <c r="D1" s="36" t="s">
        <v>70</v>
      </c>
    </row>
    <row r="2" spans="1:4">
      <c r="A2" t="s">
        <v>71</v>
      </c>
      <c r="B2">
        <v>7</v>
      </c>
      <c r="C2">
        <f>B2*5</f>
        <v>35</v>
      </c>
      <c r="D2">
        <f>C2*5</f>
        <v>175</v>
      </c>
    </row>
    <row r="3" spans="1:4">
      <c r="A3" t="s">
        <v>72</v>
      </c>
      <c r="B3">
        <v>8</v>
      </c>
      <c r="C3">
        <f>B3*5</f>
        <v>40</v>
      </c>
      <c r="D3">
        <f>C3*5</f>
        <v>200</v>
      </c>
    </row>
    <row r="4" spans="1:4">
      <c r="A4" t="s">
        <v>18</v>
      </c>
    </row>
    <row r="5" spans="1:4">
      <c r="A5" t="s">
        <v>73</v>
      </c>
      <c r="C5">
        <f>C3/28</f>
        <v>1.4285714285714286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2249-90E7-4841-86FC-B8834A3FAE45}">
  <dimension ref="B1:Q57"/>
  <sheetViews>
    <sheetView topLeftCell="A5" zoomScale="90" zoomScaleNormal="90" workbookViewId="0">
      <selection activeCell="C22" sqref="C22"/>
    </sheetView>
  </sheetViews>
  <sheetFormatPr defaultColWidth="0" defaultRowHeight="15.6" zeroHeight="1"/>
  <cols>
    <col min="1" max="1" width="3.75" customWidth="1"/>
    <col min="2" max="2" width="41.75" customWidth="1"/>
    <col min="3" max="3" width="24" style="33" customWidth="1"/>
    <col min="4" max="4" width="15.75" customWidth="1"/>
    <col min="5" max="5" width="10.75" customWidth="1"/>
    <col min="6" max="6" width="27.5" customWidth="1"/>
    <col min="7" max="18" width="8.75" customWidth="1"/>
  </cols>
  <sheetData>
    <row r="1" spans="2:17" ht="25.5" customHeight="1">
      <c r="B1" s="454"/>
      <c r="C1" s="480" t="s">
        <v>74</v>
      </c>
      <c r="D1" s="444">
        <v>46013</v>
      </c>
      <c r="E1" s="444">
        <v>46020</v>
      </c>
      <c r="F1" s="444">
        <v>45662</v>
      </c>
      <c r="G1" s="28">
        <v>45669</v>
      </c>
      <c r="H1" s="28">
        <v>45676</v>
      </c>
      <c r="I1" s="28">
        <v>45683</v>
      </c>
      <c r="J1" s="28">
        <v>45690</v>
      </c>
      <c r="K1" s="28">
        <v>45697</v>
      </c>
      <c r="L1" s="28">
        <v>45704</v>
      </c>
      <c r="M1" s="28">
        <v>45711</v>
      </c>
      <c r="N1" s="28">
        <v>45718</v>
      </c>
      <c r="O1" s="28">
        <v>45725</v>
      </c>
      <c r="P1" s="28">
        <v>45732</v>
      </c>
      <c r="Q1" s="28">
        <v>45739</v>
      </c>
    </row>
    <row r="2" spans="2:17" ht="45.75" customHeight="1">
      <c r="B2" s="445" t="s">
        <v>75</v>
      </c>
      <c r="C2" s="481">
        <v>25</v>
      </c>
      <c r="D2" s="454"/>
      <c r="E2" s="454"/>
      <c r="F2" s="454"/>
      <c r="P2" t="s">
        <v>76</v>
      </c>
      <c r="Q2" t="s">
        <v>77</v>
      </c>
    </row>
    <row r="3" spans="2:17" ht="45.75" customHeight="1">
      <c r="B3" s="482" t="s">
        <v>78</v>
      </c>
      <c r="C3" s="481">
        <v>25</v>
      </c>
      <c r="D3" s="454"/>
      <c r="E3" s="454"/>
      <c r="F3" s="454"/>
    </row>
    <row r="4" spans="2:17" ht="45.75" customHeight="1">
      <c r="B4" s="483" t="s">
        <v>79</v>
      </c>
      <c r="C4" s="481">
        <v>20</v>
      </c>
      <c r="D4" s="454"/>
      <c r="E4" s="454"/>
      <c r="F4" s="454"/>
    </row>
    <row r="5" spans="2:17" ht="45.75" customHeight="1">
      <c r="B5" s="454" t="s">
        <v>80</v>
      </c>
      <c r="C5" s="481">
        <v>30</v>
      </c>
      <c r="D5" s="454"/>
      <c r="E5" s="454"/>
      <c r="F5" s="454"/>
    </row>
    <row r="6" spans="2:17" ht="45" customHeight="1">
      <c r="B6" s="454" t="s">
        <v>81</v>
      </c>
      <c r="C6" s="481">
        <v>25</v>
      </c>
      <c r="D6" s="454"/>
      <c r="E6" s="454"/>
      <c r="F6" s="454"/>
    </row>
    <row r="7" spans="2:17">
      <c r="B7" s="454"/>
      <c r="C7" s="484"/>
      <c r="D7" s="454"/>
      <c r="E7" s="454"/>
      <c r="F7" s="454"/>
    </row>
    <row r="8" spans="2:17">
      <c r="B8" s="454" t="s">
        <v>82</v>
      </c>
      <c r="C8" s="484">
        <f>SUM(C2:C6)</f>
        <v>125</v>
      </c>
      <c r="D8" s="454"/>
      <c r="E8" s="454"/>
      <c r="F8" s="454"/>
    </row>
    <row r="9" spans="2:17">
      <c r="B9" s="454" t="s">
        <v>83</v>
      </c>
      <c r="C9" s="484">
        <f>1500/C8</f>
        <v>12</v>
      </c>
      <c r="D9" s="454"/>
      <c r="E9" s="454"/>
      <c r="F9" s="454"/>
    </row>
    <row r="10" spans="2:17">
      <c r="B10" s="454" t="s">
        <v>84</v>
      </c>
      <c r="C10" s="485">
        <f>1500/9</f>
        <v>166.66666666666666</v>
      </c>
      <c r="D10" s="454"/>
      <c r="E10" s="454"/>
      <c r="F10" s="454"/>
    </row>
    <row r="11" spans="2:17">
      <c r="B11" s="486" t="s">
        <v>85</v>
      </c>
      <c r="C11" s="487" t="s">
        <v>86</v>
      </c>
      <c r="D11" s="488" t="s">
        <v>87</v>
      </c>
      <c r="E11" s="488" t="s">
        <v>88</v>
      </c>
      <c r="F11" s="488" t="s">
        <v>89</v>
      </c>
      <c r="G11" s="173" t="s">
        <v>90</v>
      </c>
    </row>
    <row r="12" spans="2:17" ht="28.9">
      <c r="B12" s="504" t="s">
        <v>91</v>
      </c>
      <c r="C12" s="446" t="s">
        <v>92</v>
      </c>
      <c r="D12" s="447">
        <f>SUM(D13:D20)</f>
        <v>455</v>
      </c>
      <c r="E12" s="448">
        <f>D12/$C$2</f>
        <v>18.2</v>
      </c>
      <c r="F12" s="489"/>
      <c r="G12" s="32">
        <f>SUM(E12)-COUNT($D$1:$O$1)</f>
        <v>6.1999999999999993</v>
      </c>
    </row>
    <row r="13" spans="2:17">
      <c r="B13" s="504"/>
      <c r="C13" s="449" t="s">
        <v>93</v>
      </c>
      <c r="D13" s="450">
        <v>55</v>
      </c>
      <c r="E13" s="451">
        <f t="shared" ref="E13:E19" si="0">D13/$C$2</f>
        <v>2.2000000000000002</v>
      </c>
      <c r="F13" s="489"/>
      <c r="G13" s="32"/>
    </row>
    <row r="14" spans="2:17">
      <c r="B14" s="504"/>
      <c r="C14" s="449" t="s">
        <v>94</v>
      </c>
      <c r="D14" s="450">
        <v>85</v>
      </c>
      <c r="E14" s="451">
        <f t="shared" si="0"/>
        <v>3.4</v>
      </c>
      <c r="F14" s="489" t="s">
        <v>95</v>
      </c>
      <c r="G14" s="32"/>
    </row>
    <row r="15" spans="2:17">
      <c r="B15" s="504"/>
      <c r="C15" s="449" t="s">
        <v>96</v>
      </c>
      <c r="D15" s="450">
        <v>75</v>
      </c>
      <c r="E15" s="451">
        <f t="shared" si="0"/>
        <v>3</v>
      </c>
      <c r="F15" s="489" t="s">
        <v>97</v>
      </c>
      <c r="G15" s="32"/>
    </row>
    <row r="16" spans="2:17">
      <c r="B16" s="504"/>
      <c r="C16" s="449" t="s">
        <v>98</v>
      </c>
      <c r="D16" s="450">
        <v>40</v>
      </c>
      <c r="E16" s="451">
        <f t="shared" si="0"/>
        <v>1.6</v>
      </c>
      <c r="F16" s="489"/>
      <c r="G16" s="32"/>
    </row>
    <row r="17" spans="2:7">
      <c r="B17" s="504"/>
      <c r="C17" s="449" t="s">
        <v>99</v>
      </c>
      <c r="D17" s="450">
        <v>75</v>
      </c>
      <c r="E17" s="451">
        <f t="shared" si="0"/>
        <v>3</v>
      </c>
      <c r="F17" s="489"/>
      <c r="G17" s="32"/>
    </row>
    <row r="18" spans="2:7">
      <c r="B18" s="504"/>
      <c r="C18" s="449" t="s">
        <v>100</v>
      </c>
      <c r="D18" s="450">
        <v>85</v>
      </c>
      <c r="E18" s="451">
        <f t="shared" si="0"/>
        <v>3.4</v>
      </c>
      <c r="F18" s="489" t="s">
        <v>101</v>
      </c>
      <c r="G18" s="32"/>
    </row>
    <row r="19" spans="2:7">
      <c r="B19" s="504"/>
      <c r="C19" s="449" t="s">
        <v>102</v>
      </c>
      <c r="D19" s="450">
        <v>40</v>
      </c>
      <c r="E19" s="451">
        <f t="shared" si="0"/>
        <v>1.6</v>
      </c>
      <c r="F19" s="489" t="s">
        <v>97</v>
      </c>
      <c r="G19" s="32"/>
    </row>
    <row r="20" spans="2:7">
      <c r="B20" s="504"/>
      <c r="C20" s="449" t="s">
        <v>103</v>
      </c>
      <c r="D20" s="450" t="s">
        <v>104</v>
      </c>
      <c r="E20" s="451" t="s">
        <v>104</v>
      </c>
      <c r="F20" s="489"/>
      <c r="G20" s="32"/>
    </row>
    <row r="21" spans="2:7">
      <c r="B21" s="504"/>
      <c r="C21" s="452"/>
      <c r="D21" s="453"/>
      <c r="E21" s="451"/>
      <c r="F21" s="454"/>
    </row>
    <row r="22" spans="2:7" ht="31.5" customHeight="1">
      <c r="B22" s="505" t="s">
        <v>105</v>
      </c>
      <c r="C22" s="455" t="s">
        <v>63</v>
      </c>
      <c r="D22" s="456">
        <v>41</v>
      </c>
      <c r="E22" s="457">
        <f>D22/$C$3</f>
        <v>1.64</v>
      </c>
      <c r="F22" s="454"/>
      <c r="G22" s="32">
        <f>SUM(E22:E26)-COUNT($D$1:$O$1)</f>
        <v>2.4400000000000013</v>
      </c>
    </row>
    <row r="23" spans="2:7">
      <c r="B23" s="505"/>
      <c r="C23" s="458" t="s">
        <v>106</v>
      </c>
      <c r="D23" s="459">
        <v>180</v>
      </c>
      <c r="E23" s="460">
        <f>D23/$C$3</f>
        <v>7.2</v>
      </c>
      <c r="F23" s="489" t="s">
        <v>101</v>
      </c>
      <c r="G23" s="31"/>
    </row>
    <row r="24" spans="2:7">
      <c r="B24" s="505"/>
      <c r="C24" s="455" t="s">
        <v>46</v>
      </c>
      <c r="D24" s="456">
        <v>60</v>
      </c>
      <c r="E24" s="457">
        <f>D24/$C$6</f>
        <v>2.4</v>
      </c>
      <c r="F24" s="454"/>
      <c r="G24" s="31"/>
    </row>
    <row r="25" spans="2:7">
      <c r="B25" s="505"/>
      <c r="C25" s="455" t="s">
        <v>51</v>
      </c>
      <c r="D25" s="456">
        <v>80</v>
      </c>
      <c r="E25" s="457">
        <f>D25/$C$6</f>
        <v>3.2</v>
      </c>
      <c r="F25" s="454" t="s">
        <v>107</v>
      </c>
      <c r="G25" s="31"/>
    </row>
    <row r="26" spans="2:7">
      <c r="B26" s="505"/>
      <c r="C26" s="455"/>
      <c r="D26" s="456"/>
      <c r="E26" s="457"/>
      <c r="F26" s="454"/>
      <c r="G26" s="31"/>
    </row>
    <row r="27" spans="2:7" ht="31.5" customHeight="1">
      <c r="B27" s="506" t="s">
        <v>108</v>
      </c>
      <c r="C27" s="461" t="s">
        <v>61</v>
      </c>
      <c r="D27" s="462">
        <v>19</v>
      </c>
      <c r="E27" s="463">
        <f t="shared" ref="E27:E32" si="1">D27/$C$4</f>
        <v>0.95</v>
      </c>
      <c r="F27" s="454"/>
      <c r="G27" s="32">
        <f>SUM(E27:E33)-COUNT($D$1:$O$1)</f>
        <v>-1.6999999999999993</v>
      </c>
    </row>
    <row r="28" spans="2:7">
      <c r="B28" s="507"/>
      <c r="C28" s="461" t="s">
        <v>35</v>
      </c>
      <c r="D28" s="462">
        <v>60</v>
      </c>
      <c r="E28" s="463">
        <f t="shared" si="1"/>
        <v>3</v>
      </c>
      <c r="F28" s="454"/>
      <c r="G28" s="31"/>
    </row>
    <row r="29" spans="2:7">
      <c r="B29" s="507"/>
      <c r="C29" s="461" t="s">
        <v>65</v>
      </c>
      <c r="D29" s="462">
        <v>47</v>
      </c>
      <c r="E29" s="463">
        <f t="shared" si="1"/>
        <v>2.35</v>
      </c>
      <c r="F29" s="454" t="s">
        <v>109</v>
      </c>
      <c r="G29" s="31"/>
    </row>
    <row r="30" spans="2:7">
      <c r="B30" s="507"/>
      <c r="C30" s="461" t="s">
        <v>67</v>
      </c>
      <c r="D30" s="462">
        <v>5</v>
      </c>
      <c r="E30" s="463">
        <f t="shared" si="1"/>
        <v>0.25</v>
      </c>
      <c r="F30" s="454" t="s">
        <v>109</v>
      </c>
      <c r="G30" s="31"/>
    </row>
    <row r="31" spans="2:7">
      <c r="B31" s="507"/>
      <c r="C31" s="461" t="s">
        <v>103</v>
      </c>
      <c r="D31" s="464">
        <v>40</v>
      </c>
      <c r="E31" s="463">
        <f t="shared" si="1"/>
        <v>2</v>
      </c>
      <c r="F31" s="454" t="s">
        <v>110</v>
      </c>
      <c r="G31" s="31"/>
    </row>
    <row r="32" spans="2:7">
      <c r="B32" s="507"/>
      <c r="C32" s="461" t="s">
        <v>111</v>
      </c>
      <c r="D32" s="462">
        <v>35</v>
      </c>
      <c r="E32" s="463">
        <f t="shared" si="1"/>
        <v>1.75</v>
      </c>
      <c r="F32" s="454"/>
      <c r="G32" s="31"/>
    </row>
    <row r="33" spans="2:7">
      <c r="B33" s="508"/>
      <c r="C33" s="461"/>
      <c r="D33" s="462"/>
      <c r="E33" s="463"/>
      <c r="F33" s="454"/>
      <c r="G33" s="31"/>
    </row>
    <row r="34" spans="2:7" ht="52.5" customHeight="1">
      <c r="B34" s="511" t="s">
        <v>112</v>
      </c>
      <c r="C34" s="465" t="s">
        <v>113</v>
      </c>
      <c r="D34" s="466">
        <v>200</v>
      </c>
      <c r="E34" s="467">
        <f>D34/$C$5</f>
        <v>6.666666666666667</v>
      </c>
      <c r="F34" s="489" t="s">
        <v>101</v>
      </c>
      <c r="G34" s="32">
        <f>SUM(E34:E36)-COUNT($D$1:$O$1)</f>
        <v>1.8333333333333339</v>
      </c>
    </row>
    <row r="35" spans="2:7" ht="52.5" customHeight="1">
      <c r="B35" s="512"/>
      <c r="C35" s="465" t="s">
        <v>48</v>
      </c>
      <c r="D35" s="466">
        <v>215</v>
      </c>
      <c r="E35" s="467">
        <f>D35/$C$5</f>
        <v>7.166666666666667</v>
      </c>
      <c r="F35" s="454"/>
      <c r="G35" s="31"/>
    </row>
    <row r="36" spans="2:7">
      <c r="B36" s="513"/>
      <c r="C36" s="468"/>
      <c r="D36" s="469"/>
      <c r="E36" s="470"/>
      <c r="F36" s="454"/>
      <c r="G36" s="31"/>
    </row>
    <row r="37" spans="2:7" ht="31.5" customHeight="1">
      <c r="B37" s="509" t="s">
        <v>114</v>
      </c>
      <c r="C37" s="471" t="s">
        <v>54</v>
      </c>
      <c r="D37" s="472">
        <v>11</v>
      </c>
      <c r="E37" s="473">
        <f>D37/$C$6</f>
        <v>0.44</v>
      </c>
      <c r="F37" s="454"/>
      <c r="G37" s="32">
        <f>SUM(E37:E41)-COUNT($D$1:$O$1)</f>
        <v>-0.35999999999999943</v>
      </c>
    </row>
    <row r="38" spans="2:7">
      <c r="B38" s="510"/>
      <c r="C38" s="474" t="s">
        <v>53</v>
      </c>
      <c r="D38" s="472">
        <v>40</v>
      </c>
      <c r="E38" s="473">
        <f>D38/$C$6</f>
        <v>1.6</v>
      </c>
      <c r="F38" s="454"/>
    </row>
    <row r="39" spans="2:7">
      <c r="B39" s="510"/>
      <c r="C39" s="474" t="s">
        <v>115</v>
      </c>
      <c r="D39" s="472">
        <v>20</v>
      </c>
      <c r="E39" s="473">
        <f>D39/$C$6</f>
        <v>0.8</v>
      </c>
      <c r="F39" s="454"/>
    </row>
    <row r="40" spans="2:7">
      <c r="B40" s="510"/>
      <c r="C40" s="475" t="s">
        <v>26</v>
      </c>
      <c r="D40" s="476">
        <v>120</v>
      </c>
      <c r="E40" s="477">
        <f>D40/$C$3</f>
        <v>4.8</v>
      </c>
      <c r="F40" s="489" t="s">
        <v>101</v>
      </c>
    </row>
    <row r="41" spans="2:7">
      <c r="B41" s="510"/>
      <c r="C41" s="478" t="s">
        <v>116</v>
      </c>
      <c r="D41" s="479">
        <v>100</v>
      </c>
      <c r="E41" s="477">
        <f>D41/$C$3</f>
        <v>4</v>
      </c>
      <c r="F41" s="454" t="s">
        <v>117</v>
      </c>
    </row>
    <row r="42" spans="2:7">
      <c r="B42" s="454"/>
      <c r="C42" s="484"/>
      <c r="D42" s="454"/>
      <c r="E42" s="454"/>
      <c r="F42" s="454"/>
    </row>
    <row r="43" spans="2:7">
      <c r="B43" s="486" t="s">
        <v>118</v>
      </c>
      <c r="C43" s="480"/>
      <c r="D43" s="488" t="s">
        <v>87</v>
      </c>
      <c r="E43" s="486" t="s">
        <v>85</v>
      </c>
      <c r="F43" s="454"/>
    </row>
    <row r="44" spans="2:7">
      <c r="B44" s="490" t="s">
        <v>50</v>
      </c>
      <c r="C44" s="491"/>
      <c r="D44" s="491">
        <v>40</v>
      </c>
      <c r="E44" s="454" t="s">
        <v>119</v>
      </c>
      <c r="F44" s="454"/>
    </row>
    <row r="45" spans="2:7">
      <c r="B45" s="490" t="s">
        <v>57</v>
      </c>
      <c r="C45" s="491"/>
      <c r="D45" s="491" t="s">
        <v>60</v>
      </c>
      <c r="E45" s="454" t="s">
        <v>55</v>
      </c>
      <c r="F45" s="454"/>
    </row>
    <row r="46" spans="2:7">
      <c r="B46" s="29"/>
      <c r="C46" s="30"/>
      <c r="D46" s="30"/>
    </row>
    <row r="47" spans="2:7">
      <c r="B47" s="29"/>
      <c r="C47" s="30"/>
      <c r="D47" s="30"/>
    </row>
    <row r="48" spans="2:7">
      <c r="B48" s="29"/>
      <c r="C48" s="30"/>
      <c r="D48" s="30"/>
    </row>
    <row r="49" spans="2:4">
      <c r="B49" s="29"/>
      <c r="C49" s="30"/>
      <c r="D49" s="30"/>
    </row>
    <row r="50" spans="2:4">
      <c r="C50" s="30"/>
    </row>
    <row r="51" spans="2:4"/>
    <row r="52" spans="2:4"/>
    <row r="53" spans="2:4"/>
    <row r="54" spans="2:4"/>
    <row r="55" spans="2:4"/>
    <row r="56" spans="2:4"/>
    <row r="57" spans="2:4"/>
  </sheetData>
  <mergeCells count="5">
    <mergeCell ref="B12:B21"/>
    <mergeCell ref="B22:B26"/>
    <mergeCell ref="B27:B33"/>
    <mergeCell ref="B37:B41"/>
    <mergeCell ref="B34:B3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A293-3B46-3248-87BD-DD21436F0BE7}">
  <dimension ref="B1:G41"/>
  <sheetViews>
    <sheetView topLeftCell="A8" zoomScale="163" zoomScaleNormal="100" workbookViewId="0">
      <selection activeCell="D10" sqref="D10"/>
    </sheetView>
  </sheetViews>
  <sheetFormatPr defaultColWidth="0" defaultRowHeight="15.6" zeroHeight="1"/>
  <cols>
    <col min="1" max="1" width="2.25" customWidth="1"/>
    <col min="2" max="2" width="45.75" customWidth="1"/>
    <col min="3" max="3" width="16.25" customWidth="1"/>
    <col min="4" max="4" width="30.75" customWidth="1"/>
    <col min="5" max="5" width="27.75" customWidth="1"/>
    <col min="6" max="6" width="37.25" customWidth="1"/>
    <col min="7" max="7" width="30.25" bestFit="1" customWidth="1"/>
    <col min="8" max="9" width="11" customWidth="1"/>
  </cols>
  <sheetData>
    <row r="1" spans="2:6">
      <c r="B1" s="331" t="s">
        <v>120</v>
      </c>
      <c r="C1" s="331" t="s">
        <v>2</v>
      </c>
      <c r="D1" s="331" t="s">
        <v>121</v>
      </c>
      <c r="E1" s="331" t="s">
        <v>122</v>
      </c>
      <c r="F1" s="331" t="s">
        <v>123</v>
      </c>
    </row>
    <row r="2" spans="2:6">
      <c r="B2" s="332" t="s">
        <v>124</v>
      </c>
      <c r="C2" s="332" t="s">
        <v>20</v>
      </c>
      <c r="D2" s="332" t="s">
        <v>125</v>
      </c>
      <c r="E2" s="332" t="s">
        <v>126</v>
      </c>
      <c r="F2" s="332" t="s">
        <v>127</v>
      </c>
    </row>
    <row r="3" spans="2:6">
      <c r="B3" s="332" t="s">
        <v>106</v>
      </c>
      <c r="C3" s="332" t="s">
        <v>38</v>
      </c>
      <c r="D3" s="332" t="s">
        <v>128</v>
      </c>
      <c r="E3" s="332" t="s">
        <v>129</v>
      </c>
      <c r="F3" s="332" t="s">
        <v>127</v>
      </c>
    </row>
    <row r="4" spans="2:6">
      <c r="B4" s="332" t="s">
        <v>130</v>
      </c>
      <c r="C4" s="332" t="s">
        <v>20</v>
      </c>
      <c r="D4" s="332" t="s">
        <v>131</v>
      </c>
      <c r="E4" s="332" t="s">
        <v>132</v>
      </c>
      <c r="F4" s="332" t="s">
        <v>127</v>
      </c>
    </row>
    <row r="5" spans="2:6">
      <c r="B5" s="333" t="s">
        <v>41</v>
      </c>
      <c r="C5" s="334" t="s">
        <v>38</v>
      </c>
      <c r="D5" s="333" t="s">
        <v>133</v>
      </c>
      <c r="E5" s="333" t="s">
        <v>134</v>
      </c>
      <c r="F5" s="333"/>
    </row>
    <row r="6" spans="2:6">
      <c r="B6" s="333" t="s">
        <v>103</v>
      </c>
      <c r="C6" s="334" t="s">
        <v>38</v>
      </c>
      <c r="D6" s="333"/>
      <c r="E6" s="333"/>
      <c r="F6" s="333"/>
    </row>
    <row r="7" spans="2:6">
      <c r="B7" s="333"/>
      <c r="C7" s="333"/>
      <c r="D7" s="333"/>
      <c r="E7" s="333"/>
      <c r="F7" s="333"/>
    </row>
    <row r="8" spans="2:6">
      <c r="B8" s="333"/>
      <c r="C8" s="333"/>
      <c r="D8" s="333"/>
      <c r="E8" s="333"/>
      <c r="F8" s="333"/>
    </row>
    <row r="9" spans="2:6">
      <c r="B9" s="335" t="s">
        <v>135</v>
      </c>
      <c r="C9" s="334" t="s">
        <v>20</v>
      </c>
      <c r="D9" s="333" t="s">
        <v>16</v>
      </c>
      <c r="E9" s="333" t="s">
        <v>16</v>
      </c>
      <c r="F9" s="333" t="s">
        <v>136</v>
      </c>
    </row>
    <row r="10" spans="2:6">
      <c r="B10" s="333" t="s">
        <v>50</v>
      </c>
      <c r="C10" s="334" t="s">
        <v>38</v>
      </c>
      <c r="D10" s="333"/>
      <c r="E10" s="333"/>
      <c r="F10" s="333"/>
    </row>
    <row r="11" spans="2:6">
      <c r="B11" s="335" t="s">
        <v>26</v>
      </c>
      <c r="C11" s="334" t="s">
        <v>38</v>
      </c>
      <c r="D11" s="333"/>
      <c r="E11" s="333"/>
      <c r="F11" s="333"/>
    </row>
    <row r="12" spans="2:6">
      <c r="B12" s="333" t="s">
        <v>30</v>
      </c>
      <c r="C12" s="334" t="s">
        <v>38</v>
      </c>
      <c r="D12" s="333"/>
      <c r="E12" s="333"/>
      <c r="F12" s="333"/>
    </row>
    <row r="13" spans="2:6">
      <c r="B13" s="333" t="s">
        <v>33</v>
      </c>
      <c r="C13" s="334" t="s">
        <v>38</v>
      </c>
      <c r="D13" s="333"/>
      <c r="E13" s="333"/>
      <c r="F13" s="333"/>
    </row>
    <row r="14" spans="2:6">
      <c r="B14" s="333" t="s">
        <v>37</v>
      </c>
      <c r="C14" s="334" t="s">
        <v>38</v>
      </c>
      <c r="D14" s="333"/>
      <c r="E14" s="333"/>
      <c r="F14" s="333"/>
    </row>
    <row r="15" spans="2:6">
      <c r="B15" s="333" t="s">
        <v>46</v>
      </c>
      <c r="C15" s="334" t="s">
        <v>38</v>
      </c>
      <c r="D15" s="333"/>
      <c r="E15" s="333"/>
      <c r="F15" s="333"/>
    </row>
    <row r="16" spans="2:6">
      <c r="B16" s="333" t="s">
        <v>51</v>
      </c>
      <c r="C16" s="334" t="s">
        <v>38</v>
      </c>
      <c r="D16" s="333"/>
      <c r="E16" s="333"/>
      <c r="F16" s="333"/>
    </row>
    <row r="17" spans="2:7"/>
    <row r="18" spans="2:7">
      <c r="D18" s="333" t="s">
        <v>137</v>
      </c>
      <c r="E18" s="333" t="s">
        <v>138</v>
      </c>
      <c r="F18" s="333" t="s">
        <v>139</v>
      </c>
      <c r="G18" s="333" t="s">
        <v>120</v>
      </c>
    </row>
    <row r="19" spans="2:7">
      <c r="B19" s="331" t="s">
        <v>140</v>
      </c>
      <c r="C19" s="337"/>
      <c r="D19" s="332" t="s">
        <v>141</v>
      </c>
      <c r="E19" s="332" t="s">
        <v>142</v>
      </c>
      <c r="F19" s="332" t="s">
        <v>143</v>
      </c>
      <c r="G19" s="333" t="s">
        <v>106</v>
      </c>
    </row>
    <row r="20" spans="2:7">
      <c r="B20" s="333"/>
      <c r="C20" s="333"/>
      <c r="D20" s="338" t="s">
        <v>144</v>
      </c>
      <c r="E20" s="338" t="s">
        <v>145</v>
      </c>
      <c r="F20" s="338" t="s">
        <v>146</v>
      </c>
      <c r="G20" s="338"/>
    </row>
    <row r="21" spans="2:7">
      <c r="B21" s="333"/>
      <c r="C21" s="333"/>
      <c r="D21" s="333" t="s">
        <v>147</v>
      </c>
      <c r="E21" s="333" t="s">
        <v>148</v>
      </c>
      <c r="F21" s="333" t="s">
        <v>146</v>
      </c>
      <c r="G21" s="333"/>
    </row>
    <row r="22" spans="2:7">
      <c r="B22" s="333"/>
      <c r="C22" s="333"/>
      <c r="D22" s="336" t="s">
        <v>131</v>
      </c>
      <c r="E22" s="336" t="s">
        <v>132</v>
      </c>
      <c r="F22" s="336" t="s">
        <v>143</v>
      </c>
      <c r="G22" s="333" t="s">
        <v>130</v>
      </c>
    </row>
    <row r="23" spans="2:7">
      <c r="B23" s="333"/>
      <c r="C23" s="333"/>
      <c r="D23" s="336" t="s">
        <v>149</v>
      </c>
      <c r="E23" s="336" t="s">
        <v>150</v>
      </c>
      <c r="F23" s="336" t="s">
        <v>143</v>
      </c>
      <c r="G23" s="333" t="s">
        <v>41</v>
      </c>
    </row>
    <row r="24" spans="2:7">
      <c r="B24" s="333"/>
      <c r="C24" s="333"/>
      <c r="D24" s="333" t="s">
        <v>151</v>
      </c>
      <c r="E24" s="333" t="s">
        <v>152</v>
      </c>
      <c r="F24" s="333" t="s">
        <v>153</v>
      </c>
      <c r="G24" s="333"/>
    </row>
    <row r="25" spans="2:7">
      <c r="B25" s="333"/>
      <c r="C25" s="333"/>
      <c r="D25" s="333" t="s">
        <v>154</v>
      </c>
      <c r="E25" s="333" t="s">
        <v>155</v>
      </c>
      <c r="F25" s="333" t="s">
        <v>153</v>
      </c>
      <c r="G25" s="333"/>
    </row>
    <row r="26" spans="2:7"/>
    <row r="27" spans="2:7"/>
    <row r="28" spans="2:7"/>
    <row r="29" spans="2:7"/>
    <row r="30" spans="2:7"/>
    <row r="31" spans="2:7"/>
    <row r="32" spans="2:7"/>
    <row r="33"/>
    <row r="34"/>
    <row r="35"/>
    <row r="36"/>
    <row r="37"/>
    <row r="38"/>
    <row r="39"/>
    <row r="40"/>
    <row r="4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FF64-E65E-8541-BE43-2FDC27C3E44C}">
  <dimension ref="A1:H34"/>
  <sheetViews>
    <sheetView zoomScale="130" zoomScaleNormal="130" workbookViewId="0">
      <selection activeCell="A3" sqref="A3:XFD3"/>
    </sheetView>
  </sheetViews>
  <sheetFormatPr defaultColWidth="0" defaultRowHeight="15.6"/>
  <cols>
    <col min="1" max="1" width="11.25" customWidth="1"/>
    <col min="2" max="2" width="74.75" customWidth="1"/>
    <col min="3" max="3" width="17" customWidth="1"/>
    <col min="4" max="4" width="17.75" style="47" customWidth="1"/>
    <col min="5" max="5" width="19" style="47" customWidth="1"/>
    <col min="6" max="6" width="15" style="47" customWidth="1"/>
    <col min="7" max="7" width="11.25" customWidth="1"/>
    <col min="8" max="8" width="11.25" hidden="1" customWidth="1"/>
  </cols>
  <sheetData>
    <row r="1" spans="1:7">
      <c r="A1" s="320" t="s">
        <v>156</v>
      </c>
      <c r="B1" s="320" t="s">
        <v>157</v>
      </c>
      <c r="C1" s="320" t="s">
        <v>2</v>
      </c>
      <c r="D1" s="321" t="s">
        <v>158</v>
      </c>
      <c r="E1" s="321" t="s">
        <v>159</v>
      </c>
      <c r="F1" s="321" t="s">
        <v>139</v>
      </c>
      <c r="G1" s="315"/>
    </row>
    <row r="2" spans="1:7">
      <c r="A2" s="315"/>
      <c r="B2" s="315"/>
      <c r="C2" s="315"/>
      <c r="D2" s="316"/>
      <c r="E2" s="316"/>
      <c r="F2" s="316"/>
      <c r="G2" s="315"/>
    </row>
    <row r="3" spans="1:7">
      <c r="A3" s="315" t="s">
        <v>160</v>
      </c>
      <c r="B3" s="315" t="s">
        <v>161</v>
      </c>
      <c r="C3" s="315" t="s">
        <v>162</v>
      </c>
      <c r="D3" s="317">
        <v>46027</v>
      </c>
      <c r="E3" s="317">
        <v>46031</v>
      </c>
      <c r="F3" s="318" t="s">
        <v>163</v>
      </c>
      <c r="G3" s="315"/>
    </row>
    <row r="4" spans="1:7">
      <c r="A4" s="315"/>
      <c r="B4" s="315"/>
      <c r="C4" s="315"/>
      <c r="D4" s="316"/>
      <c r="E4" s="316"/>
      <c r="F4" s="316"/>
      <c r="G4" s="315"/>
    </row>
    <row r="5" spans="1:7">
      <c r="A5" s="315" t="s">
        <v>164</v>
      </c>
      <c r="B5" s="315" t="s">
        <v>165</v>
      </c>
      <c r="C5" s="315" t="s">
        <v>166</v>
      </c>
      <c r="D5" s="317">
        <v>46029</v>
      </c>
      <c r="E5" s="316" t="s">
        <v>167</v>
      </c>
      <c r="F5" s="318" t="s">
        <v>168</v>
      </c>
      <c r="G5" s="315"/>
    </row>
    <row r="6" spans="1:7">
      <c r="A6" s="315"/>
      <c r="B6" s="315"/>
      <c r="C6" s="315"/>
      <c r="D6" s="316"/>
      <c r="E6" s="316"/>
      <c r="F6" s="316"/>
      <c r="G6" s="315"/>
    </row>
    <row r="7" spans="1:7">
      <c r="A7" s="315" t="s">
        <v>169</v>
      </c>
      <c r="B7" s="315" t="s">
        <v>170</v>
      </c>
      <c r="C7" s="315" t="s">
        <v>171</v>
      </c>
      <c r="D7" s="317">
        <v>46068</v>
      </c>
      <c r="E7" s="317">
        <v>46068</v>
      </c>
      <c r="F7" s="318" t="s">
        <v>163</v>
      </c>
      <c r="G7" s="315"/>
    </row>
    <row r="8" spans="1:7">
      <c r="A8" s="315"/>
      <c r="B8" s="315"/>
      <c r="C8" s="315"/>
      <c r="D8" s="316"/>
      <c r="E8" s="316"/>
      <c r="F8" s="316"/>
      <c r="G8" s="315"/>
    </row>
    <row r="9" spans="1:7">
      <c r="A9" s="315" t="s">
        <v>172</v>
      </c>
      <c r="B9" s="315" t="s">
        <v>173</v>
      </c>
      <c r="C9" s="315" t="s">
        <v>171</v>
      </c>
      <c r="D9" s="317">
        <v>46068</v>
      </c>
      <c r="E9" s="317">
        <v>46068</v>
      </c>
      <c r="F9" s="319" t="s">
        <v>163</v>
      </c>
      <c r="G9" s="315"/>
    </row>
    <row r="10" spans="1:7">
      <c r="A10" s="315"/>
      <c r="B10" s="315"/>
      <c r="C10" s="315"/>
      <c r="D10" s="316"/>
      <c r="E10" s="316"/>
      <c r="F10" s="316"/>
      <c r="G10" s="315"/>
    </row>
    <row r="11" spans="1:7">
      <c r="A11" s="315"/>
      <c r="B11" s="315"/>
      <c r="C11" s="315"/>
      <c r="D11" s="316"/>
      <c r="E11" s="316"/>
      <c r="F11" s="316"/>
      <c r="G11" s="315"/>
    </row>
    <row r="12" spans="1:7">
      <c r="A12" s="315"/>
      <c r="B12" s="315"/>
      <c r="C12" s="315"/>
      <c r="D12" s="316"/>
      <c r="E12" s="316"/>
      <c r="F12" s="316"/>
      <c r="G12" s="315"/>
    </row>
    <row r="13" spans="1:7">
      <c r="A13" s="315"/>
      <c r="B13" s="315"/>
      <c r="C13" s="315"/>
      <c r="D13" s="316"/>
      <c r="E13" s="316"/>
      <c r="F13" s="316"/>
      <c r="G13" s="315"/>
    </row>
    <row r="14" spans="1:7">
      <c r="A14" s="315"/>
      <c r="B14" s="315"/>
      <c r="C14" s="315"/>
      <c r="D14" s="316"/>
      <c r="E14" s="316"/>
      <c r="F14" s="316"/>
      <c r="G14" s="315"/>
    </row>
    <row r="15" spans="1:7">
      <c r="A15" s="315"/>
      <c r="B15" s="315"/>
      <c r="C15" s="315"/>
      <c r="D15" s="316"/>
      <c r="E15" s="316"/>
      <c r="F15" s="316"/>
      <c r="G15" s="315"/>
    </row>
    <row r="16" spans="1:7">
      <c r="A16" s="315"/>
      <c r="B16" s="315"/>
      <c r="C16" s="315"/>
      <c r="D16" s="316"/>
      <c r="E16" s="316"/>
      <c r="F16" s="316"/>
      <c r="G16" s="315"/>
    </row>
    <row r="17" spans="1:7">
      <c r="A17" s="315"/>
      <c r="B17" s="315"/>
      <c r="C17" s="315"/>
      <c r="D17" s="316"/>
      <c r="E17" s="316"/>
      <c r="F17" s="316"/>
      <c r="G17" s="315"/>
    </row>
    <row r="18" spans="1:7">
      <c r="A18" s="315"/>
      <c r="B18" s="315"/>
      <c r="C18" s="315"/>
      <c r="D18" s="316"/>
      <c r="E18" s="316"/>
      <c r="F18" s="316"/>
      <c r="G18" s="315"/>
    </row>
    <row r="19" spans="1:7">
      <c r="A19" s="315"/>
      <c r="B19" s="315"/>
      <c r="C19" s="315"/>
      <c r="D19" s="316"/>
      <c r="E19" s="316"/>
      <c r="F19" s="316"/>
      <c r="G19" s="315"/>
    </row>
    <row r="20" spans="1:7">
      <c r="A20" s="315"/>
      <c r="B20" s="315"/>
      <c r="C20" s="315"/>
      <c r="D20" s="316"/>
      <c r="E20" s="316"/>
      <c r="F20" s="316"/>
      <c r="G20" s="315"/>
    </row>
    <row r="21" spans="1:7">
      <c r="A21" s="315"/>
      <c r="B21" s="315"/>
      <c r="C21" s="315"/>
      <c r="D21" s="316"/>
      <c r="E21" s="316"/>
      <c r="F21" s="316"/>
      <c r="G21" s="315"/>
    </row>
    <row r="22" spans="1:7">
      <c r="A22" s="315"/>
      <c r="B22" s="315"/>
      <c r="C22" s="315"/>
      <c r="D22" s="316"/>
      <c r="E22" s="316"/>
      <c r="F22" s="316"/>
      <c r="G22" s="315"/>
    </row>
    <row r="23" spans="1:7">
      <c r="A23" s="315"/>
      <c r="B23" s="315"/>
      <c r="C23" s="315"/>
      <c r="D23" s="316"/>
      <c r="E23" s="316"/>
      <c r="F23" s="316"/>
      <c r="G23" s="315"/>
    </row>
    <row r="24" spans="1:7">
      <c r="A24" s="315"/>
      <c r="B24" s="315"/>
      <c r="C24" s="315"/>
      <c r="D24" s="316"/>
      <c r="E24" s="316"/>
      <c r="F24" s="316"/>
      <c r="G24" s="315"/>
    </row>
    <row r="25" spans="1:7">
      <c r="A25" s="315"/>
      <c r="B25" s="315"/>
      <c r="C25" s="315"/>
      <c r="D25" s="316"/>
      <c r="E25" s="316"/>
      <c r="F25" s="316"/>
      <c r="G25" s="315"/>
    </row>
    <row r="26" spans="1:7">
      <c r="A26" s="315"/>
      <c r="B26" s="315"/>
      <c r="C26" s="315"/>
      <c r="D26" s="316"/>
      <c r="E26" s="316"/>
      <c r="F26" s="316"/>
      <c r="G26" s="315"/>
    </row>
    <row r="27" spans="1:7">
      <c r="A27" s="315"/>
      <c r="B27" s="315"/>
      <c r="C27" s="315"/>
      <c r="D27" s="316"/>
      <c r="E27" s="316"/>
      <c r="F27" s="316"/>
      <c r="G27" s="315"/>
    </row>
    <row r="28" spans="1:7">
      <c r="A28" s="315"/>
      <c r="B28" s="315"/>
      <c r="C28" s="315"/>
      <c r="D28" s="316"/>
      <c r="E28" s="316"/>
      <c r="F28" s="316"/>
      <c r="G28" s="315"/>
    </row>
    <row r="29" spans="1:7">
      <c r="A29" s="315"/>
      <c r="B29" s="315"/>
      <c r="C29" s="315"/>
      <c r="D29" s="316"/>
      <c r="E29" s="316"/>
      <c r="F29" s="316"/>
      <c r="G29" s="315"/>
    </row>
    <row r="30" spans="1:7">
      <c r="A30" s="315"/>
      <c r="B30" s="315"/>
      <c r="C30" s="315"/>
      <c r="D30" s="316"/>
      <c r="E30" s="316"/>
      <c r="F30" s="316"/>
      <c r="G30" s="315"/>
    </row>
    <row r="31" spans="1:7">
      <c r="A31" s="315"/>
      <c r="B31" s="315"/>
      <c r="C31" s="315"/>
      <c r="D31" s="316"/>
      <c r="E31" s="316"/>
      <c r="F31" s="316"/>
      <c r="G31" s="315"/>
    </row>
    <row r="32" spans="1:7">
      <c r="A32" s="315"/>
      <c r="B32" s="315"/>
      <c r="C32" s="315"/>
      <c r="D32" s="316"/>
      <c r="E32" s="316"/>
      <c r="F32" s="316"/>
      <c r="G32" s="315"/>
    </row>
    <row r="33" spans="1:7">
      <c r="A33" s="315"/>
      <c r="B33" s="315"/>
      <c r="C33" s="315"/>
      <c r="D33" s="316"/>
      <c r="E33" s="316"/>
      <c r="F33" s="316"/>
      <c r="G33" s="315"/>
    </row>
    <row r="34" spans="1:7">
      <c r="A34" s="315"/>
      <c r="B34" s="315"/>
      <c r="C34" s="315"/>
      <c r="D34" s="316"/>
      <c r="E34" s="316"/>
      <c r="F34" s="316"/>
      <c r="G34" s="3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25EB-1AD3-9140-9D09-55D484E9D0C0}">
  <dimension ref="A1:M53"/>
  <sheetViews>
    <sheetView zoomScale="120" zoomScaleNormal="120" workbookViewId="0">
      <selection activeCell="B8" sqref="B8"/>
    </sheetView>
  </sheetViews>
  <sheetFormatPr defaultColWidth="0" defaultRowHeight="15.6"/>
  <cols>
    <col min="1" max="1" width="20.25" customWidth="1"/>
    <col min="2" max="2" width="15.75" customWidth="1"/>
    <col min="3" max="3" width="14.25" customWidth="1"/>
    <col min="4" max="6" width="16" customWidth="1"/>
    <col min="7" max="7" width="5.25" customWidth="1"/>
    <col min="8" max="8" width="19.5" customWidth="1"/>
    <col min="9" max="12" width="14.75" customWidth="1"/>
    <col min="13" max="13" width="6.25" style="112" customWidth="1"/>
  </cols>
  <sheetData>
    <row r="1" spans="1:13">
      <c r="A1" s="514" t="s">
        <v>174</v>
      </c>
      <c r="B1" s="514"/>
      <c r="C1" s="514"/>
      <c r="D1" s="145" t="s">
        <v>139</v>
      </c>
      <c r="E1" s="112"/>
      <c r="F1" s="112"/>
      <c r="G1" s="112"/>
      <c r="H1" s="112"/>
      <c r="I1" s="112"/>
      <c r="J1" s="112"/>
      <c r="K1" s="112"/>
      <c r="L1" s="112"/>
    </row>
    <row r="2" spans="1:13">
      <c r="A2" s="520" t="s">
        <v>175</v>
      </c>
      <c r="B2" s="520"/>
      <c r="C2" s="520"/>
      <c r="D2" s="112" t="s">
        <v>176</v>
      </c>
      <c r="E2" s="112"/>
      <c r="F2" s="112"/>
      <c r="G2" s="112"/>
      <c r="H2" s="112"/>
      <c r="I2" s="112"/>
      <c r="J2" s="112"/>
      <c r="K2" s="112"/>
      <c r="L2" s="112"/>
    </row>
    <row r="3" spans="1:13">
      <c r="A3" s="520" t="s">
        <v>177</v>
      </c>
      <c r="B3" s="520"/>
      <c r="C3" s="520"/>
      <c r="D3" s="112" t="s">
        <v>178</v>
      </c>
      <c r="E3" s="112"/>
      <c r="F3" s="112"/>
      <c r="G3" s="112"/>
      <c r="H3" s="112"/>
      <c r="I3" s="112"/>
      <c r="J3" s="112"/>
      <c r="K3" s="112"/>
      <c r="L3" s="112"/>
    </row>
    <row r="4" spans="1:13">
      <c r="A4" s="520" t="s">
        <v>179</v>
      </c>
      <c r="B4" s="520"/>
      <c r="C4" s="520"/>
      <c r="D4" s="112" t="s">
        <v>180</v>
      </c>
      <c r="E4" s="112"/>
      <c r="F4" s="112"/>
      <c r="G4" s="112"/>
      <c r="H4" s="112"/>
      <c r="I4" s="112"/>
      <c r="J4" s="112"/>
      <c r="K4" s="112"/>
      <c r="L4" s="112"/>
    </row>
    <row r="5" spans="1:13" ht="16.149999999999999" thickBot="1">
      <c r="A5" s="144"/>
      <c r="B5" s="144"/>
      <c r="C5" s="144"/>
      <c r="D5" s="112"/>
      <c r="E5" s="112"/>
      <c r="F5" s="112"/>
      <c r="G5" s="112"/>
      <c r="H5" s="112"/>
      <c r="I5" s="112"/>
      <c r="J5" s="112"/>
      <c r="K5" s="112"/>
      <c r="L5" s="112"/>
    </row>
    <row r="6" spans="1:13" s="109" customFormat="1" ht="35.25" customHeight="1" thickBot="1">
      <c r="A6" s="515" t="s">
        <v>181</v>
      </c>
      <c r="B6" s="516"/>
      <c r="C6" s="517"/>
      <c r="D6" s="517"/>
      <c r="E6" s="518"/>
      <c r="F6" s="519"/>
      <c r="G6" s="111"/>
      <c r="H6" s="515" t="s">
        <v>182</v>
      </c>
      <c r="I6" s="517"/>
      <c r="J6" s="517"/>
      <c r="K6" s="518"/>
      <c r="L6" s="519"/>
      <c r="M6" s="113"/>
    </row>
    <row r="7" spans="1:13" ht="35.25" customHeight="1">
      <c r="A7" s="115" t="s">
        <v>183</v>
      </c>
      <c r="B7" s="165" t="s">
        <v>184</v>
      </c>
      <c r="C7" s="110" t="s">
        <v>185</v>
      </c>
      <c r="D7" s="110" t="s">
        <v>186</v>
      </c>
      <c r="E7" s="137" t="s">
        <v>187</v>
      </c>
      <c r="F7" s="114" t="s">
        <v>188</v>
      </c>
      <c r="G7" s="112"/>
      <c r="H7" s="134" t="s">
        <v>183</v>
      </c>
      <c r="I7" s="135" t="s">
        <v>185</v>
      </c>
      <c r="J7" s="135" t="s">
        <v>189</v>
      </c>
      <c r="K7" s="141" t="s">
        <v>187</v>
      </c>
      <c r="L7" s="136" t="s">
        <v>188</v>
      </c>
    </row>
    <row r="8" spans="1:13" ht="20.25" customHeight="1">
      <c r="A8" s="118" t="s">
        <v>190</v>
      </c>
      <c r="B8" s="166">
        <v>0</v>
      </c>
      <c r="C8" s="119">
        <v>0</v>
      </c>
      <c r="D8" s="119">
        <v>27</v>
      </c>
      <c r="E8" s="138">
        <v>2</v>
      </c>
      <c r="F8" s="120" t="s">
        <v>180</v>
      </c>
      <c r="G8" s="112"/>
      <c r="H8" s="127" t="s">
        <v>190</v>
      </c>
      <c r="I8" s="116"/>
      <c r="J8" s="116"/>
      <c r="K8" s="142"/>
      <c r="L8" s="117"/>
    </row>
    <row r="9" spans="1:13" ht="20.25" customHeight="1">
      <c r="A9" s="121" t="s">
        <v>191</v>
      </c>
      <c r="B9" s="167">
        <v>0</v>
      </c>
      <c r="C9" s="122">
        <v>0</v>
      </c>
      <c r="D9" s="122">
        <v>27</v>
      </c>
      <c r="E9" s="139">
        <v>0</v>
      </c>
      <c r="F9" s="120" t="s">
        <v>180</v>
      </c>
      <c r="G9" s="112"/>
      <c r="H9" s="128" t="s">
        <v>191</v>
      </c>
      <c r="I9" s="170">
        <v>0</v>
      </c>
      <c r="J9" s="170">
        <v>0</v>
      </c>
      <c r="K9" s="171">
        <v>0</v>
      </c>
      <c r="L9" s="120" t="s">
        <v>180</v>
      </c>
    </row>
    <row r="10" spans="1:13" ht="20.25" customHeight="1">
      <c r="A10" s="121" t="s">
        <v>192</v>
      </c>
      <c r="B10" s="167">
        <v>0</v>
      </c>
      <c r="C10" s="122">
        <v>0</v>
      </c>
      <c r="D10" s="122">
        <v>24</v>
      </c>
      <c r="E10" s="139">
        <v>3</v>
      </c>
      <c r="F10" s="120" t="s">
        <v>180</v>
      </c>
      <c r="G10" s="112"/>
      <c r="H10" s="128" t="s">
        <v>192</v>
      </c>
      <c r="I10" s="170">
        <v>0</v>
      </c>
      <c r="J10" s="170">
        <v>0</v>
      </c>
      <c r="K10" s="171">
        <v>0</v>
      </c>
      <c r="L10" s="120" t="s">
        <v>180</v>
      </c>
    </row>
    <row r="11" spans="1:13" ht="20.25" customHeight="1">
      <c r="A11" s="339" t="s">
        <v>193</v>
      </c>
      <c r="B11" s="340"/>
      <c r="C11" s="341"/>
      <c r="D11" s="341"/>
      <c r="E11" s="342"/>
      <c r="F11" s="343"/>
      <c r="G11" s="112"/>
      <c r="H11" s="339" t="s">
        <v>193</v>
      </c>
      <c r="I11" s="340"/>
      <c r="J11" s="341"/>
      <c r="K11" s="341"/>
      <c r="L11" s="344"/>
    </row>
    <row r="12" spans="1:13" ht="20.25" customHeight="1">
      <c r="A12" s="339" t="s">
        <v>194</v>
      </c>
      <c r="B12" s="340"/>
      <c r="C12" s="341"/>
      <c r="D12" s="341"/>
      <c r="E12" s="342"/>
      <c r="F12" s="343"/>
      <c r="G12" s="112"/>
      <c r="H12" s="339" t="s">
        <v>194</v>
      </c>
      <c r="I12" s="340"/>
      <c r="J12" s="341"/>
      <c r="K12" s="341"/>
      <c r="L12" s="344"/>
    </row>
    <row r="13" spans="1:13" ht="20.25" customHeight="1">
      <c r="A13" s="121" t="s">
        <v>195</v>
      </c>
      <c r="B13" s="167">
        <v>0</v>
      </c>
      <c r="C13" s="122">
        <v>0</v>
      </c>
      <c r="D13" s="122">
        <v>23</v>
      </c>
      <c r="E13" s="139">
        <v>1</v>
      </c>
      <c r="F13" s="120" t="s">
        <v>180</v>
      </c>
      <c r="G13" s="112"/>
      <c r="H13" s="128" t="s">
        <v>195</v>
      </c>
      <c r="I13" s="170">
        <v>0</v>
      </c>
      <c r="J13" s="170">
        <v>0</v>
      </c>
      <c r="K13" s="171">
        <v>0</v>
      </c>
      <c r="L13" s="120" t="s">
        <v>180</v>
      </c>
    </row>
    <row r="14" spans="1:13" ht="20.25" customHeight="1">
      <c r="A14" s="121" t="s">
        <v>196</v>
      </c>
      <c r="B14" s="167">
        <v>0</v>
      </c>
      <c r="C14" s="122">
        <v>0</v>
      </c>
      <c r="D14" s="122">
        <v>18</v>
      </c>
      <c r="E14" s="139">
        <v>5</v>
      </c>
      <c r="F14" s="120" t="s">
        <v>180</v>
      </c>
      <c r="G14" s="112"/>
      <c r="H14" s="128" t="s">
        <v>196</v>
      </c>
      <c r="I14" s="170">
        <v>0</v>
      </c>
      <c r="J14" s="170">
        <v>0</v>
      </c>
      <c r="K14" s="171">
        <v>0</v>
      </c>
      <c r="L14" s="120" t="s">
        <v>180</v>
      </c>
    </row>
    <row r="15" spans="1:13" ht="20.25" customHeight="1">
      <c r="A15" s="121" t="s">
        <v>197</v>
      </c>
      <c r="B15" s="167">
        <v>0</v>
      </c>
      <c r="C15" s="122">
        <v>0</v>
      </c>
      <c r="D15" s="122">
        <v>16</v>
      </c>
      <c r="E15" s="139">
        <v>2</v>
      </c>
      <c r="F15" s="120" t="s">
        <v>180</v>
      </c>
      <c r="G15" s="112"/>
      <c r="H15" s="128" t="s">
        <v>197</v>
      </c>
      <c r="I15" s="170">
        <v>0</v>
      </c>
      <c r="J15" s="170">
        <v>0</v>
      </c>
      <c r="K15" s="171">
        <v>0</v>
      </c>
      <c r="L15" s="120" t="s">
        <v>180</v>
      </c>
    </row>
    <row r="16" spans="1:13" ht="20.25" customHeight="1">
      <c r="A16" s="121" t="s">
        <v>198</v>
      </c>
      <c r="B16" s="167">
        <v>0</v>
      </c>
      <c r="C16" s="122">
        <v>0</v>
      </c>
      <c r="D16" s="122">
        <v>15</v>
      </c>
      <c r="E16" s="139">
        <v>1</v>
      </c>
      <c r="F16" s="120" t="s">
        <v>180</v>
      </c>
      <c r="G16" s="112"/>
      <c r="H16" s="128" t="s">
        <v>198</v>
      </c>
      <c r="I16" s="170">
        <v>0</v>
      </c>
      <c r="J16" s="170">
        <v>0</v>
      </c>
      <c r="K16" s="171">
        <v>0</v>
      </c>
      <c r="L16" s="120" t="s">
        <v>180</v>
      </c>
    </row>
    <row r="17" spans="1:12" ht="22.5" customHeight="1">
      <c r="A17" s="123" t="s">
        <v>199</v>
      </c>
      <c r="B17" s="167">
        <v>0</v>
      </c>
      <c r="C17" s="122">
        <v>0</v>
      </c>
      <c r="D17" s="124">
        <v>13</v>
      </c>
      <c r="E17" s="140">
        <v>0</v>
      </c>
      <c r="F17" s="120" t="s">
        <v>180</v>
      </c>
      <c r="G17" s="112"/>
      <c r="H17" s="131" t="s">
        <v>199</v>
      </c>
      <c r="I17" s="170">
        <v>0</v>
      </c>
      <c r="J17" s="170">
        <v>0</v>
      </c>
      <c r="K17" s="171">
        <v>0</v>
      </c>
      <c r="L17" s="120" t="s">
        <v>180</v>
      </c>
    </row>
    <row r="18" spans="1:12" ht="22.5" customHeight="1">
      <c r="A18" s="339" t="s">
        <v>200</v>
      </c>
      <c r="B18" s="345"/>
      <c r="C18" s="346"/>
      <c r="D18" s="346"/>
      <c r="E18" s="347"/>
      <c r="F18" s="348"/>
      <c r="G18" s="112"/>
      <c r="H18" s="339" t="s">
        <v>200</v>
      </c>
      <c r="I18" s="350"/>
      <c r="J18" s="350"/>
      <c r="K18" s="351"/>
      <c r="L18" s="352"/>
    </row>
    <row r="19" spans="1:12" s="112" customFormat="1" ht="22.5" customHeight="1">
      <c r="A19" s="339" t="s">
        <v>201</v>
      </c>
      <c r="B19" s="345"/>
      <c r="C19" s="346"/>
      <c r="D19" s="346"/>
      <c r="E19" s="347"/>
      <c r="F19" s="348"/>
      <c r="H19" s="339" t="s">
        <v>201</v>
      </c>
      <c r="I19" s="350"/>
      <c r="J19" s="350"/>
      <c r="K19" s="351"/>
      <c r="L19" s="352"/>
    </row>
    <row r="20" spans="1:12" s="112" customFormat="1" ht="22.5" customHeight="1">
      <c r="A20" s="121" t="s">
        <v>202</v>
      </c>
      <c r="B20" s="167">
        <v>0</v>
      </c>
      <c r="C20" s="122">
        <v>0</v>
      </c>
      <c r="D20" s="124">
        <v>13</v>
      </c>
      <c r="E20" s="140">
        <v>0</v>
      </c>
      <c r="F20" s="120" t="s">
        <v>180</v>
      </c>
      <c r="H20" s="121" t="s">
        <v>202</v>
      </c>
      <c r="I20" s="170">
        <v>0</v>
      </c>
      <c r="J20" s="170">
        <v>0</v>
      </c>
      <c r="K20" s="171">
        <v>0</v>
      </c>
      <c r="L20" s="120" t="s">
        <v>180</v>
      </c>
    </row>
    <row r="21" spans="1:12" s="112" customFormat="1" ht="22.5" customHeight="1">
      <c r="A21" s="121" t="s">
        <v>203</v>
      </c>
      <c r="B21" s="168" t="s">
        <v>204</v>
      </c>
      <c r="C21" s="122">
        <v>0</v>
      </c>
      <c r="D21" s="124">
        <v>11</v>
      </c>
      <c r="E21" s="140">
        <v>2</v>
      </c>
      <c r="F21" s="120" t="s">
        <v>180</v>
      </c>
      <c r="H21" s="121" t="s">
        <v>203</v>
      </c>
      <c r="I21" s="170">
        <v>0</v>
      </c>
      <c r="J21" s="170">
        <v>0</v>
      </c>
      <c r="K21" s="171">
        <v>0</v>
      </c>
      <c r="L21" s="120" t="s">
        <v>180</v>
      </c>
    </row>
    <row r="22" spans="1:12" s="112" customFormat="1" ht="22.5" customHeight="1">
      <c r="A22" s="121" t="s">
        <v>205</v>
      </c>
      <c r="B22" s="168"/>
      <c r="C22" s="124"/>
      <c r="D22" s="124"/>
      <c r="E22" s="140"/>
      <c r="F22" s="125"/>
      <c r="H22" s="121" t="s">
        <v>205</v>
      </c>
      <c r="I22" s="168"/>
      <c r="J22" s="124"/>
      <c r="K22" s="124"/>
      <c r="L22" s="129"/>
    </row>
    <row r="23" spans="1:12" s="112" customFormat="1" ht="22.5" customHeight="1">
      <c r="A23" s="121" t="s">
        <v>206</v>
      </c>
      <c r="B23" s="168"/>
      <c r="C23" s="124"/>
      <c r="D23" s="124"/>
      <c r="E23" s="140"/>
      <c r="F23" s="125"/>
      <c r="H23" s="121" t="s">
        <v>206</v>
      </c>
      <c r="I23" s="168"/>
      <c r="J23" s="124"/>
      <c r="K23" s="124"/>
      <c r="L23" s="130"/>
    </row>
    <row r="24" spans="1:12" s="112" customFormat="1" ht="22.5" customHeight="1">
      <c r="A24" s="121" t="s">
        <v>207</v>
      </c>
      <c r="B24" s="168"/>
      <c r="C24" s="124"/>
      <c r="D24" s="124"/>
      <c r="E24" s="140"/>
      <c r="F24" s="125"/>
      <c r="H24" s="121" t="s">
        <v>207</v>
      </c>
      <c r="I24" s="168"/>
      <c r="J24" s="124"/>
      <c r="K24" s="124"/>
      <c r="L24" s="130"/>
    </row>
    <row r="25" spans="1:12" ht="22.5" customHeight="1">
      <c r="A25" s="349" t="s">
        <v>208</v>
      </c>
      <c r="B25" s="345"/>
      <c r="C25" s="346"/>
      <c r="D25" s="346"/>
      <c r="E25" s="347"/>
      <c r="F25" s="348"/>
      <c r="G25" s="112"/>
      <c r="H25" s="349" t="s">
        <v>208</v>
      </c>
      <c r="I25" s="345"/>
      <c r="J25" s="346"/>
      <c r="K25" s="346"/>
      <c r="L25" s="352"/>
    </row>
    <row r="26" spans="1:12" ht="22.5" customHeight="1">
      <c r="A26" s="354" t="s">
        <v>209</v>
      </c>
      <c r="B26" s="345"/>
      <c r="C26" s="346"/>
      <c r="D26" s="346"/>
      <c r="E26" s="347"/>
      <c r="F26" s="348"/>
      <c r="G26" s="112"/>
      <c r="H26" s="354" t="s">
        <v>209</v>
      </c>
      <c r="I26" s="345"/>
      <c r="J26" s="346"/>
      <c r="K26" s="346"/>
      <c r="L26" s="352"/>
    </row>
    <row r="27" spans="1:12" ht="22.5" customHeight="1">
      <c r="A27" s="353"/>
      <c r="B27" s="168"/>
      <c r="C27" s="124"/>
      <c r="D27" s="124"/>
      <c r="E27" s="140"/>
      <c r="F27" s="125"/>
      <c r="G27" s="112"/>
      <c r="H27" s="131"/>
      <c r="I27" s="132"/>
      <c r="J27" s="132"/>
      <c r="K27" s="143"/>
      <c r="L27" s="133"/>
    </row>
    <row r="28" spans="1:12" ht="22.5" customHeight="1">
      <c r="A28" s="353"/>
      <c r="B28" s="168"/>
      <c r="C28" s="124"/>
      <c r="D28" s="124"/>
      <c r="E28" s="140"/>
      <c r="F28" s="125"/>
      <c r="G28" s="112"/>
      <c r="H28" s="131"/>
      <c r="I28" s="132"/>
      <c r="J28" s="132"/>
      <c r="K28" s="143"/>
      <c r="L28" s="133"/>
    </row>
    <row r="29" spans="1:12" ht="22.5" customHeight="1">
      <c r="A29" s="353"/>
      <c r="B29" s="168"/>
      <c r="C29" s="124"/>
      <c r="D29" s="124"/>
      <c r="E29" s="140"/>
      <c r="F29" s="125"/>
      <c r="G29" s="112"/>
      <c r="H29" s="131"/>
      <c r="I29" s="132"/>
      <c r="J29" s="132"/>
      <c r="K29" s="143"/>
      <c r="L29" s="133"/>
    </row>
    <row r="30" spans="1:12" ht="22.5" customHeight="1">
      <c r="A30" s="123"/>
      <c r="B30" s="168"/>
      <c r="C30" s="124"/>
      <c r="D30" s="124"/>
      <c r="E30" s="140"/>
      <c r="F30" s="125"/>
      <c r="G30" s="112"/>
      <c r="H30" s="131"/>
      <c r="I30" s="132"/>
      <c r="J30" s="132"/>
      <c r="K30" s="143"/>
      <c r="L30" s="133"/>
    </row>
    <row r="31" spans="1:12" ht="22.5" customHeight="1">
      <c r="A31" s="123"/>
      <c r="B31" s="168"/>
      <c r="C31" s="124"/>
      <c r="D31" s="124"/>
      <c r="E31" s="140"/>
      <c r="F31" s="125"/>
      <c r="G31" s="112"/>
      <c r="H31" s="131"/>
      <c r="I31" s="132"/>
      <c r="J31" s="132"/>
      <c r="K31" s="143"/>
      <c r="L31" s="133"/>
    </row>
    <row r="32" spans="1:12" ht="22.5" customHeight="1">
      <c r="A32" s="123"/>
      <c r="B32" s="168"/>
      <c r="C32" s="124"/>
      <c r="D32" s="124"/>
      <c r="E32" s="140"/>
      <c r="F32" s="125"/>
      <c r="G32" s="112"/>
      <c r="H32" s="131"/>
      <c r="I32" s="132"/>
      <c r="J32" s="132"/>
      <c r="K32" s="143"/>
      <c r="L32" s="133"/>
    </row>
    <row r="33" spans="1:12" ht="22.5" customHeight="1">
      <c r="A33" s="123"/>
      <c r="B33" s="168"/>
      <c r="C33" s="124"/>
      <c r="D33" s="124"/>
      <c r="E33" s="140"/>
      <c r="F33" s="125"/>
      <c r="G33" s="112"/>
      <c r="H33" s="131"/>
      <c r="I33" s="132"/>
      <c r="J33" s="132"/>
      <c r="K33" s="143"/>
      <c r="L33" s="133"/>
    </row>
    <row r="34" spans="1:12" ht="22.5" customHeight="1">
      <c r="A34" s="123"/>
      <c r="B34" s="168"/>
      <c r="C34" s="124"/>
      <c r="D34" s="124"/>
      <c r="E34" s="140"/>
      <c r="F34" s="125"/>
      <c r="G34" s="112"/>
      <c r="H34" s="131"/>
      <c r="I34" s="132"/>
      <c r="J34" s="132"/>
      <c r="K34" s="143"/>
      <c r="L34" s="133"/>
    </row>
    <row r="35" spans="1:12" ht="22.5" customHeight="1">
      <c r="A35" s="123"/>
      <c r="B35" s="168"/>
      <c r="C35" s="124"/>
      <c r="D35" s="124"/>
      <c r="E35" s="140"/>
      <c r="F35" s="125"/>
      <c r="G35" s="112"/>
      <c r="H35" s="131"/>
      <c r="I35" s="132"/>
      <c r="J35" s="132"/>
      <c r="K35" s="143"/>
      <c r="L35" s="133"/>
    </row>
    <row r="36" spans="1:12" ht="22.5" customHeight="1">
      <c r="A36" s="123"/>
      <c r="B36" s="168"/>
      <c r="C36" s="124"/>
      <c r="D36" s="124"/>
      <c r="E36" s="140"/>
      <c r="F36" s="125"/>
      <c r="G36" s="112"/>
      <c r="H36" s="131"/>
      <c r="I36" s="132"/>
      <c r="J36" s="132"/>
      <c r="K36" s="143"/>
      <c r="L36" s="133"/>
    </row>
    <row r="37" spans="1:12" ht="22.5" customHeight="1">
      <c r="A37" s="123"/>
      <c r="B37" s="168"/>
      <c r="C37" s="124"/>
      <c r="D37" s="124"/>
      <c r="E37" s="140"/>
      <c r="F37" s="125"/>
      <c r="G37" s="112"/>
      <c r="H37" s="131"/>
      <c r="I37" s="132"/>
      <c r="J37" s="132"/>
      <c r="K37" s="143"/>
      <c r="L37" s="133"/>
    </row>
    <row r="38" spans="1:12" ht="22.5" customHeight="1">
      <c r="A38" s="123"/>
      <c r="B38" s="168"/>
      <c r="C38" s="124"/>
      <c r="D38" s="124"/>
      <c r="E38" s="140"/>
      <c r="F38" s="125"/>
      <c r="G38" s="112"/>
      <c r="H38" s="131"/>
      <c r="I38" s="132"/>
      <c r="J38" s="132"/>
      <c r="K38" s="143"/>
      <c r="L38" s="133"/>
    </row>
    <row r="39" spans="1:12" ht="22.5" customHeight="1">
      <c r="A39" s="123"/>
      <c r="B39" s="168"/>
      <c r="C39" s="124"/>
      <c r="D39" s="124"/>
      <c r="E39" s="140"/>
      <c r="F39" s="125"/>
      <c r="G39" s="112"/>
      <c r="H39" s="131"/>
      <c r="I39" s="132"/>
      <c r="J39" s="132"/>
      <c r="K39" s="143"/>
      <c r="L39" s="133"/>
    </row>
    <row r="40" spans="1:12" ht="22.5" customHeight="1">
      <c r="A40" s="123"/>
      <c r="B40" s="168"/>
      <c r="C40" s="124"/>
      <c r="D40" s="124"/>
      <c r="E40" s="140"/>
      <c r="F40" s="125"/>
      <c r="G40" s="112"/>
      <c r="H40" s="131"/>
      <c r="I40" s="132"/>
      <c r="J40" s="132"/>
      <c r="K40" s="143"/>
      <c r="L40" s="133"/>
    </row>
    <row r="41" spans="1:12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</row>
    <row r="42" spans="1:12">
      <c r="A42" s="126" t="s">
        <v>210</v>
      </c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</row>
    <row r="43" spans="1:12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</row>
    <row r="44" spans="1:12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</row>
    <row r="45" spans="1:12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</row>
    <row r="46" spans="1:12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</row>
    <row r="47" spans="1:12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</row>
    <row r="48" spans="1:12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</row>
    <row r="49" spans="1:12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</row>
    <row r="50" spans="1:12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</row>
    <row r="51" spans="1:12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</row>
    <row r="52" spans="1:12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</row>
    <row r="53" spans="1:12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</row>
  </sheetData>
  <mergeCells count="6">
    <mergeCell ref="A1:C1"/>
    <mergeCell ref="A6:F6"/>
    <mergeCell ref="H6:L6"/>
    <mergeCell ref="A2:C2"/>
    <mergeCell ref="A3:C3"/>
    <mergeCell ref="A4:C4"/>
  </mergeCells>
  <hyperlinks>
    <hyperlink ref="A42" r:id="rId1" xr:uid="{415D3F3C-0363-4799-8E81-BA8062F1C8F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EF43-D19B-9A42-B07A-069837B6B05A}">
  <sheetPr>
    <tabColor theme="6" tint="0.39997558519241921"/>
  </sheetPr>
  <dimension ref="A1:AD64"/>
  <sheetViews>
    <sheetView zoomScale="135" zoomScaleNormal="120" workbookViewId="0">
      <pane xSplit="1" topLeftCell="G1" activePane="topRight" state="frozen"/>
      <selection pane="topRight" activeCell="G1" sqref="G1:G1048576"/>
    </sheetView>
  </sheetViews>
  <sheetFormatPr defaultColWidth="0" defaultRowHeight="15.6" zeroHeight="1"/>
  <cols>
    <col min="1" max="1" width="37.25" style="31" customWidth="1"/>
    <col min="2" max="2" width="17.25" style="47" customWidth="1"/>
    <col min="3" max="3" width="37.5" style="31" customWidth="1"/>
    <col min="4" max="4" width="27" style="33" customWidth="1"/>
    <col min="5" max="5" width="3.25" customWidth="1"/>
    <col min="6" max="10" width="10.75" customWidth="1"/>
    <col min="11" max="11" width="3.25" customWidth="1"/>
    <col min="12" max="16" width="10.75" customWidth="1"/>
    <col min="17" max="17" width="3.25" customWidth="1"/>
    <col min="18" max="25" width="10.75" customWidth="1"/>
    <col min="26" max="26" width="3.25" customWidth="1"/>
    <col min="27" max="30" width="10.75" customWidth="1"/>
    <col min="31" max="36" width="11" customWidth="1"/>
  </cols>
  <sheetData>
    <row r="1" spans="1:30" ht="111" customHeight="1" thickBot="1">
      <c r="A1" s="206" t="s">
        <v>211</v>
      </c>
      <c r="B1" s="172" t="s">
        <v>2</v>
      </c>
      <c r="C1" s="206" t="s">
        <v>212</v>
      </c>
      <c r="D1" s="324" t="s">
        <v>213</v>
      </c>
      <c r="E1" s="368" t="s">
        <v>214</v>
      </c>
      <c r="F1" s="369" t="s">
        <v>93</v>
      </c>
      <c r="G1" s="370" t="s">
        <v>94</v>
      </c>
      <c r="H1" s="371" t="s">
        <v>53</v>
      </c>
      <c r="I1" s="371" t="s">
        <v>54</v>
      </c>
      <c r="J1" s="371" t="s">
        <v>57</v>
      </c>
      <c r="K1" s="368" t="s">
        <v>215</v>
      </c>
      <c r="L1" s="372" t="s">
        <v>22</v>
      </c>
      <c r="M1" s="373" t="s">
        <v>100</v>
      </c>
      <c r="N1" s="372" t="s">
        <v>35</v>
      </c>
      <c r="O1" s="373" t="s">
        <v>96</v>
      </c>
      <c r="P1" s="372" t="s">
        <v>26</v>
      </c>
      <c r="Q1" s="368" t="s">
        <v>216</v>
      </c>
      <c r="R1" s="372" t="s">
        <v>46</v>
      </c>
      <c r="S1" s="372" t="s">
        <v>63</v>
      </c>
      <c r="T1" s="372" t="s">
        <v>65</v>
      </c>
      <c r="U1" s="373" t="s">
        <v>99</v>
      </c>
      <c r="V1" s="372" t="s">
        <v>30</v>
      </c>
      <c r="W1" s="373" t="s">
        <v>102</v>
      </c>
      <c r="X1" s="372" t="s">
        <v>217</v>
      </c>
      <c r="Y1" s="373" t="s">
        <v>103</v>
      </c>
      <c r="Z1" s="368" t="s">
        <v>218</v>
      </c>
      <c r="AA1" s="372" t="s">
        <v>41</v>
      </c>
      <c r="AB1" s="372" t="s">
        <v>48</v>
      </c>
      <c r="AC1" s="372" t="s">
        <v>50</v>
      </c>
      <c r="AD1" s="372" t="s">
        <v>61</v>
      </c>
    </row>
    <row r="2" spans="1:30" ht="15.75" customHeight="1" thickBot="1">
      <c r="A2" s="239" t="s">
        <v>219</v>
      </c>
      <c r="B2" s="234"/>
      <c r="C2" s="235"/>
      <c r="D2" s="325"/>
      <c r="E2" s="248"/>
      <c r="F2" s="252"/>
      <c r="G2" s="252"/>
      <c r="H2" s="252"/>
      <c r="I2" s="252"/>
      <c r="J2" s="252"/>
      <c r="K2" s="248"/>
      <c r="L2" s="252"/>
      <c r="M2" s="252"/>
      <c r="N2" s="252"/>
      <c r="O2" s="252"/>
      <c r="P2" s="252"/>
      <c r="Q2" s="248"/>
      <c r="R2" s="252"/>
      <c r="S2" s="252"/>
      <c r="T2" s="252"/>
      <c r="U2" s="252"/>
      <c r="V2" s="252"/>
      <c r="W2" s="252"/>
      <c r="X2" s="252"/>
      <c r="Y2" s="252"/>
      <c r="Z2" s="248"/>
      <c r="AA2" s="252"/>
      <c r="AB2" s="252"/>
      <c r="AC2" s="252"/>
      <c r="AD2" s="253"/>
    </row>
    <row r="3" spans="1:30" ht="23.25" customHeight="1">
      <c r="A3" s="533" t="s">
        <v>220</v>
      </c>
      <c r="B3" s="540" t="s">
        <v>38</v>
      </c>
      <c r="C3" s="543" t="s">
        <v>221</v>
      </c>
      <c r="D3" s="326" t="s">
        <v>18</v>
      </c>
      <c r="E3" s="286"/>
      <c r="F3" s="284" t="s">
        <v>222</v>
      </c>
      <c r="G3" s="255" t="s">
        <v>222</v>
      </c>
      <c r="H3" s="256" t="s">
        <v>222</v>
      </c>
      <c r="I3" s="256" t="s">
        <v>222</v>
      </c>
      <c r="J3" s="257" t="s">
        <v>222</v>
      </c>
      <c r="K3" s="286"/>
      <c r="L3" s="258" t="s">
        <v>223</v>
      </c>
      <c r="M3" s="259" t="s">
        <v>224</v>
      </c>
      <c r="N3" s="259" t="s">
        <v>224</v>
      </c>
      <c r="O3" s="255" t="s">
        <v>223</v>
      </c>
      <c r="P3" s="260" t="s">
        <v>223</v>
      </c>
      <c r="Q3" s="286"/>
      <c r="R3" s="261" t="s">
        <v>225</v>
      </c>
      <c r="S3" s="256" t="s">
        <v>225</v>
      </c>
      <c r="T3" s="256" t="s">
        <v>225</v>
      </c>
      <c r="U3" s="255" t="s">
        <v>225</v>
      </c>
      <c r="V3" s="255" t="s">
        <v>225</v>
      </c>
      <c r="W3" s="255" t="s">
        <v>225</v>
      </c>
      <c r="X3" s="255" t="s">
        <v>226</v>
      </c>
      <c r="Y3" s="262" t="s">
        <v>225</v>
      </c>
      <c r="Z3" s="286"/>
      <c r="AA3" s="263" t="s">
        <v>227</v>
      </c>
      <c r="AB3" s="256" t="s">
        <v>227</v>
      </c>
      <c r="AC3" s="256" t="s">
        <v>227</v>
      </c>
      <c r="AD3" s="264" t="s">
        <v>227</v>
      </c>
    </row>
    <row r="4" spans="1:30" ht="20.25" customHeight="1">
      <c r="A4" s="534"/>
      <c r="B4" s="541"/>
      <c r="C4" s="544"/>
      <c r="D4" s="327" t="s">
        <v>228</v>
      </c>
      <c r="E4" s="282"/>
      <c r="F4" s="251">
        <v>46015</v>
      </c>
      <c r="G4" s="240">
        <v>46015</v>
      </c>
      <c r="H4" s="241" t="s">
        <v>58</v>
      </c>
      <c r="I4" s="242">
        <v>46031</v>
      </c>
      <c r="J4" s="249" t="s">
        <v>58</v>
      </c>
      <c r="K4" s="282"/>
      <c r="L4" s="250">
        <v>46003</v>
      </c>
      <c r="M4" s="240">
        <v>46015</v>
      </c>
      <c r="N4" s="243">
        <v>46003</v>
      </c>
      <c r="O4" s="240">
        <v>46015</v>
      </c>
      <c r="P4" s="244">
        <v>46003</v>
      </c>
      <c r="Q4" s="282"/>
      <c r="R4" s="245">
        <v>46059</v>
      </c>
      <c r="S4" s="241" t="s">
        <v>58</v>
      </c>
      <c r="T4" s="241" t="s">
        <v>58</v>
      </c>
      <c r="U4" s="240">
        <v>46015</v>
      </c>
      <c r="V4" s="243">
        <v>46008</v>
      </c>
      <c r="W4" s="240">
        <v>46015</v>
      </c>
      <c r="X4" s="242">
        <v>46031</v>
      </c>
      <c r="Y4" s="309" t="s">
        <v>229</v>
      </c>
      <c r="Z4" s="282"/>
      <c r="AA4" s="247">
        <v>46045</v>
      </c>
      <c r="AB4" s="246">
        <v>46052</v>
      </c>
      <c r="AC4" s="242">
        <v>46031</v>
      </c>
      <c r="AD4" s="265" t="s">
        <v>58</v>
      </c>
    </row>
    <row r="5" spans="1:30" ht="20.25" customHeight="1">
      <c r="A5" s="534"/>
      <c r="B5" s="541"/>
      <c r="C5" s="544"/>
      <c r="D5" s="327" t="s">
        <v>230</v>
      </c>
      <c r="E5" s="282"/>
      <c r="F5" s="251">
        <v>46015</v>
      </c>
      <c r="G5" s="240">
        <v>46015</v>
      </c>
      <c r="H5" s="241" t="s">
        <v>58</v>
      </c>
      <c r="I5" s="242">
        <v>46031</v>
      </c>
      <c r="J5" s="249" t="s">
        <v>58</v>
      </c>
      <c r="K5" s="282"/>
      <c r="L5" s="250">
        <v>46003</v>
      </c>
      <c r="M5" s="240">
        <v>46015</v>
      </c>
      <c r="N5" s="243">
        <v>46003</v>
      </c>
      <c r="O5" s="240">
        <v>46015</v>
      </c>
      <c r="P5" s="244">
        <v>46003</v>
      </c>
      <c r="Q5" s="282"/>
      <c r="R5" s="245">
        <v>46059</v>
      </c>
      <c r="S5" s="241" t="s">
        <v>58</v>
      </c>
      <c r="T5" s="241" t="s">
        <v>58</v>
      </c>
      <c r="U5" s="240">
        <v>46015</v>
      </c>
      <c r="V5" s="243">
        <v>46008</v>
      </c>
      <c r="W5" s="240">
        <v>46015</v>
      </c>
      <c r="X5" s="242">
        <v>46031</v>
      </c>
      <c r="Y5" s="309" t="s">
        <v>229</v>
      </c>
      <c r="Z5" s="282"/>
      <c r="AA5" s="247">
        <v>46045</v>
      </c>
      <c r="AB5" s="246">
        <v>46052</v>
      </c>
      <c r="AC5" s="242">
        <v>46031</v>
      </c>
      <c r="AD5" s="265" t="s">
        <v>58</v>
      </c>
    </row>
    <row r="6" spans="1:30" ht="20.25" customHeight="1">
      <c r="A6" s="534"/>
      <c r="B6" s="541"/>
      <c r="C6" s="544"/>
      <c r="D6" s="327" t="s">
        <v>231</v>
      </c>
      <c r="E6" s="282"/>
      <c r="F6" s="251">
        <v>46015</v>
      </c>
      <c r="G6" s="240">
        <v>46015</v>
      </c>
      <c r="H6" s="241" t="s">
        <v>58</v>
      </c>
      <c r="I6" s="242">
        <v>46031</v>
      </c>
      <c r="J6" s="249" t="s">
        <v>58</v>
      </c>
      <c r="K6" s="282"/>
      <c r="L6" s="250">
        <v>46003</v>
      </c>
      <c r="M6" s="240">
        <v>46015</v>
      </c>
      <c r="N6" s="243">
        <v>46003</v>
      </c>
      <c r="O6" s="240">
        <v>46015</v>
      </c>
      <c r="P6" s="244">
        <v>46003</v>
      </c>
      <c r="Q6" s="282"/>
      <c r="R6" s="245">
        <v>46059</v>
      </c>
      <c r="S6" s="241" t="s">
        <v>58</v>
      </c>
      <c r="T6" s="241" t="s">
        <v>58</v>
      </c>
      <c r="U6" s="240">
        <v>46015</v>
      </c>
      <c r="V6" s="243">
        <v>46008</v>
      </c>
      <c r="W6" s="240">
        <v>46015</v>
      </c>
      <c r="X6" s="242">
        <v>46031</v>
      </c>
      <c r="Y6" s="309" t="s">
        <v>229</v>
      </c>
      <c r="Z6" s="282"/>
      <c r="AA6" s="247">
        <v>46045</v>
      </c>
      <c r="AB6" s="246">
        <v>46052</v>
      </c>
      <c r="AC6" s="242">
        <v>46031</v>
      </c>
      <c r="AD6" s="265" t="s">
        <v>58</v>
      </c>
    </row>
    <row r="7" spans="1:30" s="48" customFormat="1" ht="20.25" customHeight="1" thickBot="1">
      <c r="A7" s="535"/>
      <c r="B7" s="542"/>
      <c r="C7" s="545"/>
      <c r="D7" s="328" t="s">
        <v>232</v>
      </c>
      <c r="E7" s="283"/>
      <c r="F7" s="285">
        <v>46015</v>
      </c>
      <c r="G7" s="266">
        <v>46015</v>
      </c>
      <c r="H7" s="267" t="s">
        <v>58</v>
      </c>
      <c r="I7" s="268">
        <v>46031</v>
      </c>
      <c r="J7" s="269" t="s">
        <v>58</v>
      </c>
      <c r="K7" s="283"/>
      <c r="L7" s="270">
        <v>46003</v>
      </c>
      <c r="M7" s="266">
        <v>46015</v>
      </c>
      <c r="N7" s="271">
        <v>46003</v>
      </c>
      <c r="O7" s="266">
        <v>46015</v>
      </c>
      <c r="P7" s="272">
        <v>46003</v>
      </c>
      <c r="Q7" s="283"/>
      <c r="R7" s="273">
        <v>46059</v>
      </c>
      <c r="S7" s="267" t="s">
        <v>58</v>
      </c>
      <c r="T7" s="267" t="s">
        <v>58</v>
      </c>
      <c r="U7" s="266">
        <v>46015</v>
      </c>
      <c r="V7" s="271">
        <v>46008</v>
      </c>
      <c r="W7" s="266">
        <v>46015</v>
      </c>
      <c r="X7" s="268">
        <v>46031</v>
      </c>
      <c r="Y7" s="309" t="s">
        <v>229</v>
      </c>
      <c r="Z7" s="283"/>
      <c r="AA7" s="274">
        <v>46045</v>
      </c>
      <c r="AB7" s="275">
        <v>46052</v>
      </c>
      <c r="AC7" s="268">
        <v>46031</v>
      </c>
      <c r="AD7" s="276" t="s">
        <v>58</v>
      </c>
    </row>
    <row r="8" spans="1:30" ht="20.25" customHeight="1">
      <c r="A8" s="533" t="s">
        <v>233</v>
      </c>
      <c r="B8" s="540" t="s">
        <v>166</v>
      </c>
      <c r="C8" s="543" t="s">
        <v>234</v>
      </c>
      <c r="D8" s="326" t="s">
        <v>235</v>
      </c>
      <c r="E8" s="282"/>
      <c r="F8" s="277">
        <v>46030</v>
      </c>
      <c r="G8" s="210">
        <v>46030</v>
      </c>
      <c r="H8" s="210" t="s">
        <v>58</v>
      </c>
      <c r="I8" s="210">
        <v>46038</v>
      </c>
      <c r="J8" s="210" t="s">
        <v>58</v>
      </c>
      <c r="K8" s="282"/>
      <c r="L8" s="210">
        <v>46038</v>
      </c>
      <c r="M8" s="213">
        <v>46038</v>
      </c>
      <c r="N8" s="210">
        <v>46038</v>
      </c>
      <c r="O8" s="210">
        <v>46030</v>
      </c>
      <c r="P8" s="211">
        <v>46043</v>
      </c>
      <c r="Q8" s="282"/>
      <c r="R8" s="211">
        <v>44968</v>
      </c>
      <c r="S8" s="210" t="s">
        <v>58</v>
      </c>
      <c r="T8" s="210" t="s">
        <v>58</v>
      </c>
      <c r="U8" s="210">
        <v>46030</v>
      </c>
      <c r="V8" s="210">
        <v>46030</v>
      </c>
      <c r="W8" s="213">
        <v>46038</v>
      </c>
      <c r="X8" s="213">
        <v>46038</v>
      </c>
      <c r="Y8" s="211" t="s">
        <v>16</v>
      </c>
      <c r="Z8" s="282"/>
      <c r="AA8" s="211">
        <v>46052</v>
      </c>
      <c r="AB8" s="211">
        <v>46059</v>
      </c>
      <c r="AC8" s="210">
        <v>46036</v>
      </c>
      <c r="AD8" s="254" t="s">
        <v>58</v>
      </c>
    </row>
    <row r="9" spans="1:30" ht="20.25" customHeight="1">
      <c r="A9" s="534"/>
      <c r="B9" s="541"/>
      <c r="C9" s="544"/>
      <c r="D9" s="327" t="s">
        <v>236</v>
      </c>
      <c r="E9" s="282"/>
      <c r="F9" s="278" t="s">
        <v>16</v>
      </c>
      <c r="G9" s="86" t="s">
        <v>16</v>
      </c>
      <c r="H9" s="86" t="s">
        <v>16</v>
      </c>
      <c r="I9" s="86" t="s">
        <v>16</v>
      </c>
      <c r="J9" s="86" t="s">
        <v>16</v>
      </c>
      <c r="K9" s="282"/>
      <c r="L9" s="86" t="s">
        <v>16</v>
      </c>
      <c r="M9" s="86" t="s">
        <v>16</v>
      </c>
      <c r="N9" s="86" t="s">
        <v>16</v>
      </c>
      <c r="O9" s="86" t="s">
        <v>16</v>
      </c>
      <c r="P9" s="86" t="s">
        <v>16</v>
      </c>
      <c r="Q9" s="282"/>
      <c r="R9" s="86" t="s">
        <v>16</v>
      </c>
      <c r="S9" s="86" t="s">
        <v>16</v>
      </c>
      <c r="T9" s="86" t="s">
        <v>16</v>
      </c>
      <c r="U9" s="86" t="s">
        <v>16</v>
      </c>
      <c r="V9" s="86" t="s">
        <v>16</v>
      </c>
      <c r="W9" s="86" t="s">
        <v>16</v>
      </c>
      <c r="X9" s="86" t="s">
        <v>16</v>
      </c>
      <c r="Y9" s="86" t="s">
        <v>16</v>
      </c>
      <c r="Z9" s="282"/>
      <c r="AA9" s="86" t="s">
        <v>16</v>
      </c>
      <c r="AB9" s="86" t="s">
        <v>16</v>
      </c>
      <c r="AC9" s="86" t="s">
        <v>16</v>
      </c>
      <c r="AD9" s="221" t="s">
        <v>16</v>
      </c>
    </row>
    <row r="10" spans="1:30" ht="20.25" customHeight="1">
      <c r="A10" s="534"/>
      <c r="B10" s="541"/>
      <c r="C10" s="544"/>
      <c r="D10" s="327" t="s">
        <v>237</v>
      </c>
      <c r="E10" s="282"/>
      <c r="F10" s="279">
        <v>46031</v>
      </c>
      <c r="G10" s="87">
        <v>46031</v>
      </c>
      <c r="H10" s="87" t="s">
        <v>58</v>
      </c>
      <c r="I10" s="87">
        <v>46038</v>
      </c>
      <c r="J10" s="87" t="s">
        <v>58</v>
      </c>
      <c r="K10" s="282"/>
      <c r="L10" s="86">
        <v>46045</v>
      </c>
      <c r="M10" s="212">
        <f>M8+2</f>
        <v>46040</v>
      </c>
      <c r="N10" s="87">
        <v>46040</v>
      </c>
      <c r="O10" s="87">
        <v>46031</v>
      </c>
      <c r="P10" s="86">
        <v>46045</v>
      </c>
      <c r="Q10" s="282"/>
      <c r="R10" s="86">
        <v>44968</v>
      </c>
      <c r="S10" s="87" t="s">
        <v>58</v>
      </c>
      <c r="T10" s="87" t="s">
        <v>58</v>
      </c>
      <c r="U10" s="87">
        <v>46031</v>
      </c>
      <c r="V10" s="87">
        <v>46031</v>
      </c>
      <c r="W10" s="212">
        <f>W8+2</f>
        <v>46040</v>
      </c>
      <c r="X10" s="212">
        <v>46038</v>
      </c>
      <c r="Y10" s="86" t="s">
        <v>16</v>
      </c>
      <c r="Z10" s="282"/>
      <c r="AA10" s="86">
        <v>46052</v>
      </c>
      <c r="AB10" s="86">
        <v>46059</v>
      </c>
      <c r="AC10" s="87">
        <v>46038</v>
      </c>
      <c r="AD10" s="214" t="s">
        <v>58</v>
      </c>
    </row>
    <row r="11" spans="1:30" ht="20.25" customHeight="1" thickBot="1">
      <c r="A11" s="535"/>
      <c r="B11" s="542"/>
      <c r="C11" s="545"/>
      <c r="D11" s="329" t="s">
        <v>238</v>
      </c>
      <c r="E11" s="283"/>
      <c r="F11" s="280">
        <v>46031</v>
      </c>
      <c r="G11" s="215">
        <v>46031</v>
      </c>
      <c r="H11" s="215" t="s">
        <v>58</v>
      </c>
      <c r="I11" s="215">
        <v>46038</v>
      </c>
      <c r="J11" s="215" t="s">
        <v>58</v>
      </c>
      <c r="K11" s="283"/>
      <c r="L11" s="216">
        <v>46045</v>
      </c>
      <c r="M11" s="222">
        <f>M10</f>
        <v>46040</v>
      </c>
      <c r="N11" s="215">
        <v>46040</v>
      </c>
      <c r="O11" s="215">
        <v>46031</v>
      </c>
      <c r="P11" s="86">
        <v>46045</v>
      </c>
      <c r="Q11" s="283"/>
      <c r="R11" s="216">
        <v>44968</v>
      </c>
      <c r="S11" s="215" t="s">
        <v>58</v>
      </c>
      <c r="T11" s="215" t="s">
        <v>58</v>
      </c>
      <c r="U11" s="215">
        <v>46031</v>
      </c>
      <c r="V11" s="215">
        <v>46031</v>
      </c>
      <c r="W11" s="222">
        <f>W10</f>
        <v>46040</v>
      </c>
      <c r="X11" s="222">
        <v>46038</v>
      </c>
      <c r="Y11" s="216" t="s">
        <v>16</v>
      </c>
      <c r="Z11" s="283"/>
      <c r="AA11" s="216">
        <v>46052</v>
      </c>
      <c r="AB11" s="216">
        <v>46059</v>
      </c>
      <c r="AC11" s="215">
        <v>46038</v>
      </c>
      <c r="AD11" s="217" t="s">
        <v>58</v>
      </c>
    </row>
    <row r="12" spans="1:30" ht="16.149999999999999" thickBot="1">
      <c r="A12" s="239" t="s">
        <v>239</v>
      </c>
      <c r="B12" s="234"/>
      <c r="C12" s="235"/>
      <c r="D12" s="325"/>
      <c r="E12" s="288"/>
      <c r="F12" s="237"/>
      <c r="G12" s="237"/>
      <c r="H12" s="237"/>
      <c r="I12" s="237"/>
      <c r="J12" s="237"/>
      <c r="K12" s="236"/>
      <c r="L12" s="237"/>
      <c r="M12" s="237"/>
      <c r="N12" s="237"/>
      <c r="O12" s="237"/>
      <c r="P12" s="237"/>
      <c r="Q12" s="236"/>
      <c r="R12" s="237"/>
      <c r="S12" s="237"/>
      <c r="T12" s="237"/>
      <c r="U12" s="237"/>
      <c r="V12" s="237"/>
      <c r="W12" s="237"/>
      <c r="X12" s="237"/>
      <c r="Y12" s="237"/>
      <c r="Z12" s="236"/>
      <c r="AA12" s="237"/>
      <c r="AB12" s="237"/>
      <c r="AC12" s="237"/>
      <c r="AD12" s="238"/>
    </row>
    <row r="13" spans="1:30" ht="20.25" customHeight="1">
      <c r="A13" s="533" t="s">
        <v>240</v>
      </c>
      <c r="B13" s="540" t="s">
        <v>241</v>
      </c>
      <c r="C13" s="543" t="s">
        <v>242</v>
      </c>
      <c r="D13" s="326" t="s">
        <v>243</v>
      </c>
      <c r="E13" s="281"/>
      <c r="F13" s="287">
        <v>46031</v>
      </c>
      <c r="G13" s="218">
        <v>46031</v>
      </c>
      <c r="H13" s="218" t="s">
        <v>58</v>
      </c>
      <c r="I13" s="218" t="s">
        <v>58</v>
      </c>
      <c r="J13" s="218" t="s">
        <v>58</v>
      </c>
      <c r="K13" s="281"/>
      <c r="L13" s="219">
        <v>46052</v>
      </c>
      <c r="M13" s="219">
        <v>46045</v>
      </c>
      <c r="N13" s="219">
        <v>46045</v>
      </c>
      <c r="O13" s="219">
        <v>46038</v>
      </c>
      <c r="P13" s="219">
        <v>46045</v>
      </c>
      <c r="Q13" s="281"/>
      <c r="R13" s="219">
        <v>44970</v>
      </c>
      <c r="S13" s="218" t="s">
        <v>58</v>
      </c>
      <c r="T13" s="218" t="s">
        <v>58</v>
      </c>
      <c r="U13" s="219">
        <v>46045</v>
      </c>
      <c r="V13" s="219">
        <v>46042</v>
      </c>
      <c r="W13" s="219">
        <v>46045</v>
      </c>
      <c r="X13" s="219">
        <v>46045</v>
      </c>
      <c r="Y13" s="219">
        <v>46059</v>
      </c>
      <c r="Z13" s="281"/>
      <c r="AA13" s="219">
        <v>46059</v>
      </c>
      <c r="AB13" s="219">
        <v>46066</v>
      </c>
      <c r="AC13" s="219">
        <v>46065</v>
      </c>
      <c r="AD13" s="220" t="s">
        <v>58</v>
      </c>
    </row>
    <row r="14" spans="1:30" ht="20.25" customHeight="1">
      <c r="A14" s="534"/>
      <c r="B14" s="541"/>
      <c r="C14" s="544"/>
      <c r="D14" s="327" t="s">
        <v>244</v>
      </c>
      <c r="E14" s="282"/>
      <c r="F14" s="279">
        <v>46031</v>
      </c>
      <c r="G14" s="87">
        <v>46031</v>
      </c>
      <c r="H14" s="87" t="s">
        <v>58</v>
      </c>
      <c r="I14" s="87" t="s">
        <v>58</v>
      </c>
      <c r="J14" s="87" t="s">
        <v>58</v>
      </c>
      <c r="K14" s="282"/>
      <c r="L14" s="86">
        <v>46052</v>
      </c>
      <c r="M14" s="86">
        <v>46045</v>
      </c>
      <c r="N14" s="86">
        <v>46045</v>
      </c>
      <c r="O14" s="86">
        <v>46038</v>
      </c>
      <c r="P14" s="86">
        <v>46045</v>
      </c>
      <c r="Q14" s="282"/>
      <c r="R14" s="86">
        <v>44970</v>
      </c>
      <c r="S14" s="87" t="s">
        <v>58</v>
      </c>
      <c r="T14" s="87" t="s">
        <v>58</v>
      </c>
      <c r="U14" s="86">
        <v>46045</v>
      </c>
      <c r="V14" s="86">
        <v>46042</v>
      </c>
      <c r="W14" s="86">
        <v>46045</v>
      </c>
      <c r="X14" s="86">
        <v>46045</v>
      </c>
      <c r="Y14" s="86">
        <v>46059</v>
      </c>
      <c r="Z14" s="282"/>
      <c r="AA14" s="86">
        <v>46059</v>
      </c>
      <c r="AB14" s="86">
        <v>46066</v>
      </c>
      <c r="AC14" s="86">
        <v>46065</v>
      </c>
      <c r="AD14" s="214" t="s">
        <v>58</v>
      </c>
    </row>
    <row r="15" spans="1:30" ht="20.25" customHeight="1">
      <c r="A15" s="534"/>
      <c r="B15" s="541"/>
      <c r="C15" s="544"/>
      <c r="D15" s="327" t="s">
        <v>245</v>
      </c>
      <c r="E15" s="282"/>
      <c r="F15" s="279">
        <v>46031</v>
      </c>
      <c r="G15" s="87">
        <v>46031</v>
      </c>
      <c r="H15" s="87" t="s">
        <v>58</v>
      </c>
      <c r="I15" s="87" t="s">
        <v>58</v>
      </c>
      <c r="J15" s="87" t="s">
        <v>58</v>
      </c>
      <c r="K15" s="282"/>
      <c r="L15" s="86">
        <v>46052</v>
      </c>
      <c r="M15" s="86">
        <v>46045</v>
      </c>
      <c r="N15" s="86">
        <v>46045</v>
      </c>
      <c r="O15" s="86">
        <v>46038</v>
      </c>
      <c r="P15" s="86">
        <v>46045</v>
      </c>
      <c r="Q15" s="282"/>
      <c r="R15" s="86">
        <v>44970</v>
      </c>
      <c r="S15" s="87" t="s">
        <v>58</v>
      </c>
      <c r="T15" s="87" t="s">
        <v>58</v>
      </c>
      <c r="U15" s="86">
        <v>46045</v>
      </c>
      <c r="V15" s="86">
        <v>46042</v>
      </c>
      <c r="W15" s="86">
        <v>46045</v>
      </c>
      <c r="X15" s="86">
        <v>46045</v>
      </c>
      <c r="Y15" s="86">
        <v>46059</v>
      </c>
      <c r="Z15" s="282"/>
      <c r="AA15" s="86">
        <v>46059</v>
      </c>
      <c r="AB15" s="86">
        <v>46066</v>
      </c>
      <c r="AC15" s="86">
        <v>46065</v>
      </c>
      <c r="AD15" s="214" t="s">
        <v>58</v>
      </c>
    </row>
    <row r="16" spans="1:30" ht="20.25" customHeight="1" thickBot="1">
      <c r="A16" s="535"/>
      <c r="B16" s="542"/>
      <c r="C16" s="545"/>
      <c r="D16" s="329" t="s">
        <v>246</v>
      </c>
      <c r="E16" s="283"/>
      <c r="F16" s="280">
        <v>46031</v>
      </c>
      <c r="G16" s="215">
        <v>46031</v>
      </c>
      <c r="H16" s="215" t="s">
        <v>58</v>
      </c>
      <c r="I16" s="215" t="s">
        <v>58</v>
      </c>
      <c r="J16" s="215" t="s">
        <v>58</v>
      </c>
      <c r="K16" s="283"/>
      <c r="L16" s="216">
        <v>46052</v>
      </c>
      <c r="M16" s="216">
        <v>46045</v>
      </c>
      <c r="N16" s="216">
        <v>46045</v>
      </c>
      <c r="O16" s="216">
        <v>46038</v>
      </c>
      <c r="P16" s="216">
        <v>46045</v>
      </c>
      <c r="Q16" s="283"/>
      <c r="R16" s="216">
        <v>44970</v>
      </c>
      <c r="S16" s="215" t="s">
        <v>58</v>
      </c>
      <c r="T16" s="215" t="s">
        <v>58</v>
      </c>
      <c r="U16" s="216">
        <v>46045</v>
      </c>
      <c r="V16" s="216">
        <v>46042</v>
      </c>
      <c r="W16" s="216">
        <v>46045</v>
      </c>
      <c r="X16" s="216">
        <v>46045</v>
      </c>
      <c r="Y16" s="216">
        <v>46059</v>
      </c>
      <c r="Z16" s="283"/>
      <c r="AA16" s="216">
        <v>46059</v>
      </c>
      <c r="AB16" s="216">
        <v>46066</v>
      </c>
      <c r="AC16" s="216">
        <v>46065</v>
      </c>
      <c r="AD16" s="217" t="s">
        <v>58</v>
      </c>
    </row>
    <row r="17" spans="1:30" ht="20.25" customHeight="1">
      <c r="A17" s="533" t="s">
        <v>247</v>
      </c>
      <c r="B17" s="540" t="s">
        <v>241</v>
      </c>
      <c r="C17" s="543" t="s">
        <v>248</v>
      </c>
      <c r="D17" s="326" t="s">
        <v>249</v>
      </c>
      <c r="E17" s="282"/>
      <c r="F17" s="287">
        <v>46036</v>
      </c>
      <c r="G17" s="218">
        <v>46036</v>
      </c>
      <c r="H17" s="218" t="s">
        <v>58</v>
      </c>
      <c r="I17" s="218" t="s">
        <v>58</v>
      </c>
      <c r="J17" s="218" t="s">
        <v>58</v>
      </c>
      <c r="K17" s="282"/>
      <c r="L17" s="219">
        <v>46057</v>
      </c>
      <c r="M17" s="219">
        <v>46051</v>
      </c>
      <c r="N17" s="219">
        <v>46051</v>
      </c>
      <c r="O17" s="219">
        <v>46045</v>
      </c>
      <c r="P17" s="219">
        <v>46051</v>
      </c>
      <c r="Q17" s="282"/>
      <c r="R17" s="219">
        <v>44977</v>
      </c>
      <c r="S17" s="218" t="s">
        <v>58</v>
      </c>
      <c r="T17" s="218" t="s">
        <v>58</v>
      </c>
      <c r="U17" s="219">
        <v>45686</v>
      </c>
      <c r="V17" s="219">
        <v>46048</v>
      </c>
      <c r="W17" s="219">
        <v>45686</v>
      </c>
      <c r="X17" s="219">
        <v>45686</v>
      </c>
      <c r="Y17" s="219">
        <v>46065</v>
      </c>
      <c r="Z17" s="282"/>
      <c r="AA17" s="219">
        <v>46066</v>
      </c>
      <c r="AB17" s="219">
        <v>46073</v>
      </c>
      <c r="AC17" s="219">
        <v>46065</v>
      </c>
      <c r="AD17" s="220" t="s">
        <v>58</v>
      </c>
    </row>
    <row r="18" spans="1:30" ht="20.25" customHeight="1">
      <c r="A18" s="534"/>
      <c r="B18" s="541"/>
      <c r="C18" s="544"/>
      <c r="D18" s="327" t="s">
        <v>250</v>
      </c>
      <c r="E18" s="282"/>
      <c r="F18" s="279">
        <v>46036</v>
      </c>
      <c r="G18" s="87">
        <v>46036</v>
      </c>
      <c r="H18" s="87" t="s">
        <v>58</v>
      </c>
      <c r="I18" s="87" t="s">
        <v>58</v>
      </c>
      <c r="J18" s="87" t="s">
        <v>58</v>
      </c>
      <c r="K18" s="282"/>
      <c r="L18" s="86">
        <v>46057</v>
      </c>
      <c r="M18" s="86">
        <v>46051</v>
      </c>
      <c r="N18" s="86">
        <v>46051</v>
      </c>
      <c r="O18" s="86">
        <v>46045</v>
      </c>
      <c r="P18" s="86">
        <v>46051</v>
      </c>
      <c r="Q18" s="282"/>
      <c r="R18" s="86">
        <v>44977</v>
      </c>
      <c r="S18" s="87" t="s">
        <v>58</v>
      </c>
      <c r="T18" s="87" t="s">
        <v>58</v>
      </c>
      <c r="U18" s="86">
        <v>45686</v>
      </c>
      <c r="V18" s="86">
        <v>46048</v>
      </c>
      <c r="W18" s="86">
        <v>45686</v>
      </c>
      <c r="X18" s="86">
        <v>45686</v>
      </c>
      <c r="Y18" s="86">
        <v>46065</v>
      </c>
      <c r="Z18" s="282"/>
      <c r="AA18" s="86">
        <v>46066</v>
      </c>
      <c r="AB18" s="86">
        <v>46073</v>
      </c>
      <c r="AC18" s="86">
        <v>46065</v>
      </c>
      <c r="AD18" s="214" t="s">
        <v>58</v>
      </c>
    </row>
    <row r="19" spans="1:30" ht="20.25" customHeight="1">
      <c r="A19" s="534"/>
      <c r="B19" s="541"/>
      <c r="C19" s="544"/>
      <c r="D19" s="327" t="s">
        <v>251</v>
      </c>
      <c r="E19" s="282"/>
      <c r="F19" s="279">
        <v>46036</v>
      </c>
      <c r="G19" s="87">
        <v>46036</v>
      </c>
      <c r="H19" s="87" t="s">
        <v>58</v>
      </c>
      <c r="I19" s="87" t="s">
        <v>58</v>
      </c>
      <c r="J19" s="87" t="s">
        <v>58</v>
      </c>
      <c r="K19" s="282"/>
      <c r="L19" s="86">
        <v>46057</v>
      </c>
      <c r="M19" s="86">
        <v>46051</v>
      </c>
      <c r="N19" s="86">
        <v>46051</v>
      </c>
      <c r="O19" s="86">
        <v>46045</v>
      </c>
      <c r="P19" s="86">
        <v>46051</v>
      </c>
      <c r="Q19" s="282"/>
      <c r="R19" s="86">
        <v>44977</v>
      </c>
      <c r="S19" s="87" t="s">
        <v>58</v>
      </c>
      <c r="T19" s="87" t="s">
        <v>58</v>
      </c>
      <c r="U19" s="86">
        <v>45686</v>
      </c>
      <c r="V19" s="86">
        <v>46048</v>
      </c>
      <c r="W19" s="86">
        <v>45686</v>
      </c>
      <c r="X19" s="86">
        <v>45686</v>
      </c>
      <c r="Y19" s="86">
        <v>46065</v>
      </c>
      <c r="Z19" s="282"/>
      <c r="AA19" s="86">
        <v>46066</v>
      </c>
      <c r="AB19" s="86">
        <v>46073</v>
      </c>
      <c r="AC19" s="86">
        <v>46065</v>
      </c>
      <c r="AD19" s="214" t="s">
        <v>58</v>
      </c>
    </row>
    <row r="20" spans="1:30" ht="20.25" customHeight="1" thickBot="1">
      <c r="A20" s="535"/>
      <c r="B20" s="542"/>
      <c r="C20" s="545"/>
      <c r="D20" s="329" t="s">
        <v>252</v>
      </c>
      <c r="E20" s="282"/>
      <c r="F20" s="280">
        <v>46036</v>
      </c>
      <c r="G20" s="215">
        <v>46036</v>
      </c>
      <c r="H20" s="215" t="s">
        <v>58</v>
      </c>
      <c r="I20" s="215" t="s">
        <v>58</v>
      </c>
      <c r="J20" s="215" t="s">
        <v>58</v>
      </c>
      <c r="K20" s="282"/>
      <c r="L20" s="216">
        <v>46057</v>
      </c>
      <c r="M20" s="216">
        <v>46051</v>
      </c>
      <c r="N20" s="216">
        <v>46051</v>
      </c>
      <c r="O20" s="216">
        <v>46045</v>
      </c>
      <c r="P20" s="216">
        <v>46051</v>
      </c>
      <c r="Q20" s="282"/>
      <c r="R20" s="216">
        <v>44977</v>
      </c>
      <c r="S20" s="215" t="s">
        <v>58</v>
      </c>
      <c r="T20" s="215" t="s">
        <v>58</v>
      </c>
      <c r="U20" s="216">
        <v>45686</v>
      </c>
      <c r="V20" s="216">
        <v>46048</v>
      </c>
      <c r="W20" s="216">
        <v>45686</v>
      </c>
      <c r="X20" s="216">
        <v>45686</v>
      </c>
      <c r="Y20" s="216">
        <v>46065</v>
      </c>
      <c r="Z20" s="282"/>
      <c r="AA20" s="216">
        <v>46066</v>
      </c>
      <c r="AB20" s="216">
        <v>46073</v>
      </c>
      <c r="AC20" s="216">
        <v>46065</v>
      </c>
      <c r="AD20" s="217" t="s">
        <v>58</v>
      </c>
    </row>
    <row r="21" spans="1:30" ht="20.25" customHeight="1">
      <c r="A21" s="533" t="s">
        <v>253</v>
      </c>
      <c r="B21" s="540" t="s">
        <v>162</v>
      </c>
      <c r="C21" s="543" t="s">
        <v>254</v>
      </c>
      <c r="D21" s="326" t="s">
        <v>255</v>
      </c>
      <c r="E21" s="281"/>
      <c r="F21" s="287">
        <v>46038</v>
      </c>
      <c r="G21" s="218">
        <v>46038</v>
      </c>
      <c r="H21" s="218" t="s">
        <v>58</v>
      </c>
      <c r="I21" s="218" t="s">
        <v>58</v>
      </c>
      <c r="J21" s="218" t="s">
        <v>58</v>
      </c>
      <c r="K21" s="281"/>
      <c r="L21" s="219">
        <v>46059</v>
      </c>
      <c r="M21" s="219">
        <v>46051</v>
      </c>
      <c r="N21" s="219">
        <v>46051</v>
      </c>
      <c r="O21" s="219">
        <v>46045</v>
      </c>
      <c r="P21" s="219">
        <v>46051</v>
      </c>
      <c r="Q21" s="281"/>
      <c r="R21" s="219">
        <v>44980</v>
      </c>
      <c r="S21" s="218" t="s">
        <v>58</v>
      </c>
      <c r="T21" s="218" t="s">
        <v>58</v>
      </c>
      <c r="U21" s="219">
        <v>45686</v>
      </c>
      <c r="V21" s="219">
        <v>46048</v>
      </c>
      <c r="W21" s="219">
        <v>45686</v>
      </c>
      <c r="X21" s="219">
        <v>45686</v>
      </c>
      <c r="Y21" s="219">
        <v>46065</v>
      </c>
      <c r="Z21" s="281"/>
      <c r="AA21" s="219">
        <v>46066</v>
      </c>
      <c r="AB21" s="219">
        <v>46073</v>
      </c>
      <c r="AC21" s="219">
        <v>46065</v>
      </c>
      <c r="AD21" s="220" t="s">
        <v>58</v>
      </c>
    </row>
    <row r="22" spans="1:30" ht="20.25" customHeight="1">
      <c r="A22" s="534"/>
      <c r="B22" s="541"/>
      <c r="C22" s="544"/>
      <c r="D22" s="327" t="s">
        <v>256</v>
      </c>
      <c r="E22" s="282"/>
      <c r="F22" s="279">
        <v>46038</v>
      </c>
      <c r="G22" s="87">
        <v>46038</v>
      </c>
      <c r="H22" s="87" t="s">
        <v>58</v>
      </c>
      <c r="I22" s="87" t="s">
        <v>58</v>
      </c>
      <c r="J22" s="87" t="s">
        <v>58</v>
      </c>
      <c r="K22" s="282"/>
      <c r="L22" s="86">
        <v>46059</v>
      </c>
      <c r="M22" s="86">
        <v>46051</v>
      </c>
      <c r="N22" s="86">
        <v>46051</v>
      </c>
      <c r="O22" s="86">
        <v>46045</v>
      </c>
      <c r="P22" s="86">
        <v>46051</v>
      </c>
      <c r="Q22" s="282"/>
      <c r="R22" s="86">
        <v>44980</v>
      </c>
      <c r="S22" s="87" t="s">
        <v>58</v>
      </c>
      <c r="T22" s="87" t="s">
        <v>58</v>
      </c>
      <c r="U22" s="86">
        <v>45686</v>
      </c>
      <c r="V22" s="86">
        <v>46048</v>
      </c>
      <c r="W22" s="86">
        <v>45686</v>
      </c>
      <c r="X22" s="86">
        <v>45686</v>
      </c>
      <c r="Y22" s="86">
        <v>46065</v>
      </c>
      <c r="Z22" s="282"/>
      <c r="AA22" s="86">
        <v>46066</v>
      </c>
      <c r="AB22" s="86">
        <v>46073</v>
      </c>
      <c r="AC22" s="86">
        <v>46065</v>
      </c>
      <c r="AD22" s="214" t="s">
        <v>58</v>
      </c>
    </row>
    <row r="23" spans="1:30" ht="20.25" customHeight="1">
      <c r="A23" s="534"/>
      <c r="B23" s="541"/>
      <c r="C23" s="544"/>
      <c r="D23" s="327" t="s">
        <v>257</v>
      </c>
      <c r="E23" s="282"/>
      <c r="F23" s="279">
        <v>46038</v>
      </c>
      <c r="G23" s="87">
        <v>46038</v>
      </c>
      <c r="H23" s="87" t="s">
        <v>58</v>
      </c>
      <c r="I23" s="87" t="s">
        <v>58</v>
      </c>
      <c r="J23" s="87" t="s">
        <v>58</v>
      </c>
      <c r="K23" s="282"/>
      <c r="L23" s="86">
        <v>46059</v>
      </c>
      <c r="M23" s="86">
        <v>46051</v>
      </c>
      <c r="N23" s="86">
        <v>46051</v>
      </c>
      <c r="O23" s="86">
        <v>46045</v>
      </c>
      <c r="P23" s="86">
        <v>46051</v>
      </c>
      <c r="Q23" s="282"/>
      <c r="R23" s="86">
        <v>44980</v>
      </c>
      <c r="S23" s="87" t="s">
        <v>58</v>
      </c>
      <c r="T23" s="87" t="s">
        <v>58</v>
      </c>
      <c r="U23" s="86">
        <v>45686</v>
      </c>
      <c r="V23" s="86">
        <v>46048</v>
      </c>
      <c r="W23" s="86">
        <v>45686</v>
      </c>
      <c r="X23" s="86">
        <v>45686</v>
      </c>
      <c r="Y23" s="86">
        <v>46065</v>
      </c>
      <c r="Z23" s="282"/>
      <c r="AA23" s="86">
        <v>46066</v>
      </c>
      <c r="AB23" s="86">
        <v>46073</v>
      </c>
      <c r="AC23" s="86">
        <v>46065</v>
      </c>
      <c r="AD23" s="214" t="s">
        <v>58</v>
      </c>
    </row>
    <row r="24" spans="1:30" ht="20.25" customHeight="1" thickBot="1">
      <c r="A24" s="535"/>
      <c r="B24" s="542"/>
      <c r="C24" s="545"/>
      <c r="D24" s="329" t="s">
        <v>258</v>
      </c>
      <c r="E24" s="283"/>
      <c r="F24" s="280">
        <v>46038</v>
      </c>
      <c r="G24" s="215">
        <v>46038</v>
      </c>
      <c r="H24" s="215" t="s">
        <v>58</v>
      </c>
      <c r="I24" s="215" t="s">
        <v>58</v>
      </c>
      <c r="J24" s="215" t="s">
        <v>58</v>
      </c>
      <c r="K24" s="283"/>
      <c r="L24" s="216">
        <v>46059</v>
      </c>
      <c r="M24" s="216">
        <v>46051</v>
      </c>
      <c r="N24" s="216">
        <v>46051</v>
      </c>
      <c r="O24" s="216">
        <v>46045</v>
      </c>
      <c r="P24" s="216">
        <v>46051</v>
      </c>
      <c r="Q24" s="283"/>
      <c r="R24" s="216">
        <v>44980</v>
      </c>
      <c r="S24" s="215" t="s">
        <v>58</v>
      </c>
      <c r="T24" s="215" t="s">
        <v>58</v>
      </c>
      <c r="U24" s="216">
        <v>45686</v>
      </c>
      <c r="V24" s="216">
        <v>46048</v>
      </c>
      <c r="W24" s="216">
        <v>45686</v>
      </c>
      <c r="X24" s="216">
        <v>45686</v>
      </c>
      <c r="Y24" s="216">
        <v>46065</v>
      </c>
      <c r="Z24" s="283"/>
      <c r="AA24" s="216">
        <v>46066</v>
      </c>
      <c r="AB24" s="216">
        <v>46073</v>
      </c>
      <c r="AC24" s="216">
        <v>46065</v>
      </c>
      <c r="AD24" s="217" t="s">
        <v>58</v>
      </c>
    </row>
    <row r="25" spans="1:30" ht="20.25" customHeight="1">
      <c r="A25" s="533" t="s">
        <v>259</v>
      </c>
      <c r="B25" s="540" t="s">
        <v>260</v>
      </c>
      <c r="C25" s="543" t="s">
        <v>261</v>
      </c>
      <c r="D25" s="326" t="s">
        <v>262</v>
      </c>
      <c r="E25" s="282"/>
      <c r="F25" s="287">
        <v>46038</v>
      </c>
      <c r="G25" s="218">
        <v>46038</v>
      </c>
      <c r="H25" s="218">
        <v>46038</v>
      </c>
      <c r="I25" s="218">
        <v>46038</v>
      </c>
      <c r="J25" s="218">
        <v>46038</v>
      </c>
      <c r="K25" s="282"/>
      <c r="L25" s="219"/>
      <c r="M25" s="219"/>
      <c r="N25" s="219"/>
      <c r="O25" s="219"/>
      <c r="P25" s="219"/>
      <c r="Q25" s="282"/>
      <c r="R25" s="219"/>
      <c r="S25" s="219"/>
      <c r="T25" s="219"/>
      <c r="U25" s="219"/>
      <c r="V25" s="219"/>
      <c r="W25" s="219"/>
      <c r="X25" s="219"/>
      <c r="Y25" s="219"/>
      <c r="Z25" s="282"/>
      <c r="AA25" s="219"/>
      <c r="AB25" s="219"/>
      <c r="AC25" s="219"/>
      <c r="AD25" s="223"/>
    </row>
    <row r="26" spans="1:30" ht="20.25" customHeight="1">
      <c r="A26" s="534"/>
      <c r="B26" s="541"/>
      <c r="C26" s="544"/>
      <c r="D26" s="327" t="s">
        <v>263</v>
      </c>
      <c r="E26" s="282"/>
      <c r="F26" s="279">
        <v>46038</v>
      </c>
      <c r="G26" s="87">
        <v>46038</v>
      </c>
      <c r="H26" s="87">
        <v>46038</v>
      </c>
      <c r="I26" s="87">
        <v>46038</v>
      </c>
      <c r="J26" s="87">
        <v>46038</v>
      </c>
      <c r="K26" s="282"/>
      <c r="L26" s="86"/>
      <c r="M26" s="86"/>
      <c r="N26" s="86"/>
      <c r="O26" s="86"/>
      <c r="P26" s="86"/>
      <c r="Q26" s="282"/>
      <c r="R26" s="86"/>
      <c r="S26" s="86"/>
      <c r="T26" s="86"/>
      <c r="U26" s="86"/>
      <c r="V26" s="86"/>
      <c r="W26" s="86"/>
      <c r="X26" s="86"/>
      <c r="Y26" s="86"/>
      <c r="Z26" s="282"/>
      <c r="AA26" s="86"/>
      <c r="AB26" s="86"/>
      <c r="AC26" s="86"/>
      <c r="AD26" s="221"/>
    </row>
    <row r="27" spans="1:30" ht="20.25" customHeight="1">
      <c r="A27" s="534"/>
      <c r="B27" s="541"/>
      <c r="C27" s="544"/>
      <c r="D27" s="327" t="s">
        <v>264</v>
      </c>
      <c r="E27" s="282"/>
      <c r="F27" s="279">
        <v>46038</v>
      </c>
      <c r="G27" s="87">
        <v>46038</v>
      </c>
      <c r="H27" s="87">
        <v>46038</v>
      </c>
      <c r="I27" s="87">
        <v>46038</v>
      </c>
      <c r="J27" s="87">
        <v>46038</v>
      </c>
      <c r="K27" s="282"/>
      <c r="L27" s="86"/>
      <c r="M27" s="86"/>
      <c r="N27" s="86"/>
      <c r="O27" s="86"/>
      <c r="P27" s="86"/>
      <c r="Q27" s="282"/>
      <c r="R27" s="86"/>
      <c r="S27" s="86"/>
      <c r="T27" s="86"/>
      <c r="U27" s="86"/>
      <c r="V27" s="86"/>
      <c r="W27" s="86"/>
      <c r="X27" s="86"/>
      <c r="Y27" s="86"/>
      <c r="Z27" s="282"/>
      <c r="AA27" s="86"/>
      <c r="AB27" s="86"/>
      <c r="AC27" s="86"/>
      <c r="AD27" s="221"/>
    </row>
    <row r="28" spans="1:30" ht="20.25" customHeight="1" thickBot="1">
      <c r="A28" s="535"/>
      <c r="B28" s="542"/>
      <c r="C28" s="545"/>
      <c r="D28" s="329" t="s">
        <v>265</v>
      </c>
      <c r="E28" s="283"/>
      <c r="F28" s="280">
        <v>46038</v>
      </c>
      <c r="G28" s="215">
        <v>46038</v>
      </c>
      <c r="H28" s="215">
        <v>46038</v>
      </c>
      <c r="I28" s="215">
        <v>46038</v>
      </c>
      <c r="J28" s="215">
        <v>46038</v>
      </c>
      <c r="K28" s="283"/>
      <c r="L28" s="216"/>
      <c r="M28" s="216"/>
      <c r="N28" s="216"/>
      <c r="O28" s="216"/>
      <c r="P28" s="216"/>
      <c r="Q28" s="283"/>
      <c r="R28" s="216"/>
      <c r="S28" s="216"/>
      <c r="T28" s="216"/>
      <c r="U28" s="216"/>
      <c r="V28" s="216"/>
      <c r="W28" s="216"/>
      <c r="X28" s="216"/>
      <c r="Y28" s="216"/>
      <c r="Z28" s="283"/>
      <c r="AA28" s="216"/>
      <c r="AB28" s="216"/>
      <c r="AC28" s="216"/>
      <c r="AD28" s="224"/>
    </row>
    <row r="29" spans="1:30" ht="16.149999999999999" thickBot="1">
      <c r="A29" s="239" t="s">
        <v>266</v>
      </c>
      <c r="B29" s="234"/>
      <c r="C29" s="235"/>
      <c r="D29" s="325"/>
      <c r="E29" s="288"/>
      <c r="F29" s="237"/>
      <c r="G29" s="237"/>
      <c r="H29" s="237"/>
      <c r="I29" s="237"/>
      <c r="J29" s="237"/>
      <c r="K29" s="236"/>
      <c r="L29" s="237"/>
      <c r="M29" s="237"/>
      <c r="N29" s="237"/>
      <c r="O29" s="237"/>
      <c r="P29" s="237"/>
      <c r="Q29" s="236"/>
      <c r="R29" s="252"/>
      <c r="S29" s="252"/>
      <c r="T29" s="252"/>
      <c r="U29" s="252"/>
      <c r="V29" s="252"/>
      <c r="W29" s="252"/>
      <c r="X29" s="252"/>
      <c r="Y29" s="252"/>
      <c r="Z29" s="236"/>
      <c r="AA29" s="237"/>
      <c r="AB29" s="237"/>
      <c r="AC29" s="237"/>
      <c r="AD29" s="238"/>
    </row>
    <row r="30" spans="1:30" ht="20.25" customHeight="1">
      <c r="A30" s="527" t="s">
        <v>267</v>
      </c>
      <c r="B30" s="541" t="s">
        <v>166</v>
      </c>
      <c r="C30" s="546" t="s">
        <v>268</v>
      </c>
      <c r="D30" s="326" t="s">
        <v>269</v>
      </c>
      <c r="E30" s="290"/>
      <c r="F30" s="287">
        <v>46037</v>
      </c>
      <c r="G30" s="218">
        <v>46037</v>
      </c>
      <c r="H30" s="218">
        <v>46037</v>
      </c>
      <c r="I30" s="218">
        <v>46037</v>
      </c>
      <c r="J30" s="218">
        <v>46037</v>
      </c>
      <c r="K30" s="290"/>
      <c r="L30" s="219">
        <v>46045</v>
      </c>
      <c r="M30" s="219">
        <v>46045</v>
      </c>
      <c r="N30" s="219">
        <v>46045</v>
      </c>
      <c r="O30" s="219">
        <v>46045</v>
      </c>
      <c r="P30" s="219">
        <v>46045</v>
      </c>
      <c r="Q30" s="295"/>
      <c r="R30" s="299">
        <v>46058</v>
      </c>
      <c r="S30" s="300">
        <v>46058</v>
      </c>
      <c r="T30" s="300">
        <v>46058</v>
      </c>
      <c r="U30" s="300">
        <v>46058</v>
      </c>
      <c r="V30" s="300">
        <v>46058</v>
      </c>
      <c r="W30" s="300">
        <v>46058</v>
      </c>
      <c r="X30" s="300">
        <v>46058</v>
      </c>
      <c r="Y30" s="301">
        <v>46065</v>
      </c>
      <c r="Z30" s="290"/>
      <c r="AA30" s="219">
        <v>46072</v>
      </c>
      <c r="AB30" s="219">
        <v>46072</v>
      </c>
      <c r="AC30" s="219">
        <v>46072</v>
      </c>
      <c r="AD30" s="223">
        <v>46072</v>
      </c>
    </row>
    <row r="31" spans="1:30" ht="20.25" customHeight="1">
      <c r="A31" s="527"/>
      <c r="B31" s="541"/>
      <c r="C31" s="547"/>
      <c r="D31" s="327" t="s">
        <v>270</v>
      </c>
      <c r="E31" s="291"/>
      <c r="F31" s="279">
        <v>46037</v>
      </c>
      <c r="G31" s="87">
        <v>46037</v>
      </c>
      <c r="H31" s="87">
        <v>46037</v>
      </c>
      <c r="I31" s="87">
        <v>46037</v>
      </c>
      <c r="J31" s="87">
        <v>46037</v>
      </c>
      <c r="K31" s="291"/>
      <c r="L31" s="86">
        <v>46045</v>
      </c>
      <c r="M31" s="86">
        <v>46045</v>
      </c>
      <c r="N31" s="86">
        <v>46045</v>
      </c>
      <c r="O31" s="86">
        <v>46045</v>
      </c>
      <c r="P31" s="86">
        <v>46045</v>
      </c>
      <c r="Q31" s="296"/>
      <c r="R31" s="302">
        <v>46058</v>
      </c>
      <c r="S31" s="246">
        <v>46058</v>
      </c>
      <c r="T31" s="246">
        <v>46058</v>
      </c>
      <c r="U31" s="246">
        <v>46058</v>
      </c>
      <c r="V31" s="246">
        <v>46058</v>
      </c>
      <c r="W31" s="246">
        <v>46058</v>
      </c>
      <c r="X31" s="246">
        <v>46058</v>
      </c>
      <c r="Y31" s="303">
        <v>46065</v>
      </c>
      <c r="Z31" s="291"/>
      <c r="AA31" s="86">
        <v>46072</v>
      </c>
      <c r="AB31" s="86">
        <v>46072</v>
      </c>
      <c r="AC31" s="86">
        <v>46072</v>
      </c>
      <c r="AD31" s="221">
        <v>46072</v>
      </c>
    </row>
    <row r="32" spans="1:30" ht="20.25" customHeight="1">
      <c r="A32" s="527"/>
      <c r="B32" s="541"/>
      <c r="C32" s="547"/>
      <c r="D32" s="327" t="s">
        <v>271</v>
      </c>
      <c r="E32" s="291"/>
      <c r="F32" s="279">
        <v>46037</v>
      </c>
      <c r="G32" s="87">
        <v>46037</v>
      </c>
      <c r="H32" s="87">
        <v>46037</v>
      </c>
      <c r="I32" s="87">
        <v>46037</v>
      </c>
      <c r="J32" s="87">
        <v>46037</v>
      </c>
      <c r="K32" s="291"/>
      <c r="L32" s="86">
        <v>46045</v>
      </c>
      <c r="M32" s="86">
        <v>46045</v>
      </c>
      <c r="N32" s="86">
        <v>46045</v>
      </c>
      <c r="O32" s="86">
        <v>46045</v>
      </c>
      <c r="P32" s="86">
        <v>46045</v>
      </c>
      <c r="Q32" s="296"/>
      <c r="R32" s="302">
        <v>46058</v>
      </c>
      <c r="S32" s="246">
        <v>46058</v>
      </c>
      <c r="T32" s="246">
        <v>46058</v>
      </c>
      <c r="U32" s="246">
        <v>46058</v>
      </c>
      <c r="V32" s="246">
        <v>46058</v>
      </c>
      <c r="W32" s="246">
        <v>46058</v>
      </c>
      <c r="X32" s="246">
        <v>46058</v>
      </c>
      <c r="Y32" s="303">
        <v>46065</v>
      </c>
      <c r="Z32" s="291"/>
      <c r="AA32" s="86">
        <v>46072</v>
      </c>
      <c r="AB32" s="86">
        <v>46072</v>
      </c>
      <c r="AC32" s="86">
        <v>46072</v>
      </c>
      <c r="AD32" s="221">
        <v>46072</v>
      </c>
    </row>
    <row r="33" spans="1:30" ht="20.25" customHeight="1" thickBot="1">
      <c r="A33" s="527"/>
      <c r="B33" s="541"/>
      <c r="C33" s="547"/>
      <c r="D33" s="327" t="s">
        <v>272</v>
      </c>
      <c r="E33" s="292"/>
      <c r="F33" s="289">
        <v>46037</v>
      </c>
      <c r="G33" s="225">
        <v>46037</v>
      </c>
      <c r="H33" s="225">
        <v>46037</v>
      </c>
      <c r="I33" s="225">
        <v>46037</v>
      </c>
      <c r="J33" s="225">
        <v>46037</v>
      </c>
      <c r="K33" s="292"/>
      <c r="L33" s="226">
        <v>46045</v>
      </c>
      <c r="M33" s="226">
        <v>46045</v>
      </c>
      <c r="N33" s="226">
        <v>46045</v>
      </c>
      <c r="O33" s="226">
        <v>46045</v>
      </c>
      <c r="P33" s="226">
        <v>46045</v>
      </c>
      <c r="Q33" s="297"/>
      <c r="R33" s="304">
        <v>46058</v>
      </c>
      <c r="S33" s="275">
        <v>46058</v>
      </c>
      <c r="T33" s="275">
        <v>46058</v>
      </c>
      <c r="U33" s="275">
        <v>46058</v>
      </c>
      <c r="V33" s="275">
        <v>46058</v>
      </c>
      <c r="W33" s="275">
        <v>46058</v>
      </c>
      <c r="X33" s="275">
        <v>46058</v>
      </c>
      <c r="Y33" s="305">
        <v>46065</v>
      </c>
      <c r="Z33" s="292"/>
      <c r="AA33" s="226">
        <v>46072</v>
      </c>
      <c r="AB33" s="226">
        <v>46072</v>
      </c>
      <c r="AC33" s="226">
        <v>46072</v>
      </c>
      <c r="AD33" s="227">
        <v>46072</v>
      </c>
    </row>
    <row r="34" spans="1:30" ht="16.149999999999999" thickBot="1">
      <c r="A34" s="239" t="s">
        <v>273</v>
      </c>
      <c r="B34" s="234"/>
      <c r="C34" s="235"/>
      <c r="D34" s="325"/>
      <c r="E34" s="288"/>
      <c r="F34" s="237"/>
      <c r="G34" s="237"/>
      <c r="H34" s="237"/>
      <c r="I34" s="237"/>
      <c r="J34" s="237"/>
      <c r="K34" s="236"/>
      <c r="L34" s="237"/>
      <c r="M34" s="237"/>
      <c r="N34" s="237"/>
      <c r="O34" s="237"/>
      <c r="P34" s="237"/>
      <c r="Q34" s="236"/>
      <c r="R34" s="298"/>
      <c r="S34" s="298"/>
      <c r="T34" s="298"/>
      <c r="U34" s="298"/>
      <c r="V34" s="298"/>
      <c r="W34" s="298"/>
      <c r="X34" s="298"/>
      <c r="Y34" s="298"/>
      <c r="Z34" s="236"/>
      <c r="AA34" s="237"/>
      <c r="AB34" s="237"/>
      <c r="AC34" s="237"/>
      <c r="AD34" s="238"/>
    </row>
    <row r="35" spans="1:30" ht="21.75" customHeight="1">
      <c r="A35" s="525" t="s">
        <v>274</v>
      </c>
      <c r="B35" s="523" t="s">
        <v>166</v>
      </c>
      <c r="C35" s="521" t="s">
        <v>275</v>
      </c>
      <c r="D35" s="228" t="s">
        <v>276</v>
      </c>
      <c r="E35" s="281"/>
      <c r="F35" s="293">
        <v>46051</v>
      </c>
      <c r="G35" s="211">
        <v>46051</v>
      </c>
      <c r="H35" s="211">
        <v>46051</v>
      </c>
      <c r="I35" s="211">
        <v>46051</v>
      </c>
      <c r="J35" s="211">
        <v>46051</v>
      </c>
      <c r="K35" s="281"/>
      <c r="L35" s="211">
        <v>46065</v>
      </c>
      <c r="M35" s="211">
        <v>46065</v>
      </c>
      <c r="N35" s="211">
        <v>46065</v>
      </c>
      <c r="O35" s="211">
        <v>46065</v>
      </c>
      <c r="P35" s="211">
        <v>46065</v>
      </c>
      <c r="Q35" s="281"/>
      <c r="R35" s="211">
        <v>46079</v>
      </c>
      <c r="S35" s="211">
        <v>46079</v>
      </c>
      <c r="T35" s="211">
        <v>46079</v>
      </c>
      <c r="U35" s="211">
        <v>46079</v>
      </c>
      <c r="V35" s="211">
        <v>46079</v>
      </c>
      <c r="W35" s="211">
        <v>46079</v>
      </c>
      <c r="X35" s="211">
        <v>46079</v>
      </c>
      <c r="Y35" s="211">
        <v>46079</v>
      </c>
      <c r="Z35" s="281"/>
      <c r="AA35" s="211">
        <v>46093</v>
      </c>
      <c r="AB35" s="211">
        <v>46093</v>
      </c>
      <c r="AC35" s="211">
        <v>46093</v>
      </c>
      <c r="AD35" s="233">
        <v>46093</v>
      </c>
    </row>
    <row r="36" spans="1:30" ht="21.75" customHeight="1">
      <c r="A36" s="525"/>
      <c r="B36" s="523"/>
      <c r="C36" s="521"/>
      <c r="D36" s="228" t="s">
        <v>277</v>
      </c>
      <c r="E36" s="282"/>
      <c r="F36" s="278">
        <v>46051</v>
      </c>
      <c r="G36" s="86">
        <v>46051</v>
      </c>
      <c r="H36" s="86">
        <v>46051</v>
      </c>
      <c r="I36" s="86">
        <v>46051</v>
      </c>
      <c r="J36" s="86">
        <v>46051</v>
      </c>
      <c r="K36" s="282"/>
      <c r="L36" s="86">
        <v>46065</v>
      </c>
      <c r="M36" s="86">
        <v>46065</v>
      </c>
      <c r="N36" s="86">
        <v>46065</v>
      </c>
      <c r="O36" s="86">
        <v>46065</v>
      </c>
      <c r="P36" s="86">
        <v>46065</v>
      </c>
      <c r="Q36" s="282"/>
      <c r="R36" s="86">
        <v>46079</v>
      </c>
      <c r="S36" s="86">
        <v>46079</v>
      </c>
      <c r="T36" s="86">
        <v>46079</v>
      </c>
      <c r="U36" s="86">
        <v>46079</v>
      </c>
      <c r="V36" s="86">
        <v>46079</v>
      </c>
      <c r="W36" s="86">
        <v>46079</v>
      </c>
      <c r="X36" s="86">
        <v>46079</v>
      </c>
      <c r="Y36" s="86">
        <v>46079</v>
      </c>
      <c r="Z36" s="282"/>
      <c r="AA36" s="86">
        <v>46093</v>
      </c>
      <c r="AB36" s="86">
        <v>46093</v>
      </c>
      <c r="AC36" s="86">
        <v>46093</v>
      </c>
      <c r="AD36" s="221">
        <v>46093</v>
      </c>
    </row>
    <row r="37" spans="1:30" ht="21.75" customHeight="1">
      <c r="A37" s="525"/>
      <c r="B37" s="523"/>
      <c r="C37" s="521"/>
      <c r="D37" s="228" t="s">
        <v>278</v>
      </c>
      <c r="E37" s="282"/>
      <c r="F37" s="278">
        <v>46051</v>
      </c>
      <c r="G37" s="86">
        <v>46051</v>
      </c>
      <c r="H37" s="86">
        <v>46051</v>
      </c>
      <c r="I37" s="86">
        <v>46051</v>
      </c>
      <c r="J37" s="86">
        <v>46051</v>
      </c>
      <c r="K37" s="282"/>
      <c r="L37" s="86">
        <v>46065</v>
      </c>
      <c r="M37" s="86">
        <v>46065</v>
      </c>
      <c r="N37" s="86">
        <v>46065</v>
      </c>
      <c r="O37" s="86">
        <v>46065</v>
      </c>
      <c r="P37" s="86">
        <v>46065</v>
      </c>
      <c r="Q37" s="282"/>
      <c r="R37" s="86">
        <v>46079</v>
      </c>
      <c r="S37" s="86">
        <v>46079</v>
      </c>
      <c r="T37" s="86">
        <v>46079</v>
      </c>
      <c r="U37" s="86">
        <v>46079</v>
      </c>
      <c r="V37" s="86">
        <v>46079</v>
      </c>
      <c r="W37" s="86">
        <v>46079</v>
      </c>
      <c r="X37" s="86">
        <v>46079</v>
      </c>
      <c r="Y37" s="86">
        <v>46079</v>
      </c>
      <c r="Z37" s="282"/>
      <c r="AA37" s="86">
        <v>46093</v>
      </c>
      <c r="AB37" s="86">
        <v>46093</v>
      </c>
      <c r="AC37" s="86">
        <v>46093</v>
      </c>
      <c r="AD37" s="221">
        <v>46093</v>
      </c>
    </row>
    <row r="38" spans="1:30" ht="21.75" customHeight="1">
      <c r="A38" s="525"/>
      <c r="B38" s="523"/>
      <c r="C38" s="521"/>
      <c r="D38" s="228" t="s">
        <v>279</v>
      </c>
      <c r="E38" s="282"/>
      <c r="F38" s="278">
        <v>46051</v>
      </c>
      <c r="G38" s="86">
        <v>46051</v>
      </c>
      <c r="H38" s="86">
        <v>46051</v>
      </c>
      <c r="I38" s="86">
        <v>46051</v>
      </c>
      <c r="J38" s="86">
        <v>46051</v>
      </c>
      <c r="K38" s="282"/>
      <c r="L38" s="86">
        <v>46065</v>
      </c>
      <c r="M38" s="86">
        <v>46065</v>
      </c>
      <c r="N38" s="86">
        <v>46065</v>
      </c>
      <c r="O38" s="86">
        <v>46065</v>
      </c>
      <c r="P38" s="86">
        <v>46065</v>
      </c>
      <c r="Q38" s="282"/>
      <c r="R38" s="86">
        <v>46079</v>
      </c>
      <c r="S38" s="86">
        <v>46079</v>
      </c>
      <c r="T38" s="86">
        <v>46079</v>
      </c>
      <c r="U38" s="86">
        <v>46079</v>
      </c>
      <c r="V38" s="86">
        <v>46079</v>
      </c>
      <c r="W38" s="86">
        <v>46079</v>
      </c>
      <c r="X38" s="86">
        <v>46079</v>
      </c>
      <c r="Y38" s="86">
        <v>46079</v>
      </c>
      <c r="Z38" s="282"/>
      <c r="AA38" s="86">
        <v>46093</v>
      </c>
      <c r="AB38" s="86">
        <v>46093</v>
      </c>
      <c r="AC38" s="86">
        <v>46093</v>
      </c>
      <c r="AD38" s="221">
        <v>46093</v>
      </c>
    </row>
    <row r="39" spans="1:30" ht="20.25" customHeight="1" thickBot="1">
      <c r="A39" s="526"/>
      <c r="B39" s="524"/>
      <c r="C39" s="522"/>
      <c r="D39" s="330" t="s">
        <v>280</v>
      </c>
      <c r="E39" s="282"/>
      <c r="F39" s="294">
        <v>46051</v>
      </c>
      <c r="G39" s="216">
        <v>46051</v>
      </c>
      <c r="H39" s="216">
        <v>46051</v>
      </c>
      <c r="I39" s="216">
        <v>46051</v>
      </c>
      <c r="J39" s="216">
        <v>46051</v>
      </c>
      <c r="K39" s="282"/>
      <c r="L39" s="216">
        <v>46065</v>
      </c>
      <c r="M39" s="216">
        <v>46065</v>
      </c>
      <c r="N39" s="216">
        <v>46065</v>
      </c>
      <c r="O39" s="216">
        <v>46065</v>
      </c>
      <c r="P39" s="216">
        <v>46065</v>
      </c>
      <c r="Q39" s="282"/>
      <c r="R39" s="216">
        <v>46079</v>
      </c>
      <c r="S39" s="216">
        <v>46079</v>
      </c>
      <c r="T39" s="216">
        <v>46079</v>
      </c>
      <c r="U39" s="216">
        <v>46079</v>
      </c>
      <c r="V39" s="216">
        <v>46079</v>
      </c>
      <c r="W39" s="216">
        <v>46079</v>
      </c>
      <c r="X39" s="216">
        <v>46079</v>
      </c>
      <c r="Y39" s="216">
        <v>46079</v>
      </c>
      <c r="Z39" s="282"/>
      <c r="AA39" s="216">
        <v>46093</v>
      </c>
      <c r="AB39" s="216">
        <v>46093</v>
      </c>
      <c r="AC39" s="216">
        <v>46093</v>
      </c>
      <c r="AD39" s="224">
        <v>46093</v>
      </c>
    </row>
    <row r="40" spans="1:30" ht="20.25" customHeight="1">
      <c r="A40" s="533" t="s">
        <v>281</v>
      </c>
      <c r="B40" s="536" t="s">
        <v>282</v>
      </c>
      <c r="C40" s="532" t="s">
        <v>283</v>
      </c>
      <c r="D40" s="232" t="s">
        <v>284</v>
      </c>
      <c r="E40" s="281"/>
      <c r="F40" s="306">
        <v>46051</v>
      </c>
      <c r="G40" s="219">
        <v>46051</v>
      </c>
      <c r="H40" s="219">
        <v>46051</v>
      </c>
      <c r="I40" s="219">
        <v>46051</v>
      </c>
      <c r="J40" s="219">
        <v>46051</v>
      </c>
      <c r="K40" s="281"/>
      <c r="L40" s="219">
        <v>46065</v>
      </c>
      <c r="M40" s="219">
        <v>46065</v>
      </c>
      <c r="N40" s="219">
        <v>46065</v>
      </c>
      <c r="O40" s="219">
        <v>46065</v>
      </c>
      <c r="P40" s="219">
        <v>46065</v>
      </c>
      <c r="Q40" s="281"/>
      <c r="R40" s="219">
        <v>46079</v>
      </c>
      <c r="S40" s="219">
        <v>46079</v>
      </c>
      <c r="T40" s="219">
        <v>46079</v>
      </c>
      <c r="U40" s="219">
        <v>46079</v>
      </c>
      <c r="V40" s="219">
        <v>46079</v>
      </c>
      <c r="W40" s="219">
        <v>46079</v>
      </c>
      <c r="X40" s="219">
        <v>46079</v>
      </c>
      <c r="Y40" s="219">
        <v>46079</v>
      </c>
      <c r="Z40" s="281"/>
      <c r="AA40" s="219">
        <v>46093</v>
      </c>
      <c r="AB40" s="219">
        <v>46093</v>
      </c>
      <c r="AC40" s="219">
        <v>46093</v>
      </c>
      <c r="AD40" s="223">
        <v>46093</v>
      </c>
    </row>
    <row r="41" spans="1:30" ht="20.25" customHeight="1">
      <c r="A41" s="534"/>
      <c r="B41" s="537"/>
      <c r="C41" s="521"/>
      <c r="D41" s="228" t="s">
        <v>285</v>
      </c>
      <c r="E41" s="282"/>
      <c r="F41" s="307">
        <v>46058</v>
      </c>
      <c r="G41" s="169">
        <v>46058</v>
      </c>
      <c r="H41" s="169">
        <v>46058</v>
      </c>
      <c r="I41" s="169">
        <v>46058</v>
      </c>
      <c r="J41" s="169">
        <v>46058</v>
      </c>
      <c r="K41" s="282"/>
      <c r="L41" s="86">
        <v>46065</v>
      </c>
      <c r="M41" s="86">
        <v>46065</v>
      </c>
      <c r="N41" s="86">
        <v>46065</v>
      </c>
      <c r="O41" s="86">
        <v>46065</v>
      </c>
      <c r="P41" s="86">
        <v>46065</v>
      </c>
      <c r="Q41" s="282"/>
      <c r="R41" s="86">
        <v>46086</v>
      </c>
      <c r="S41" s="86">
        <v>46086</v>
      </c>
      <c r="T41" s="86">
        <v>46086</v>
      </c>
      <c r="U41" s="86">
        <v>46086</v>
      </c>
      <c r="V41" s="86">
        <v>46086</v>
      </c>
      <c r="W41" s="86">
        <v>46086</v>
      </c>
      <c r="X41" s="86">
        <v>46086</v>
      </c>
      <c r="Y41" s="86">
        <v>46086</v>
      </c>
      <c r="Z41" s="282"/>
      <c r="AA41" s="86">
        <v>46100</v>
      </c>
      <c r="AB41" s="86">
        <v>46100</v>
      </c>
      <c r="AC41" s="86">
        <v>46100</v>
      </c>
      <c r="AD41" s="221">
        <v>46100</v>
      </c>
    </row>
    <row r="42" spans="1:30" ht="20.25" customHeight="1">
      <c r="A42" s="534"/>
      <c r="B42" s="537"/>
      <c r="C42" s="521"/>
      <c r="D42" s="228" t="s">
        <v>286</v>
      </c>
      <c r="E42" s="282"/>
      <c r="F42" s="278">
        <v>46058</v>
      </c>
      <c r="G42" s="86">
        <v>46058</v>
      </c>
      <c r="H42" s="86">
        <v>46058</v>
      </c>
      <c r="I42" s="86">
        <v>46058</v>
      </c>
      <c r="J42" s="86">
        <v>46058</v>
      </c>
      <c r="K42" s="282"/>
      <c r="L42" s="86">
        <v>46072</v>
      </c>
      <c r="M42" s="86">
        <v>46072</v>
      </c>
      <c r="N42" s="86">
        <v>46072</v>
      </c>
      <c r="O42" s="86">
        <v>46072</v>
      </c>
      <c r="P42" s="86">
        <v>46072</v>
      </c>
      <c r="Q42" s="282"/>
      <c r="R42" s="86">
        <v>46086</v>
      </c>
      <c r="S42" s="86">
        <v>46086</v>
      </c>
      <c r="T42" s="86">
        <v>46086</v>
      </c>
      <c r="U42" s="86">
        <v>46086</v>
      </c>
      <c r="V42" s="86">
        <v>46086</v>
      </c>
      <c r="W42" s="86">
        <v>46086</v>
      </c>
      <c r="X42" s="86">
        <v>46086</v>
      </c>
      <c r="Y42" s="86">
        <v>46086</v>
      </c>
      <c r="Z42" s="282"/>
      <c r="AA42" s="86">
        <v>46100</v>
      </c>
      <c r="AB42" s="86">
        <v>46100</v>
      </c>
      <c r="AC42" s="86">
        <v>46100</v>
      </c>
      <c r="AD42" s="221">
        <v>46100</v>
      </c>
    </row>
    <row r="43" spans="1:30" ht="20.25" customHeight="1">
      <c r="A43" s="534"/>
      <c r="B43" s="537"/>
      <c r="C43" s="521"/>
      <c r="D43" s="228" t="s">
        <v>287</v>
      </c>
      <c r="E43" s="282"/>
      <c r="F43" s="278">
        <v>46058</v>
      </c>
      <c r="G43" s="86">
        <v>46058</v>
      </c>
      <c r="H43" s="86">
        <v>46058</v>
      </c>
      <c r="I43" s="86">
        <v>46058</v>
      </c>
      <c r="J43" s="86">
        <v>46058</v>
      </c>
      <c r="K43" s="282"/>
      <c r="L43" s="86">
        <v>46072</v>
      </c>
      <c r="M43" s="86">
        <v>46072</v>
      </c>
      <c r="N43" s="86">
        <v>46072</v>
      </c>
      <c r="O43" s="86">
        <v>46072</v>
      </c>
      <c r="P43" s="86">
        <v>46072</v>
      </c>
      <c r="Q43" s="282"/>
      <c r="R43" s="86">
        <v>46086</v>
      </c>
      <c r="S43" s="86">
        <v>46086</v>
      </c>
      <c r="T43" s="86">
        <v>46086</v>
      </c>
      <c r="U43" s="86">
        <v>46086</v>
      </c>
      <c r="V43" s="86">
        <v>46086</v>
      </c>
      <c r="W43" s="86">
        <v>46086</v>
      </c>
      <c r="X43" s="86">
        <v>46086</v>
      </c>
      <c r="Y43" s="86">
        <v>46086</v>
      </c>
      <c r="Z43" s="282"/>
      <c r="AA43" s="86">
        <v>46100</v>
      </c>
      <c r="AB43" s="86">
        <v>46100</v>
      </c>
      <c r="AC43" s="86">
        <v>46100</v>
      </c>
      <c r="AD43" s="221">
        <v>46100</v>
      </c>
    </row>
    <row r="44" spans="1:30" ht="20.25" customHeight="1" thickBot="1">
      <c r="A44" s="535"/>
      <c r="B44" s="538"/>
      <c r="C44" s="522"/>
      <c r="D44" s="330" t="s">
        <v>288</v>
      </c>
      <c r="E44" s="282"/>
      <c r="F44" s="294">
        <v>46059</v>
      </c>
      <c r="G44" s="216">
        <v>46059</v>
      </c>
      <c r="H44" s="216">
        <v>46059</v>
      </c>
      <c r="I44" s="216">
        <v>46059</v>
      </c>
      <c r="J44" s="216">
        <v>46059</v>
      </c>
      <c r="K44" s="282"/>
      <c r="L44" s="216">
        <v>46073</v>
      </c>
      <c r="M44" s="216">
        <v>46073</v>
      </c>
      <c r="N44" s="216">
        <v>46073</v>
      </c>
      <c r="O44" s="216">
        <v>46073</v>
      </c>
      <c r="P44" s="216">
        <v>46073</v>
      </c>
      <c r="Q44" s="282"/>
      <c r="R44" s="216">
        <v>46087</v>
      </c>
      <c r="S44" s="216">
        <v>46087</v>
      </c>
      <c r="T44" s="216">
        <v>46087</v>
      </c>
      <c r="U44" s="216">
        <v>46087</v>
      </c>
      <c r="V44" s="216">
        <v>46087</v>
      </c>
      <c r="W44" s="216">
        <v>46087</v>
      </c>
      <c r="X44" s="216">
        <v>46087</v>
      </c>
      <c r="Y44" s="216">
        <v>46087</v>
      </c>
      <c r="Z44" s="282"/>
      <c r="AA44" s="216">
        <v>46101</v>
      </c>
      <c r="AB44" s="216">
        <v>46101</v>
      </c>
      <c r="AC44" s="216">
        <v>46101</v>
      </c>
      <c r="AD44" s="224">
        <v>46101</v>
      </c>
    </row>
    <row r="45" spans="1:30" ht="20.25" customHeight="1">
      <c r="A45" s="533" t="s">
        <v>289</v>
      </c>
      <c r="B45" s="539" t="s">
        <v>260</v>
      </c>
      <c r="C45" s="532" t="s">
        <v>290</v>
      </c>
      <c r="D45" s="229" t="s">
        <v>291</v>
      </c>
      <c r="E45" s="281"/>
      <c r="F45" s="306">
        <v>46062</v>
      </c>
      <c r="G45" s="219">
        <v>46062</v>
      </c>
      <c r="H45" s="219">
        <v>46062</v>
      </c>
      <c r="I45" s="219">
        <v>46062</v>
      </c>
      <c r="J45" s="219">
        <v>46062</v>
      </c>
      <c r="K45" s="281"/>
      <c r="L45" s="219">
        <v>46076</v>
      </c>
      <c r="M45" s="219">
        <v>46076</v>
      </c>
      <c r="N45" s="219">
        <v>46076</v>
      </c>
      <c r="O45" s="219">
        <v>46076</v>
      </c>
      <c r="P45" s="219">
        <v>46076</v>
      </c>
      <c r="Q45" s="281"/>
      <c r="R45" s="219">
        <v>46090</v>
      </c>
      <c r="S45" s="219">
        <v>46090</v>
      </c>
      <c r="T45" s="219">
        <v>46090</v>
      </c>
      <c r="U45" s="219">
        <v>46090</v>
      </c>
      <c r="V45" s="219">
        <v>46090</v>
      </c>
      <c r="W45" s="219">
        <v>46090</v>
      </c>
      <c r="X45" s="219">
        <v>46090</v>
      </c>
      <c r="Y45" s="219">
        <v>46090</v>
      </c>
      <c r="Z45" s="281"/>
      <c r="AA45" s="219">
        <v>46104</v>
      </c>
      <c r="AB45" s="219">
        <v>46104</v>
      </c>
      <c r="AC45" s="219">
        <v>46104</v>
      </c>
      <c r="AD45" s="223">
        <v>46104</v>
      </c>
    </row>
    <row r="46" spans="1:30" ht="20.25" customHeight="1">
      <c r="A46" s="534"/>
      <c r="B46" s="523"/>
      <c r="C46" s="521"/>
      <c r="D46" s="230" t="s">
        <v>292</v>
      </c>
      <c r="E46" s="282"/>
      <c r="F46" s="278">
        <v>46063</v>
      </c>
      <c r="G46" s="86">
        <v>46063</v>
      </c>
      <c r="H46" s="86">
        <v>46063</v>
      </c>
      <c r="I46" s="86">
        <v>46063</v>
      </c>
      <c r="J46" s="86">
        <v>46063</v>
      </c>
      <c r="K46" s="282"/>
      <c r="L46" s="86">
        <v>46077</v>
      </c>
      <c r="M46" s="86">
        <v>46077</v>
      </c>
      <c r="N46" s="86">
        <v>46077</v>
      </c>
      <c r="O46" s="86">
        <v>46077</v>
      </c>
      <c r="P46" s="86">
        <v>46077</v>
      </c>
      <c r="Q46" s="282"/>
      <c r="R46" s="86">
        <v>46091</v>
      </c>
      <c r="S46" s="86">
        <v>46091</v>
      </c>
      <c r="T46" s="86">
        <v>46091</v>
      </c>
      <c r="U46" s="86">
        <v>46091</v>
      </c>
      <c r="V46" s="86">
        <v>46091</v>
      </c>
      <c r="W46" s="86">
        <v>46091</v>
      </c>
      <c r="X46" s="86">
        <v>46091</v>
      </c>
      <c r="Y46" s="86">
        <v>46091</v>
      </c>
      <c r="Z46" s="282"/>
      <c r="AA46" s="86">
        <v>46105</v>
      </c>
      <c r="AB46" s="86">
        <v>46105</v>
      </c>
      <c r="AC46" s="86">
        <v>46105</v>
      </c>
      <c r="AD46" s="221">
        <v>46105</v>
      </c>
    </row>
    <row r="47" spans="1:30" ht="20.25" customHeight="1" thickBot="1">
      <c r="A47" s="535"/>
      <c r="B47" s="524"/>
      <c r="C47" s="522"/>
      <c r="D47" s="231" t="s">
        <v>293</v>
      </c>
      <c r="E47" s="282"/>
      <c r="F47" s="294">
        <v>46063</v>
      </c>
      <c r="G47" s="216">
        <v>46063</v>
      </c>
      <c r="H47" s="216">
        <v>46063</v>
      </c>
      <c r="I47" s="216">
        <v>46063</v>
      </c>
      <c r="J47" s="216">
        <v>46063</v>
      </c>
      <c r="K47" s="282"/>
      <c r="L47" s="216">
        <v>46077</v>
      </c>
      <c r="M47" s="216">
        <v>46077</v>
      </c>
      <c r="N47" s="216">
        <v>46077</v>
      </c>
      <c r="O47" s="216">
        <v>46077</v>
      </c>
      <c r="P47" s="216">
        <v>46077</v>
      </c>
      <c r="Q47" s="282"/>
      <c r="R47" s="216">
        <v>46091</v>
      </c>
      <c r="S47" s="216">
        <v>46091</v>
      </c>
      <c r="T47" s="216">
        <v>46091</v>
      </c>
      <c r="U47" s="216">
        <v>46091</v>
      </c>
      <c r="V47" s="216">
        <v>46091</v>
      </c>
      <c r="W47" s="216">
        <v>46091</v>
      </c>
      <c r="X47" s="216">
        <v>46091</v>
      </c>
      <c r="Y47" s="216">
        <v>46091</v>
      </c>
      <c r="Z47" s="282"/>
      <c r="AA47" s="216">
        <v>46105</v>
      </c>
      <c r="AB47" s="216">
        <v>46105</v>
      </c>
      <c r="AC47" s="216">
        <v>46105</v>
      </c>
      <c r="AD47" s="224">
        <v>46105</v>
      </c>
    </row>
    <row r="48" spans="1:30" ht="20.25" customHeight="1">
      <c r="A48" s="533" t="s">
        <v>294</v>
      </c>
      <c r="B48" s="539" t="s">
        <v>162</v>
      </c>
      <c r="C48" s="532" t="s">
        <v>295</v>
      </c>
      <c r="D48" s="232" t="s">
        <v>296</v>
      </c>
      <c r="E48" s="281"/>
      <c r="F48" s="306">
        <v>46064</v>
      </c>
      <c r="G48" s="219">
        <v>46064</v>
      </c>
      <c r="H48" s="219">
        <v>46064</v>
      </c>
      <c r="I48" s="219">
        <v>46064</v>
      </c>
      <c r="J48" s="219">
        <v>46064</v>
      </c>
      <c r="K48" s="281"/>
      <c r="L48" s="219">
        <v>46078</v>
      </c>
      <c r="M48" s="219">
        <v>46078</v>
      </c>
      <c r="N48" s="219">
        <v>46078</v>
      </c>
      <c r="O48" s="219">
        <v>46078</v>
      </c>
      <c r="P48" s="219">
        <v>46078</v>
      </c>
      <c r="Q48" s="281"/>
      <c r="R48" s="219">
        <v>46092</v>
      </c>
      <c r="S48" s="219">
        <v>46092</v>
      </c>
      <c r="T48" s="219">
        <v>46092</v>
      </c>
      <c r="U48" s="219">
        <v>46092</v>
      </c>
      <c r="V48" s="219">
        <v>46092</v>
      </c>
      <c r="W48" s="219">
        <v>46092</v>
      </c>
      <c r="X48" s="219">
        <v>46092</v>
      </c>
      <c r="Y48" s="219">
        <v>46092</v>
      </c>
      <c r="Z48" s="281"/>
      <c r="AA48" s="219">
        <v>46106</v>
      </c>
      <c r="AB48" s="219">
        <v>46106</v>
      </c>
      <c r="AC48" s="219">
        <v>46106</v>
      </c>
      <c r="AD48" s="223">
        <v>46106</v>
      </c>
    </row>
    <row r="49" spans="1:30" ht="20.25" customHeight="1">
      <c r="A49" s="534"/>
      <c r="B49" s="523"/>
      <c r="C49" s="521"/>
      <c r="D49" s="228" t="s">
        <v>297</v>
      </c>
      <c r="E49" s="282"/>
      <c r="F49" s="278">
        <v>46065</v>
      </c>
      <c r="G49" s="86">
        <v>46065</v>
      </c>
      <c r="H49" s="86">
        <v>46065</v>
      </c>
      <c r="I49" s="86">
        <v>46065</v>
      </c>
      <c r="J49" s="86">
        <v>46065</v>
      </c>
      <c r="K49" s="282"/>
      <c r="L49" s="86">
        <v>46079</v>
      </c>
      <c r="M49" s="86">
        <v>46079</v>
      </c>
      <c r="N49" s="86">
        <v>46079</v>
      </c>
      <c r="O49" s="86">
        <v>46079</v>
      </c>
      <c r="P49" s="86">
        <v>46079</v>
      </c>
      <c r="Q49" s="282"/>
      <c r="R49" s="86">
        <v>46093</v>
      </c>
      <c r="S49" s="86">
        <v>46093</v>
      </c>
      <c r="T49" s="86">
        <v>46093</v>
      </c>
      <c r="U49" s="86">
        <v>46093</v>
      </c>
      <c r="V49" s="86">
        <v>46093</v>
      </c>
      <c r="W49" s="86">
        <v>46093</v>
      </c>
      <c r="X49" s="86">
        <v>46093</v>
      </c>
      <c r="Y49" s="86">
        <v>46093</v>
      </c>
      <c r="Z49" s="282"/>
      <c r="AA49" s="86">
        <v>46107</v>
      </c>
      <c r="AB49" s="86">
        <v>46107</v>
      </c>
      <c r="AC49" s="86">
        <v>46107</v>
      </c>
      <c r="AD49" s="221">
        <v>46107</v>
      </c>
    </row>
    <row r="50" spans="1:30" ht="20.25" customHeight="1">
      <c r="A50" s="534"/>
      <c r="B50" s="523"/>
      <c r="C50" s="521"/>
      <c r="D50" s="228" t="s">
        <v>298</v>
      </c>
      <c r="E50" s="282"/>
      <c r="F50" s="278">
        <v>46065</v>
      </c>
      <c r="G50" s="86">
        <v>46065</v>
      </c>
      <c r="H50" s="86">
        <v>46065</v>
      </c>
      <c r="I50" s="86">
        <v>46065</v>
      </c>
      <c r="J50" s="86">
        <v>46065</v>
      </c>
      <c r="K50" s="282"/>
      <c r="L50" s="86">
        <v>46079</v>
      </c>
      <c r="M50" s="86">
        <v>46079</v>
      </c>
      <c r="N50" s="86">
        <v>46079</v>
      </c>
      <c r="O50" s="86">
        <v>46079</v>
      </c>
      <c r="P50" s="86">
        <v>46079</v>
      </c>
      <c r="Q50" s="282"/>
      <c r="R50" s="86">
        <v>46093</v>
      </c>
      <c r="S50" s="86">
        <v>46093</v>
      </c>
      <c r="T50" s="86">
        <v>46093</v>
      </c>
      <c r="U50" s="86">
        <v>46093</v>
      </c>
      <c r="V50" s="86">
        <v>46093</v>
      </c>
      <c r="W50" s="86">
        <v>46093</v>
      </c>
      <c r="X50" s="86">
        <v>46093</v>
      </c>
      <c r="Y50" s="86">
        <v>46093</v>
      </c>
      <c r="Z50" s="282"/>
      <c r="AA50" s="86">
        <v>46107</v>
      </c>
      <c r="AB50" s="86">
        <v>46107</v>
      </c>
      <c r="AC50" s="86">
        <v>46107</v>
      </c>
      <c r="AD50" s="221">
        <v>46107</v>
      </c>
    </row>
    <row r="51" spans="1:30" ht="20.25" customHeight="1" thickBot="1">
      <c r="A51" s="535"/>
      <c r="B51" s="524"/>
      <c r="C51" s="522"/>
      <c r="D51" s="330" t="s">
        <v>299</v>
      </c>
      <c r="E51" s="282"/>
      <c r="F51" s="294">
        <v>46065</v>
      </c>
      <c r="G51" s="216">
        <v>46065</v>
      </c>
      <c r="H51" s="216">
        <v>46065</v>
      </c>
      <c r="I51" s="216">
        <v>46065</v>
      </c>
      <c r="J51" s="216">
        <v>46065</v>
      </c>
      <c r="K51" s="282"/>
      <c r="L51" s="216">
        <v>46079</v>
      </c>
      <c r="M51" s="216">
        <v>46079</v>
      </c>
      <c r="N51" s="216">
        <v>46079</v>
      </c>
      <c r="O51" s="216">
        <v>46079</v>
      </c>
      <c r="P51" s="216">
        <v>46079</v>
      </c>
      <c r="Q51" s="282"/>
      <c r="R51" s="216">
        <v>46093</v>
      </c>
      <c r="S51" s="216">
        <v>46093</v>
      </c>
      <c r="T51" s="216">
        <v>46093</v>
      </c>
      <c r="U51" s="216">
        <v>46093</v>
      </c>
      <c r="V51" s="216">
        <v>46093</v>
      </c>
      <c r="W51" s="216">
        <v>46093</v>
      </c>
      <c r="X51" s="216">
        <v>46093</v>
      </c>
      <c r="Y51" s="216">
        <v>46093</v>
      </c>
      <c r="Z51" s="282"/>
      <c r="AA51" s="216">
        <v>46107</v>
      </c>
      <c r="AB51" s="216">
        <v>46107</v>
      </c>
      <c r="AC51" s="216">
        <v>46107</v>
      </c>
      <c r="AD51" s="224">
        <v>46107</v>
      </c>
    </row>
    <row r="52" spans="1:30" ht="20.25" customHeight="1">
      <c r="A52" s="533" t="s">
        <v>300</v>
      </c>
      <c r="B52" s="539" t="s">
        <v>301</v>
      </c>
      <c r="C52" s="532" t="s">
        <v>302</v>
      </c>
      <c r="D52" s="232" t="s">
        <v>303</v>
      </c>
      <c r="E52" s="281"/>
      <c r="F52" s="306">
        <v>46072</v>
      </c>
      <c r="G52" s="219">
        <v>46072</v>
      </c>
      <c r="H52" s="219">
        <v>46072</v>
      </c>
      <c r="I52" s="219">
        <v>46072</v>
      </c>
      <c r="J52" s="219">
        <v>46072</v>
      </c>
      <c r="K52" s="281"/>
      <c r="L52" s="219">
        <v>46086</v>
      </c>
      <c r="M52" s="219">
        <v>46086</v>
      </c>
      <c r="N52" s="219">
        <v>46086</v>
      </c>
      <c r="O52" s="219">
        <v>46086</v>
      </c>
      <c r="P52" s="219">
        <v>46086</v>
      </c>
      <c r="Q52" s="281"/>
      <c r="R52" s="219">
        <v>46100</v>
      </c>
      <c r="S52" s="219">
        <v>46100</v>
      </c>
      <c r="T52" s="219">
        <v>46100</v>
      </c>
      <c r="U52" s="219">
        <v>46100</v>
      </c>
      <c r="V52" s="219">
        <v>46100</v>
      </c>
      <c r="W52" s="219">
        <v>46100</v>
      </c>
      <c r="X52" s="219">
        <v>46100</v>
      </c>
      <c r="Y52" s="219">
        <v>46100</v>
      </c>
      <c r="Z52" s="281"/>
      <c r="AA52" s="219">
        <v>46114</v>
      </c>
      <c r="AB52" s="219">
        <v>46114</v>
      </c>
      <c r="AC52" s="219">
        <v>46114</v>
      </c>
      <c r="AD52" s="223">
        <v>46114</v>
      </c>
    </row>
    <row r="53" spans="1:30" ht="20.25" customHeight="1">
      <c r="A53" s="534"/>
      <c r="B53" s="523"/>
      <c r="C53" s="521"/>
      <c r="D53" s="228" t="s">
        <v>304</v>
      </c>
      <c r="E53" s="282"/>
      <c r="F53" s="278">
        <v>46072</v>
      </c>
      <c r="G53" s="86">
        <v>46072</v>
      </c>
      <c r="H53" s="86">
        <v>46072</v>
      </c>
      <c r="I53" s="86">
        <v>46072</v>
      </c>
      <c r="J53" s="86">
        <v>46072</v>
      </c>
      <c r="K53" s="282"/>
      <c r="L53" s="86">
        <v>46086</v>
      </c>
      <c r="M53" s="86">
        <v>46086</v>
      </c>
      <c r="N53" s="86">
        <v>46086</v>
      </c>
      <c r="O53" s="86">
        <v>46086</v>
      </c>
      <c r="P53" s="86">
        <v>46086</v>
      </c>
      <c r="Q53" s="282"/>
      <c r="R53" s="86">
        <v>46100</v>
      </c>
      <c r="S53" s="86">
        <v>46100</v>
      </c>
      <c r="T53" s="86">
        <v>46100</v>
      </c>
      <c r="U53" s="86">
        <v>46100</v>
      </c>
      <c r="V53" s="86">
        <v>46100</v>
      </c>
      <c r="W53" s="86">
        <v>46100</v>
      </c>
      <c r="X53" s="86">
        <v>46100</v>
      </c>
      <c r="Y53" s="86">
        <v>46100</v>
      </c>
      <c r="Z53" s="282"/>
      <c r="AA53" s="86">
        <v>46114</v>
      </c>
      <c r="AB53" s="86">
        <v>46114</v>
      </c>
      <c r="AC53" s="86">
        <v>46114</v>
      </c>
      <c r="AD53" s="221">
        <v>46114</v>
      </c>
    </row>
    <row r="54" spans="1:30" ht="20.25" customHeight="1">
      <c r="A54" s="534"/>
      <c r="B54" s="523"/>
      <c r="C54" s="521"/>
      <c r="D54" s="228" t="s">
        <v>305</v>
      </c>
      <c r="E54" s="282"/>
      <c r="F54" s="278">
        <v>46072</v>
      </c>
      <c r="G54" s="86">
        <v>46072</v>
      </c>
      <c r="H54" s="86">
        <v>46072</v>
      </c>
      <c r="I54" s="86">
        <v>46072</v>
      </c>
      <c r="J54" s="86">
        <v>46072</v>
      </c>
      <c r="K54" s="282"/>
      <c r="L54" s="86">
        <v>46086</v>
      </c>
      <c r="M54" s="86">
        <v>46086</v>
      </c>
      <c r="N54" s="86">
        <v>46086</v>
      </c>
      <c r="O54" s="86">
        <v>46086</v>
      </c>
      <c r="P54" s="86">
        <v>46086</v>
      </c>
      <c r="Q54" s="282"/>
      <c r="R54" s="86">
        <v>46100</v>
      </c>
      <c r="S54" s="86">
        <v>46100</v>
      </c>
      <c r="T54" s="86">
        <v>46100</v>
      </c>
      <c r="U54" s="86">
        <v>46100</v>
      </c>
      <c r="V54" s="86">
        <v>46100</v>
      </c>
      <c r="W54" s="86">
        <v>46100</v>
      </c>
      <c r="X54" s="86">
        <v>46100</v>
      </c>
      <c r="Y54" s="86">
        <v>46100</v>
      </c>
      <c r="Z54" s="282"/>
      <c r="AA54" s="86">
        <v>46114</v>
      </c>
      <c r="AB54" s="86">
        <v>46114</v>
      </c>
      <c r="AC54" s="86">
        <v>46114</v>
      </c>
      <c r="AD54" s="221">
        <v>46114</v>
      </c>
    </row>
    <row r="55" spans="1:30" ht="20.25" customHeight="1">
      <c r="A55" s="534"/>
      <c r="B55" s="523"/>
      <c r="C55" s="521"/>
      <c r="D55" s="228" t="s">
        <v>306</v>
      </c>
      <c r="E55" s="282"/>
      <c r="F55" s="278">
        <v>46073</v>
      </c>
      <c r="G55" s="86">
        <v>46073</v>
      </c>
      <c r="H55" s="86">
        <v>46073</v>
      </c>
      <c r="I55" s="86">
        <v>46073</v>
      </c>
      <c r="J55" s="86">
        <v>46073</v>
      </c>
      <c r="K55" s="282"/>
      <c r="L55" s="86">
        <v>46087</v>
      </c>
      <c r="M55" s="86">
        <v>46087</v>
      </c>
      <c r="N55" s="86">
        <v>46087</v>
      </c>
      <c r="O55" s="86">
        <v>46087</v>
      </c>
      <c r="P55" s="86">
        <v>46087</v>
      </c>
      <c r="Q55" s="282"/>
      <c r="R55" s="86">
        <v>46101</v>
      </c>
      <c r="S55" s="86">
        <v>46101</v>
      </c>
      <c r="T55" s="86">
        <v>46101</v>
      </c>
      <c r="U55" s="86">
        <v>46101</v>
      </c>
      <c r="V55" s="86">
        <v>46101</v>
      </c>
      <c r="W55" s="86">
        <v>46101</v>
      </c>
      <c r="X55" s="86">
        <v>46101</v>
      </c>
      <c r="Y55" s="86">
        <v>46101</v>
      </c>
      <c r="Z55" s="282"/>
      <c r="AA55" s="86">
        <v>46115</v>
      </c>
      <c r="AB55" s="86">
        <v>46115</v>
      </c>
      <c r="AC55" s="86">
        <v>46115</v>
      </c>
      <c r="AD55" s="221">
        <v>46115</v>
      </c>
    </row>
    <row r="56" spans="1:30" ht="20.25" customHeight="1">
      <c r="A56" s="534"/>
      <c r="B56" s="523"/>
      <c r="C56" s="521"/>
      <c r="D56" s="228" t="s">
        <v>307</v>
      </c>
      <c r="E56" s="282"/>
      <c r="F56" s="278">
        <v>46076</v>
      </c>
      <c r="G56" s="86">
        <v>46076</v>
      </c>
      <c r="H56" s="86">
        <v>46076</v>
      </c>
      <c r="I56" s="86">
        <v>46076</v>
      </c>
      <c r="J56" s="86">
        <v>46076</v>
      </c>
      <c r="K56" s="282"/>
      <c r="L56" s="86">
        <v>46090</v>
      </c>
      <c r="M56" s="86">
        <v>46090</v>
      </c>
      <c r="N56" s="86">
        <v>46090</v>
      </c>
      <c r="O56" s="86">
        <v>46090</v>
      </c>
      <c r="P56" s="86">
        <v>46090</v>
      </c>
      <c r="Q56" s="282"/>
      <c r="R56" s="86">
        <v>46104</v>
      </c>
      <c r="S56" s="86">
        <v>46104</v>
      </c>
      <c r="T56" s="86">
        <v>46104</v>
      </c>
      <c r="U56" s="86">
        <v>46104</v>
      </c>
      <c r="V56" s="86">
        <v>46104</v>
      </c>
      <c r="W56" s="86">
        <v>46104</v>
      </c>
      <c r="X56" s="86">
        <v>46104</v>
      </c>
      <c r="Y56" s="86">
        <v>46104</v>
      </c>
      <c r="Z56" s="282"/>
      <c r="AA56" s="86">
        <v>46118</v>
      </c>
      <c r="AB56" s="86">
        <v>46118</v>
      </c>
      <c r="AC56" s="86">
        <v>46118</v>
      </c>
      <c r="AD56" s="221">
        <v>46118</v>
      </c>
    </row>
    <row r="57" spans="1:30" ht="20.25" customHeight="1" thickBot="1">
      <c r="A57" s="535"/>
      <c r="B57" s="523"/>
      <c r="C57" s="521"/>
      <c r="D57" s="228" t="s">
        <v>308</v>
      </c>
      <c r="E57" s="282"/>
      <c r="F57" s="308">
        <v>46076</v>
      </c>
      <c r="G57" s="226">
        <v>46076</v>
      </c>
      <c r="H57" s="226">
        <v>46076</v>
      </c>
      <c r="I57" s="226">
        <v>46076</v>
      </c>
      <c r="J57" s="226">
        <v>46076</v>
      </c>
      <c r="K57" s="282"/>
      <c r="L57" s="226">
        <v>46090</v>
      </c>
      <c r="M57" s="226">
        <v>46090</v>
      </c>
      <c r="N57" s="226">
        <v>46090</v>
      </c>
      <c r="O57" s="226">
        <v>46090</v>
      </c>
      <c r="P57" s="226">
        <v>46090</v>
      </c>
      <c r="Q57" s="282"/>
      <c r="R57" s="226">
        <v>46104</v>
      </c>
      <c r="S57" s="226">
        <v>46104</v>
      </c>
      <c r="T57" s="226">
        <v>46104</v>
      </c>
      <c r="U57" s="226">
        <v>46104</v>
      </c>
      <c r="V57" s="226">
        <v>46104</v>
      </c>
      <c r="W57" s="226">
        <v>46104</v>
      </c>
      <c r="X57" s="226">
        <v>46104</v>
      </c>
      <c r="Y57" s="226">
        <v>46104</v>
      </c>
      <c r="Z57" s="282"/>
      <c r="AA57" s="226">
        <v>46118</v>
      </c>
      <c r="AB57" s="226">
        <v>46118</v>
      </c>
      <c r="AC57" s="226">
        <v>46118</v>
      </c>
      <c r="AD57" s="227">
        <v>46118</v>
      </c>
    </row>
    <row r="58" spans="1:30" ht="20.25" customHeight="1">
      <c r="A58" s="527" t="s">
        <v>309</v>
      </c>
      <c r="B58" s="529" t="s">
        <v>301</v>
      </c>
      <c r="C58" s="532" t="s">
        <v>310</v>
      </c>
      <c r="D58" s="232" t="s">
        <v>311</v>
      </c>
      <c r="E58" s="281"/>
      <c r="F58" s="306">
        <v>46090</v>
      </c>
      <c r="G58" s="219">
        <v>46090</v>
      </c>
      <c r="H58" s="219">
        <v>46090</v>
      </c>
      <c r="I58" s="219">
        <v>46090</v>
      </c>
      <c r="J58" s="219">
        <v>46090</v>
      </c>
      <c r="K58" s="281"/>
      <c r="L58" s="219">
        <v>46104</v>
      </c>
      <c r="M58" s="219">
        <v>46104</v>
      </c>
      <c r="N58" s="219">
        <v>46104</v>
      </c>
      <c r="O58" s="219">
        <v>46104</v>
      </c>
      <c r="P58" s="219">
        <v>46104</v>
      </c>
      <c r="Q58" s="281"/>
      <c r="R58" s="219">
        <v>46118</v>
      </c>
      <c r="S58" s="219">
        <v>46118</v>
      </c>
      <c r="T58" s="219">
        <v>46118</v>
      </c>
      <c r="U58" s="219">
        <v>46118</v>
      </c>
      <c r="V58" s="219">
        <v>46118</v>
      </c>
      <c r="W58" s="219">
        <v>46118</v>
      </c>
      <c r="X58" s="219">
        <v>46118</v>
      </c>
      <c r="Y58" s="219">
        <v>46118</v>
      </c>
      <c r="Z58" s="281"/>
      <c r="AA58" s="219">
        <v>46132</v>
      </c>
      <c r="AB58" s="219">
        <v>46132</v>
      </c>
      <c r="AC58" s="219">
        <v>46132</v>
      </c>
      <c r="AD58" s="223">
        <v>46132</v>
      </c>
    </row>
    <row r="59" spans="1:30" ht="20.25" customHeight="1">
      <c r="A59" s="527"/>
      <c r="B59" s="530"/>
      <c r="C59" s="521"/>
      <c r="D59" s="228" t="s">
        <v>312</v>
      </c>
      <c r="E59" s="282"/>
      <c r="F59" s="278">
        <v>46090</v>
      </c>
      <c r="G59" s="86">
        <v>46090</v>
      </c>
      <c r="H59" s="86">
        <v>46090</v>
      </c>
      <c r="I59" s="86">
        <v>46090</v>
      </c>
      <c r="J59" s="86">
        <v>46090</v>
      </c>
      <c r="K59" s="282"/>
      <c r="L59" s="86">
        <v>46104</v>
      </c>
      <c r="M59" s="86">
        <v>46104</v>
      </c>
      <c r="N59" s="86">
        <v>46104</v>
      </c>
      <c r="O59" s="86">
        <v>46104</v>
      </c>
      <c r="P59" s="86">
        <v>46104</v>
      </c>
      <c r="Q59" s="282"/>
      <c r="R59" s="86">
        <v>46118</v>
      </c>
      <c r="S59" s="86">
        <v>46118</v>
      </c>
      <c r="T59" s="86">
        <v>46118</v>
      </c>
      <c r="U59" s="86">
        <v>46118</v>
      </c>
      <c r="V59" s="86">
        <v>46118</v>
      </c>
      <c r="W59" s="86">
        <v>46118</v>
      </c>
      <c r="X59" s="86">
        <v>46118</v>
      </c>
      <c r="Y59" s="86">
        <v>46118</v>
      </c>
      <c r="Z59" s="282"/>
      <c r="AA59" s="86">
        <v>46132</v>
      </c>
      <c r="AB59" s="86">
        <v>46132</v>
      </c>
      <c r="AC59" s="86">
        <v>46132</v>
      </c>
      <c r="AD59" s="221">
        <v>46132</v>
      </c>
    </row>
    <row r="60" spans="1:30" ht="20.25" customHeight="1">
      <c r="A60" s="527"/>
      <c r="B60" s="530"/>
      <c r="C60" s="521"/>
      <c r="D60" s="228" t="s">
        <v>313</v>
      </c>
      <c r="E60" s="282"/>
      <c r="F60" s="278">
        <v>46090</v>
      </c>
      <c r="G60" s="86">
        <v>46090</v>
      </c>
      <c r="H60" s="86">
        <v>46090</v>
      </c>
      <c r="I60" s="86">
        <v>46090</v>
      </c>
      <c r="J60" s="86">
        <v>46090</v>
      </c>
      <c r="K60" s="282"/>
      <c r="L60" s="86">
        <v>46104</v>
      </c>
      <c r="M60" s="86">
        <v>46104</v>
      </c>
      <c r="N60" s="86">
        <v>46104</v>
      </c>
      <c r="O60" s="86">
        <v>46104</v>
      </c>
      <c r="P60" s="86">
        <v>46104</v>
      </c>
      <c r="Q60" s="282"/>
      <c r="R60" s="86">
        <v>46118</v>
      </c>
      <c r="S60" s="86">
        <v>46118</v>
      </c>
      <c r="T60" s="86">
        <v>46118</v>
      </c>
      <c r="U60" s="86">
        <v>46118</v>
      </c>
      <c r="V60" s="86">
        <v>46118</v>
      </c>
      <c r="W60" s="86">
        <v>46118</v>
      </c>
      <c r="X60" s="86">
        <v>46118</v>
      </c>
      <c r="Y60" s="86">
        <v>46118</v>
      </c>
      <c r="Z60" s="282"/>
      <c r="AA60" s="86">
        <v>46132</v>
      </c>
      <c r="AB60" s="86">
        <v>46132</v>
      </c>
      <c r="AC60" s="86">
        <v>46132</v>
      </c>
      <c r="AD60" s="221">
        <v>46132</v>
      </c>
    </row>
    <row r="61" spans="1:30" ht="20.25" customHeight="1" thickBot="1">
      <c r="A61" s="528"/>
      <c r="B61" s="531"/>
      <c r="C61" s="522"/>
      <c r="D61" s="330" t="s">
        <v>314</v>
      </c>
      <c r="E61" s="283"/>
      <c r="F61" s="294">
        <v>46091</v>
      </c>
      <c r="G61" s="216">
        <v>46091</v>
      </c>
      <c r="H61" s="216">
        <v>46091</v>
      </c>
      <c r="I61" s="216">
        <v>46091</v>
      </c>
      <c r="J61" s="216">
        <v>46091</v>
      </c>
      <c r="K61" s="283"/>
      <c r="L61" s="216">
        <v>46105</v>
      </c>
      <c r="M61" s="216">
        <v>46105</v>
      </c>
      <c r="N61" s="216">
        <v>46105</v>
      </c>
      <c r="O61" s="216">
        <v>46105</v>
      </c>
      <c r="P61" s="216">
        <v>46105</v>
      </c>
      <c r="Q61" s="283"/>
      <c r="R61" s="216">
        <v>46119</v>
      </c>
      <c r="S61" s="216">
        <v>46119</v>
      </c>
      <c r="T61" s="216">
        <v>46119</v>
      </c>
      <c r="U61" s="216">
        <v>46119</v>
      </c>
      <c r="V61" s="216">
        <v>46119</v>
      </c>
      <c r="W61" s="216">
        <v>46119</v>
      </c>
      <c r="X61" s="216">
        <v>46119</v>
      </c>
      <c r="Y61" s="216">
        <v>46119</v>
      </c>
      <c r="Z61" s="283"/>
      <c r="AA61" s="216">
        <v>46133</v>
      </c>
      <c r="AB61" s="216">
        <v>46133</v>
      </c>
      <c r="AC61" s="216">
        <v>46133</v>
      </c>
      <c r="AD61" s="224">
        <v>46133</v>
      </c>
    </row>
    <row r="62" spans="1:30">
      <c r="A62" s="207"/>
    </row>
    <row r="63" spans="1:30"/>
    <row r="64" spans="1:30"/>
  </sheetData>
  <mergeCells count="39">
    <mergeCell ref="C21:C24"/>
    <mergeCell ref="A30:A33"/>
    <mergeCell ref="B30:B33"/>
    <mergeCell ref="C30:C33"/>
    <mergeCell ref="A25:A28"/>
    <mergeCell ref="B25:B28"/>
    <mergeCell ref="C25:C28"/>
    <mergeCell ref="B48:B51"/>
    <mergeCell ref="C48:C51"/>
    <mergeCell ref="A3:A7"/>
    <mergeCell ref="B3:B7"/>
    <mergeCell ref="C3:C7"/>
    <mergeCell ref="A8:A11"/>
    <mergeCell ref="B8:B11"/>
    <mergeCell ref="C8:C11"/>
    <mergeCell ref="A13:A16"/>
    <mergeCell ref="B13:B16"/>
    <mergeCell ref="C13:C16"/>
    <mergeCell ref="A17:A20"/>
    <mergeCell ref="B17:B20"/>
    <mergeCell ref="C17:C20"/>
    <mergeCell ref="A21:A24"/>
    <mergeCell ref="B21:B24"/>
    <mergeCell ref="C35:C39"/>
    <mergeCell ref="B35:B39"/>
    <mergeCell ref="A35:A39"/>
    <mergeCell ref="A58:A61"/>
    <mergeCell ref="B58:B61"/>
    <mergeCell ref="C58:C61"/>
    <mergeCell ref="A40:A44"/>
    <mergeCell ref="B40:B44"/>
    <mergeCell ref="C40:C44"/>
    <mergeCell ref="A45:A47"/>
    <mergeCell ref="B45:B47"/>
    <mergeCell ref="C45:C47"/>
    <mergeCell ref="A52:A57"/>
    <mergeCell ref="B52:B57"/>
    <mergeCell ref="C52:C57"/>
    <mergeCell ref="A48:A51"/>
  </mergeCells>
  <conditionalFormatting sqref="E2:G2 E3:AD11 E12:G12 K12:AD34 F13:J16 E13:E28 F17:G28 E29:G29 F30:G34 E30:E61 F35:AD61">
    <cfRule type="expression" dxfId="10" priority="6">
      <formula>AND(   ISNUMBER(E2),   E2&gt;=TODAY(),   E2&lt;=TODAY()+7 )</formula>
    </cfRule>
  </conditionalFormatting>
  <conditionalFormatting sqref="K2:AD2">
    <cfRule type="expression" dxfId="9" priority="3">
      <formula>AND(   ISNUMBER(K2),   K2&gt;=TODAY(),   K2&lt;=TODAY()+7 )</formula>
    </cfRule>
  </conditionalFormatting>
  <conditionalFormatting sqref="S12:T12">
    <cfRule type="expression" dxfId="8" priority="2">
      <formula>AND(   ISNUMBER(S12),   S12&gt;=TODAY(),   S12&lt;=TODAY()+7 )</formula>
    </cfRule>
  </conditionalFormatting>
  <conditionalFormatting sqref="S29:T34">
    <cfRule type="expression" dxfId="7" priority="1">
      <formula>AND(   ISNUMBER(S29),   S29&gt;=TODAY(),   S29&lt;=TODAY()+7 )</formula>
    </cfRule>
  </conditionalFormatting>
  <conditionalFormatting sqref="AD41">
    <cfRule type="expression" dxfId="6" priority="7">
      <formula>AND(   ISNUMBER(F4),   F4&gt;=TODAY(),   F4&lt;=TODAY()+7 )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F749-26C9-464A-B9F4-E865A53A8637}">
  <sheetPr filterMode="1">
    <tabColor theme="6" tint="0.39997558519241921"/>
  </sheetPr>
  <dimension ref="A1:DT1005"/>
  <sheetViews>
    <sheetView tabSelected="1" zoomScale="85" zoomScaleNormal="85" workbookViewId="0">
      <selection activeCell="I18" sqref="I18"/>
    </sheetView>
  </sheetViews>
  <sheetFormatPr defaultColWidth="11.25" defaultRowHeight="15.6"/>
  <cols>
    <col min="1" max="1" width="3" style="112" customWidth="1"/>
    <col min="2" max="2" width="26.25" style="48" customWidth="1"/>
    <col min="3" max="3" width="10.75" customWidth="1"/>
    <col min="4" max="4" width="0.75" customWidth="1"/>
    <col min="5" max="5" width="13" customWidth="1"/>
    <col min="6" max="6" width="14.25" customWidth="1"/>
    <col min="7" max="7" width="13.25" customWidth="1"/>
    <col min="8" max="9" width="12.5" customWidth="1"/>
    <col min="10" max="12" width="12.75" customWidth="1"/>
    <col min="13" max="24" width="3.75" customWidth="1"/>
    <col min="25" max="25" width="26" style="48" customWidth="1"/>
    <col min="26" max="26" width="13.25" customWidth="1"/>
    <col min="27" max="27" width="14.75" customWidth="1"/>
    <col min="28" max="29" width="10.75" customWidth="1"/>
    <col min="30" max="31" width="10.75" hidden="1" customWidth="1"/>
    <col min="32" max="123" width="3.75" customWidth="1"/>
    <col min="124" max="124" width="7.25" customWidth="1"/>
  </cols>
  <sheetData>
    <row r="1" spans="1:124" ht="15.75" customHeight="1" thickBot="1">
      <c r="B1" s="395"/>
      <c r="C1" s="411"/>
      <c r="D1" s="1"/>
      <c r="E1" s="548" t="s">
        <v>0</v>
      </c>
      <c r="F1" s="548"/>
      <c r="G1" s="548"/>
      <c r="H1" s="548"/>
      <c r="I1" s="548"/>
      <c r="J1" s="54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55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</row>
    <row r="2" spans="1:124" ht="30" customHeight="1" thickBot="1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315</v>
      </c>
      <c r="L2" s="4" t="s">
        <v>316</v>
      </c>
      <c r="M2" s="4" t="s">
        <v>317</v>
      </c>
      <c r="N2" s="4" t="s">
        <v>318</v>
      </c>
      <c r="O2" s="4" t="s">
        <v>319</v>
      </c>
      <c r="P2" s="4" t="s">
        <v>320</v>
      </c>
      <c r="Q2" s="4" t="s">
        <v>321</v>
      </c>
      <c r="R2" s="4" t="s">
        <v>322</v>
      </c>
      <c r="S2" s="4" t="s">
        <v>323</v>
      </c>
      <c r="T2" s="4" t="s">
        <v>324</v>
      </c>
      <c r="U2" s="4" t="s">
        <v>325</v>
      </c>
      <c r="V2" s="4" t="s">
        <v>326</v>
      </c>
      <c r="W2" s="4" t="s">
        <v>327</v>
      </c>
      <c r="X2" s="4" t="s">
        <v>328</v>
      </c>
      <c r="Y2" s="4" t="s">
        <v>10</v>
      </c>
      <c r="Z2" s="4" t="s">
        <v>329</v>
      </c>
      <c r="AA2" s="4" t="s">
        <v>330</v>
      </c>
      <c r="AB2" s="4" t="s">
        <v>331</v>
      </c>
      <c r="AC2" s="4" t="s">
        <v>332</v>
      </c>
      <c r="AD2" s="4" t="s">
        <v>333</v>
      </c>
      <c r="AE2" s="4" t="s">
        <v>334</v>
      </c>
      <c r="AF2" s="25">
        <v>46024</v>
      </c>
      <c r="AG2" s="26">
        <f t="shared" ref="AG2:AS2" si="0">AF2+1</f>
        <v>46025</v>
      </c>
      <c r="AH2" s="26">
        <f t="shared" si="0"/>
        <v>46026</v>
      </c>
      <c r="AI2" s="25">
        <f t="shared" si="0"/>
        <v>46027</v>
      </c>
      <c r="AJ2" s="25">
        <f t="shared" si="0"/>
        <v>46028</v>
      </c>
      <c r="AK2" s="25">
        <f t="shared" si="0"/>
        <v>46029</v>
      </c>
      <c r="AL2" s="25">
        <f t="shared" si="0"/>
        <v>46030</v>
      </c>
      <c r="AM2" s="25">
        <f t="shared" si="0"/>
        <v>46031</v>
      </c>
      <c r="AN2" s="26">
        <f t="shared" si="0"/>
        <v>46032</v>
      </c>
      <c r="AO2" s="26">
        <f t="shared" si="0"/>
        <v>46033</v>
      </c>
      <c r="AP2" s="25">
        <f t="shared" si="0"/>
        <v>46034</v>
      </c>
      <c r="AQ2" s="25">
        <f t="shared" si="0"/>
        <v>46035</v>
      </c>
      <c r="AR2" s="25">
        <f t="shared" si="0"/>
        <v>46036</v>
      </c>
      <c r="AS2" s="25">
        <f t="shared" si="0"/>
        <v>46037</v>
      </c>
      <c r="AT2" s="25">
        <v>46038</v>
      </c>
      <c r="AU2" s="26">
        <f t="shared" ref="AU2:BZ2" si="1">AT2+1</f>
        <v>46039</v>
      </c>
      <c r="AV2" s="26">
        <f t="shared" si="1"/>
        <v>46040</v>
      </c>
      <c r="AW2" s="25">
        <f t="shared" si="1"/>
        <v>46041</v>
      </c>
      <c r="AX2" s="25">
        <f t="shared" si="1"/>
        <v>46042</v>
      </c>
      <c r="AY2" s="25">
        <f t="shared" si="1"/>
        <v>46043</v>
      </c>
      <c r="AZ2" s="25">
        <f t="shared" si="1"/>
        <v>46044</v>
      </c>
      <c r="BA2" s="25">
        <f t="shared" si="1"/>
        <v>46045</v>
      </c>
      <c r="BB2" s="26">
        <f t="shared" si="1"/>
        <v>46046</v>
      </c>
      <c r="BC2" s="26">
        <f t="shared" si="1"/>
        <v>46047</v>
      </c>
      <c r="BD2" s="25">
        <f t="shared" si="1"/>
        <v>46048</v>
      </c>
      <c r="BE2" s="25">
        <f t="shared" si="1"/>
        <v>46049</v>
      </c>
      <c r="BF2" s="25">
        <f t="shared" si="1"/>
        <v>46050</v>
      </c>
      <c r="BG2" s="25">
        <f t="shared" si="1"/>
        <v>46051</v>
      </c>
      <c r="BH2" s="25">
        <f t="shared" si="1"/>
        <v>46052</v>
      </c>
      <c r="BI2" s="26">
        <f t="shared" si="1"/>
        <v>46053</v>
      </c>
      <c r="BJ2" s="26">
        <f t="shared" si="1"/>
        <v>46054</v>
      </c>
      <c r="BK2" s="25">
        <f t="shared" si="1"/>
        <v>46055</v>
      </c>
      <c r="BL2" s="25">
        <f t="shared" si="1"/>
        <v>46056</v>
      </c>
      <c r="BM2" s="25">
        <f t="shared" si="1"/>
        <v>46057</v>
      </c>
      <c r="BN2" s="25">
        <f t="shared" si="1"/>
        <v>46058</v>
      </c>
      <c r="BO2" s="25">
        <f t="shared" si="1"/>
        <v>46059</v>
      </c>
      <c r="BP2" s="26">
        <f t="shared" si="1"/>
        <v>46060</v>
      </c>
      <c r="BQ2" s="26">
        <f t="shared" si="1"/>
        <v>46061</v>
      </c>
      <c r="BR2" s="25">
        <f t="shared" si="1"/>
        <v>46062</v>
      </c>
      <c r="BS2" s="25">
        <f t="shared" si="1"/>
        <v>46063</v>
      </c>
      <c r="BT2" s="25">
        <f t="shared" si="1"/>
        <v>46064</v>
      </c>
      <c r="BU2" s="25">
        <f t="shared" si="1"/>
        <v>46065</v>
      </c>
      <c r="BV2" s="25">
        <f t="shared" si="1"/>
        <v>46066</v>
      </c>
      <c r="BW2" s="26">
        <f t="shared" si="1"/>
        <v>46067</v>
      </c>
      <c r="BX2" s="26">
        <f t="shared" si="1"/>
        <v>46068</v>
      </c>
      <c r="BY2" s="25">
        <f t="shared" si="1"/>
        <v>46069</v>
      </c>
      <c r="BZ2" s="25">
        <f t="shared" si="1"/>
        <v>46070</v>
      </c>
      <c r="CA2" s="25">
        <f t="shared" ref="CA2:DF2" si="2">BZ2+1</f>
        <v>46071</v>
      </c>
      <c r="CB2" s="25">
        <f t="shared" si="2"/>
        <v>46072</v>
      </c>
      <c r="CC2" s="25">
        <f t="shared" si="2"/>
        <v>46073</v>
      </c>
      <c r="CD2" s="26">
        <f t="shared" si="2"/>
        <v>46074</v>
      </c>
      <c r="CE2" s="26">
        <f t="shared" si="2"/>
        <v>46075</v>
      </c>
      <c r="CF2" s="25">
        <f t="shared" si="2"/>
        <v>46076</v>
      </c>
      <c r="CG2" s="25">
        <f t="shared" si="2"/>
        <v>46077</v>
      </c>
      <c r="CH2" s="25">
        <f t="shared" si="2"/>
        <v>46078</v>
      </c>
      <c r="CI2" s="25">
        <f t="shared" si="2"/>
        <v>46079</v>
      </c>
      <c r="CJ2" s="25">
        <f t="shared" si="2"/>
        <v>46080</v>
      </c>
      <c r="CK2" s="26">
        <f t="shared" si="2"/>
        <v>46081</v>
      </c>
      <c r="CL2" s="26">
        <f t="shared" si="2"/>
        <v>46082</v>
      </c>
      <c r="CM2" s="25">
        <f t="shared" si="2"/>
        <v>46083</v>
      </c>
      <c r="CN2" s="25">
        <f t="shared" si="2"/>
        <v>46084</v>
      </c>
      <c r="CO2" s="25">
        <f t="shared" si="2"/>
        <v>46085</v>
      </c>
      <c r="CP2" s="25">
        <f t="shared" si="2"/>
        <v>46086</v>
      </c>
      <c r="CQ2" s="25">
        <f t="shared" si="2"/>
        <v>46087</v>
      </c>
      <c r="CR2" s="26">
        <f t="shared" si="2"/>
        <v>46088</v>
      </c>
      <c r="CS2" s="26">
        <f t="shared" si="2"/>
        <v>46089</v>
      </c>
      <c r="CT2" s="25">
        <f t="shared" si="2"/>
        <v>46090</v>
      </c>
      <c r="CU2" s="25">
        <f t="shared" si="2"/>
        <v>46091</v>
      </c>
      <c r="CV2" s="25">
        <f t="shared" si="2"/>
        <v>46092</v>
      </c>
      <c r="CW2" s="25">
        <f t="shared" si="2"/>
        <v>46093</v>
      </c>
      <c r="CX2" s="25">
        <f t="shared" si="2"/>
        <v>46094</v>
      </c>
      <c r="CY2" s="26">
        <f t="shared" si="2"/>
        <v>46095</v>
      </c>
      <c r="CZ2" s="26">
        <f t="shared" si="2"/>
        <v>46096</v>
      </c>
      <c r="DA2" s="25">
        <f t="shared" si="2"/>
        <v>46097</v>
      </c>
      <c r="DB2" s="25">
        <f t="shared" si="2"/>
        <v>46098</v>
      </c>
      <c r="DC2" s="25">
        <f t="shared" si="2"/>
        <v>46099</v>
      </c>
      <c r="DD2" s="25">
        <f t="shared" si="2"/>
        <v>46100</v>
      </c>
      <c r="DE2" s="25">
        <f t="shared" si="2"/>
        <v>46101</v>
      </c>
      <c r="DF2" s="26">
        <f t="shared" si="2"/>
        <v>46102</v>
      </c>
      <c r="DG2" s="26">
        <f t="shared" ref="DG2:DM2" si="3">DF2+1</f>
        <v>46103</v>
      </c>
      <c r="DH2" s="25">
        <f t="shared" si="3"/>
        <v>46104</v>
      </c>
      <c r="DI2" s="25">
        <f t="shared" si="3"/>
        <v>46105</v>
      </c>
      <c r="DJ2" s="25">
        <f t="shared" si="3"/>
        <v>46106</v>
      </c>
      <c r="DK2" s="25">
        <f t="shared" si="3"/>
        <v>46107</v>
      </c>
      <c r="DL2" s="25">
        <f t="shared" si="3"/>
        <v>46108</v>
      </c>
      <c r="DM2" s="26">
        <f t="shared" si="3"/>
        <v>46109</v>
      </c>
      <c r="DN2" s="26">
        <f>DL2+1</f>
        <v>46109</v>
      </c>
      <c r="DO2" s="25">
        <f>DN2+1</f>
        <v>46110</v>
      </c>
      <c r="DP2" s="25">
        <f>DO2+1</f>
        <v>46111</v>
      </c>
      <c r="DQ2" s="25">
        <f>DP2+1</f>
        <v>46112</v>
      </c>
      <c r="DR2" s="25">
        <f>DQ2+1</f>
        <v>46113</v>
      </c>
      <c r="DS2" s="25">
        <f>DR2+1</f>
        <v>46114</v>
      </c>
      <c r="DT2" s="24" t="s">
        <v>335</v>
      </c>
    </row>
    <row r="3" spans="1:124" ht="30" customHeight="1" thickTop="1" thickBot="1">
      <c r="A3"/>
      <c r="B3" s="42" t="s">
        <v>93</v>
      </c>
      <c r="C3" s="6" t="s">
        <v>20</v>
      </c>
      <c r="D3" s="6"/>
      <c r="E3" s="178">
        <v>46015</v>
      </c>
      <c r="F3" s="179">
        <v>46029</v>
      </c>
      <c r="G3" s="180">
        <f>F3+2</f>
        <v>46031</v>
      </c>
      <c r="H3" s="323" t="s">
        <v>16</v>
      </c>
      <c r="I3" s="177">
        <f t="shared" ref="I3:I10" si="4">G3+7</f>
        <v>46038</v>
      </c>
      <c r="J3" s="181">
        <f t="shared" ref="J3:J23" si="5">I3</f>
        <v>46038</v>
      </c>
      <c r="K3" s="181" t="s">
        <v>222</v>
      </c>
      <c r="L3" s="156" t="s">
        <v>222</v>
      </c>
      <c r="M3" s="72" t="s">
        <v>336</v>
      </c>
      <c r="N3" s="72" t="s">
        <v>336</v>
      </c>
      <c r="O3" s="72" t="s">
        <v>336</v>
      </c>
      <c r="P3" s="72" t="s">
        <v>336</v>
      </c>
      <c r="Q3" s="72" t="s">
        <v>336</v>
      </c>
      <c r="R3" s="72" t="s">
        <v>336</v>
      </c>
      <c r="S3" s="72" t="s">
        <v>336</v>
      </c>
      <c r="T3" s="23"/>
      <c r="U3" s="23"/>
      <c r="V3" s="23"/>
      <c r="W3" s="23"/>
      <c r="X3" s="23"/>
      <c r="Y3" s="356" t="s">
        <v>337</v>
      </c>
      <c r="Z3" s="357">
        <v>575</v>
      </c>
      <c r="AA3" s="358">
        <v>55</v>
      </c>
      <c r="AB3" s="357">
        <v>1</v>
      </c>
      <c r="AC3" s="357" t="s">
        <v>338</v>
      </c>
      <c r="AD3" s="13">
        <v>7.8571428571428568</v>
      </c>
      <c r="AE3" s="13">
        <v>6.875</v>
      </c>
      <c r="AF3" s="13"/>
      <c r="AG3" s="83"/>
      <c r="AH3" s="83"/>
      <c r="AI3" s="13"/>
      <c r="AJ3" s="13"/>
      <c r="AK3" s="13"/>
      <c r="AL3" s="13"/>
      <c r="AM3" s="13"/>
      <c r="AN3" s="83"/>
      <c r="AO3" s="83"/>
      <c r="AP3" s="13"/>
      <c r="AQ3" s="13"/>
      <c r="AR3" s="13"/>
      <c r="AS3" s="13"/>
      <c r="AT3" s="13" t="s">
        <v>146</v>
      </c>
      <c r="AU3" s="83"/>
      <c r="AV3" s="83"/>
      <c r="AW3" s="13" t="s">
        <v>146</v>
      </c>
      <c r="AX3" s="13" t="s">
        <v>146</v>
      </c>
      <c r="AY3" s="13" t="s">
        <v>146</v>
      </c>
      <c r="AZ3" s="13" t="s">
        <v>146</v>
      </c>
      <c r="BA3" s="13" t="s">
        <v>146</v>
      </c>
      <c r="BB3" s="83"/>
      <c r="BC3" s="83"/>
      <c r="BD3" s="13" t="s">
        <v>146</v>
      </c>
      <c r="BE3" s="13" t="s">
        <v>146</v>
      </c>
      <c r="BF3" s="13" t="s">
        <v>146</v>
      </c>
      <c r="BG3" s="13"/>
      <c r="BH3" s="13"/>
      <c r="BI3" s="83"/>
      <c r="BJ3" s="83"/>
      <c r="BK3" s="13"/>
      <c r="BL3" s="13"/>
      <c r="BM3" s="13"/>
      <c r="BN3" s="13"/>
      <c r="BO3" s="13"/>
      <c r="BP3" s="83"/>
      <c r="BQ3" s="83"/>
      <c r="BR3" s="13"/>
      <c r="BS3" s="13"/>
      <c r="BT3" s="13"/>
      <c r="BU3" s="13"/>
      <c r="BV3" s="13"/>
      <c r="BW3" s="83"/>
      <c r="BX3" s="83"/>
      <c r="BY3" s="13"/>
      <c r="BZ3" s="13"/>
      <c r="CA3" s="13"/>
      <c r="CB3" s="13"/>
      <c r="CC3" s="13"/>
      <c r="CD3" s="83"/>
      <c r="CE3" s="83"/>
      <c r="CF3" s="13"/>
      <c r="CG3" s="13"/>
      <c r="CH3" s="13"/>
      <c r="CI3" s="13"/>
      <c r="CJ3" s="13"/>
      <c r="CK3" s="83"/>
      <c r="CL3" s="83"/>
      <c r="CM3" s="13"/>
      <c r="CN3" s="13"/>
      <c r="CO3" s="13"/>
      <c r="CP3" s="13"/>
      <c r="CQ3" s="13"/>
      <c r="CR3" s="83"/>
      <c r="CS3" s="83"/>
      <c r="CT3" s="13"/>
      <c r="CU3" s="13"/>
      <c r="CV3" s="13"/>
      <c r="CW3" s="13"/>
      <c r="CX3" s="13"/>
      <c r="CY3" s="83"/>
      <c r="CZ3" s="83"/>
      <c r="DA3" s="13"/>
      <c r="DB3" s="13"/>
      <c r="DC3" s="13"/>
      <c r="DD3" s="13"/>
      <c r="DE3" s="13"/>
      <c r="DF3" s="83"/>
      <c r="DG3" s="83"/>
      <c r="DH3" s="13"/>
      <c r="DI3" s="13"/>
      <c r="DJ3" s="13"/>
      <c r="DK3" s="13"/>
      <c r="DL3" s="13"/>
      <c r="DM3" s="83"/>
      <c r="DN3" s="83"/>
      <c r="DO3" s="13"/>
      <c r="DP3" s="13"/>
      <c r="DQ3" s="13"/>
      <c r="DR3" s="13"/>
      <c r="DS3" s="13"/>
      <c r="DT3" s="13">
        <f t="shared" ref="DT3:DT29" si="6">COUNTIF(AF3:DS3,"X")</f>
        <v>9</v>
      </c>
    </row>
    <row r="4" spans="1:124" ht="30" customHeight="1" thickBot="1">
      <c r="A4"/>
      <c r="B4" s="42" t="s">
        <v>94</v>
      </c>
      <c r="C4" s="6" t="s">
        <v>20</v>
      </c>
      <c r="D4" s="6"/>
      <c r="E4" s="178">
        <v>46015</v>
      </c>
      <c r="F4" s="179">
        <v>46029</v>
      </c>
      <c r="G4" s="180">
        <f>F4+2</f>
        <v>46031</v>
      </c>
      <c r="H4" s="323" t="s">
        <v>16</v>
      </c>
      <c r="I4" s="177">
        <f t="shared" si="4"/>
        <v>46038</v>
      </c>
      <c r="J4" s="181">
        <f t="shared" si="5"/>
        <v>46038</v>
      </c>
      <c r="K4" s="181" t="s">
        <v>222</v>
      </c>
      <c r="L4" s="156" t="s">
        <v>222</v>
      </c>
      <c r="M4" s="72" t="s">
        <v>336</v>
      </c>
      <c r="N4" s="72" t="s">
        <v>336</v>
      </c>
      <c r="O4" s="72" t="s">
        <v>336</v>
      </c>
      <c r="P4" s="72" t="s">
        <v>336</v>
      </c>
      <c r="Q4" s="72" t="s">
        <v>336</v>
      </c>
      <c r="R4" s="72" t="s">
        <v>336</v>
      </c>
      <c r="S4" s="72" t="s">
        <v>336</v>
      </c>
      <c r="T4" s="23"/>
      <c r="U4" s="23"/>
      <c r="V4" s="23"/>
      <c r="W4" s="23"/>
      <c r="X4" s="23"/>
      <c r="Y4" s="356" t="s">
        <v>339</v>
      </c>
      <c r="Z4" s="357"/>
      <c r="AA4" s="358">
        <v>85</v>
      </c>
      <c r="AB4" s="357">
        <v>2</v>
      </c>
      <c r="AC4" s="357" t="s">
        <v>340</v>
      </c>
      <c r="AD4" s="13">
        <v>12.142857142857142</v>
      </c>
      <c r="AE4" s="13">
        <v>10.625</v>
      </c>
      <c r="AF4" s="13"/>
      <c r="AG4" s="83"/>
      <c r="AH4" s="83"/>
      <c r="AI4" s="13"/>
      <c r="AJ4" s="13"/>
      <c r="AK4" s="13"/>
      <c r="AL4" s="13"/>
      <c r="AM4" s="13"/>
      <c r="AN4" s="83"/>
      <c r="AO4" s="83"/>
      <c r="AP4" s="13"/>
      <c r="AQ4" s="13"/>
      <c r="AR4" s="13"/>
      <c r="AS4" s="13"/>
      <c r="AT4" s="13" t="s">
        <v>146</v>
      </c>
      <c r="AU4" s="83"/>
      <c r="AV4" s="83"/>
      <c r="AW4" s="13" t="s">
        <v>146</v>
      </c>
      <c r="AX4" s="13" t="s">
        <v>146</v>
      </c>
      <c r="AY4" s="13" t="s">
        <v>146</v>
      </c>
      <c r="AZ4" s="13" t="s">
        <v>146</v>
      </c>
      <c r="BA4" s="13" t="s">
        <v>146</v>
      </c>
      <c r="BB4" s="83"/>
      <c r="BC4" s="83"/>
      <c r="BD4" s="13" t="s">
        <v>146</v>
      </c>
      <c r="BE4" s="13" t="s">
        <v>146</v>
      </c>
      <c r="BF4" s="13" t="s">
        <v>146</v>
      </c>
      <c r="BG4" s="13" t="s">
        <v>146</v>
      </c>
      <c r="BH4" s="13" t="s">
        <v>146</v>
      </c>
      <c r="BI4" s="83"/>
      <c r="BJ4" s="83"/>
      <c r="BK4" s="35" t="s">
        <v>341</v>
      </c>
      <c r="BL4" s="13"/>
      <c r="BM4" s="13"/>
      <c r="BN4" s="13"/>
      <c r="BO4" s="13"/>
      <c r="BP4" s="83"/>
      <c r="BQ4" s="83"/>
      <c r="BR4" s="13"/>
      <c r="BS4" s="13"/>
      <c r="BT4" s="13"/>
      <c r="BU4" s="13"/>
      <c r="BV4" s="13"/>
      <c r="BW4" s="83"/>
      <c r="BX4" s="83"/>
      <c r="BY4" s="13"/>
      <c r="BZ4" s="13"/>
      <c r="CA4" s="13"/>
      <c r="CB4" s="13"/>
      <c r="CC4" s="13"/>
      <c r="CD4" s="83"/>
      <c r="CE4" s="83"/>
      <c r="CF4" s="13"/>
      <c r="CG4" s="13"/>
      <c r="CH4" s="13"/>
      <c r="CI4" s="13"/>
      <c r="CJ4" s="13"/>
      <c r="CK4" s="83"/>
      <c r="CL4" s="83"/>
      <c r="CM4" s="13"/>
      <c r="CN4" s="13"/>
      <c r="CO4" s="13"/>
      <c r="CP4" s="13"/>
      <c r="CQ4" s="13"/>
      <c r="CR4" s="83"/>
      <c r="CS4" s="83"/>
      <c r="CT4" s="13"/>
      <c r="CU4" s="13"/>
      <c r="CV4" s="13"/>
      <c r="CW4" s="13"/>
      <c r="CX4" s="13"/>
      <c r="CY4" s="83"/>
      <c r="CZ4" s="83"/>
      <c r="DA4" s="13"/>
      <c r="DB4" s="13"/>
      <c r="DC4" s="13"/>
      <c r="DD4" s="13"/>
      <c r="DE4" s="13"/>
      <c r="DF4" s="83"/>
      <c r="DG4" s="83"/>
      <c r="DH4" s="13"/>
      <c r="DI4" s="13"/>
      <c r="DJ4" s="13"/>
      <c r="DK4" s="13"/>
      <c r="DL4" s="13"/>
      <c r="DM4" s="83"/>
      <c r="DN4" s="83"/>
      <c r="DO4" s="13"/>
      <c r="DP4" s="13"/>
      <c r="DQ4" s="13"/>
      <c r="DR4" s="13"/>
      <c r="DS4" s="13"/>
      <c r="DT4" s="13">
        <f t="shared" si="6"/>
        <v>11</v>
      </c>
    </row>
    <row r="5" spans="1:124" ht="30" customHeight="1" thickBot="1">
      <c r="A5"/>
      <c r="B5" s="42" t="s">
        <v>342</v>
      </c>
      <c r="C5" s="6" t="s">
        <v>20</v>
      </c>
      <c r="D5" s="6"/>
      <c r="E5" s="178">
        <v>46015</v>
      </c>
      <c r="F5" s="179">
        <v>46029</v>
      </c>
      <c r="G5" s="180">
        <f>F5+2</f>
        <v>46031</v>
      </c>
      <c r="H5" s="323" t="s">
        <v>16</v>
      </c>
      <c r="I5" s="177">
        <f t="shared" si="4"/>
        <v>46038</v>
      </c>
      <c r="J5" s="181">
        <f t="shared" si="5"/>
        <v>46038</v>
      </c>
      <c r="K5" s="181" t="s">
        <v>222</v>
      </c>
      <c r="L5" s="156" t="s">
        <v>222</v>
      </c>
      <c r="M5" s="72" t="s">
        <v>336</v>
      </c>
      <c r="N5" s="72" t="s">
        <v>336</v>
      </c>
      <c r="O5" s="72" t="s">
        <v>336</v>
      </c>
      <c r="P5" s="72" t="s">
        <v>336</v>
      </c>
      <c r="Q5" s="72" t="s">
        <v>336</v>
      </c>
      <c r="R5" s="72" t="s">
        <v>336</v>
      </c>
      <c r="S5" s="72" t="s">
        <v>336</v>
      </c>
      <c r="T5" s="23"/>
      <c r="U5" s="23"/>
      <c r="V5" s="23"/>
      <c r="W5" s="23"/>
      <c r="X5" s="23"/>
      <c r="Y5" s="90"/>
      <c r="Z5" s="357"/>
      <c r="AA5" s="358"/>
      <c r="AB5" s="357"/>
      <c r="AC5" s="357"/>
      <c r="AD5" s="13"/>
      <c r="AE5" s="13"/>
      <c r="AF5" s="13"/>
      <c r="AG5" s="83"/>
      <c r="AH5" s="83"/>
      <c r="AI5" s="13"/>
      <c r="AJ5" s="13"/>
      <c r="AK5" s="13"/>
      <c r="AL5" s="13"/>
      <c r="AM5" s="13"/>
      <c r="AN5" s="83"/>
      <c r="AO5" s="83"/>
      <c r="AP5" s="13"/>
      <c r="AQ5" s="13"/>
      <c r="AR5" s="13"/>
      <c r="AS5" s="13"/>
      <c r="AT5" s="13" t="s">
        <v>146</v>
      </c>
      <c r="AU5" s="83"/>
      <c r="AV5" s="83"/>
      <c r="AW5" s="13" t="s">
        <v>146</v>
      </c>
      <c r="AX5" s="13" t="s">
        <v>146</v>
      </c>
      <c r="AY5" s="13" t="s">
        <v>146</v>
      </c>
      <c r="AZ5" s="13" t="s">
        <v>146</v>
      </c>
      <c r="BA5" s="13" t="s">
        <v>146</v>
      </c>
      <c r="BB5" s="83"/>
      <c r="BC5" s="83"/>
      <c r="BD5" s="13" t="s">
        <v>146</v>
      </c>
      <c r="BE5" s="13" t="s">
        <v>146</v>
      </c>
      <c r="BF5" s="13" t="s">
        <v>146</v>
      </c>
      <c r="BG5" s="13" t="s">
        <v>146</v>
      </c>
      <c r="BH5" s="13" t="s">
        <v>146</v>
      </c>
      <c r="BI5" s="83"/>
      <c r="BJ5" s="83"/>
      <c r="BK5" s="35" t="s">
        <v>341</v>
      </c>
      <c r="BL5" s="13"/>
      <c r="BM5" s="13"/>
      <c r="BN5" s="13"/>
      <c r="BO5" s="13"/>
      <c r="BP5" s="83"/>
      <c r="BQ5" s="83"/>
      <c r="BR5" s="13"/>
      <c r="BS5" s="13"/>
      <c r="BT5" s="13"/>
      <c r="BU5" s="13"/>
      <c r="BV5" s="13"/>
      <c r="BW5" s="83"/>
      <c r="BX5" s="83"/>
      <c r="BY5" s="13"/>
      <c r="BZ5" s="13"/>
      <c r="CA5" s="13"/>
      <c r="CB5" s="13"/>
      <c r="CC5" s="13"/>
      <c r="CD5" s="83"/>
      <c r="CE5" s="83"/>
      <c r="CF5" s="13"/>
      <c r="CG5" s="13"/>
      <c r="CH5" s="13"/>
      <c r="CI5" s="13"/>
      <c r="CJ5" s="13"/>
      <c r="CK5" s="83"/>
      <c r="CL5" s="83"/>
      <c r="CM5" s="13"/>
      <c r="CN5" s="13"/>
      <c r="CO5" s="13"/>
      <c r="CP5" s="13"/>
      <c r="CQ5" s="13"/>
      <c r="CR5" s="83"/>
      <c r="CS5" s="83"/>
      <c r="CT5" s="13"/>
      <c r="CU5" s="13"/>
      <c r="CV5" s="13"/>
      <c r="CW5" s="13"/>
      <c r="CX5" s="13"/>
      <c r="CY5" s="83"/>
      <c r="CZ5" s="83"/>
      <c r="DA5" s="13"/>
      <c r="DB5" s="13"/>
      <c r="DC5" s="13"/>
      <c r="DD5" s="13"/>
      <c r="DE5" s="13"/>
      <c r="DF5" s="83"/>
      <c r="DG5" s="83"/>
      <c r="DH5" s="13"/>
      <c r="DI5" s="13"/>
      <c r="DJ5" s="13"/>
      <c r="DK5" s="13"/>
      <c r="DL5" s="13"/>
      <c r="DM5" s="83"/>
      <c r="DN5" s="83"/>
      <c r="DO5" s="13"/>
      <c r="DP5" s="13"/>
      <c r="DQ5" s="13"/>
      <c r="DR5" s="13"/>
      <c r="DS5" s="13"/>
      <c r="DT5" s="13"/>
    </row>
    <row r="6" spans="1:124" ht="30" hidden="1" customHeight="1" thickBot="1">
      <c r="B6" s="42" t="s">
        <v>96</v>
      </c>
      <c r="C6" s="6" t="s">
        <v>343</v>
      </c>
      <c r="D6" s="6"/>
      <c r="E6" s="382">
        <v>46015</v>
      </c>
      <c r="F6" s="383">
        <v>46031</v>
      </c>
      <c r="G6" s="382">
        <v>46052</v>
      </c>
      <c r="H6" s="494" t="s">
        <v>16</v>
      </c>
      <c r="I6" s="384">
        <v>46052</v>
      </c>
      <c r="J6" s="385">
        <f t="shared" si="5"/>
        <v>46052</v>
      </c>
      <c r="K6" s="94" t="s">
        <v>224</v>
      </c>
      <c r="L6" s="94" t="s">
        <v>344</v>
      </c>
      <c r="M6" s="72" t="s">
        <v>336</v>
      </c>
      <c r="N6" s="72" t="s">
        <v>336</v>
      </c>
      <c r="O6" s="72" t="s">
        <v>336</v>
      </c>
      <c r="P6" s="23"/>
      <c r="Q6" s="23"/>
      <c r="R6" s="23"/>
      <c r="S6" s="23"/>
      <c r="T6" s="23"/>
      <c r="U6" s="23"/>
      <c r="V6" s="23"/>
      <c r="W6" s="23"/>
      <c r="X6" s="23"/>
      <c r="Y6" s="90"/>
      <c r="Z6" s="13"/>
      <c r="AA6" s="34">
        <v>75</v>
      </c>
      <c r="AB6" s="13">
        <v>4</v>
      </c>
      <c r="AC6" s="13" t="s">
        <v>340</v>
      </c>
      <c r="AD6" s="13">
        <v>10.714285714285714</v>
      </c>
      <c r="AE6" s="13">
        <v>9.375</v>
      </c>
      <c r="AF6" s="13"/>
      <c r="AG6" s="83"/>
      <c r="AH6" s="83"/>
      <c r="AI6" s="13"/>
      <c r="AJ6" s="13"/>
      <c r="AK6" s="13"/>
      <c r="AL6" s="13"/>
      <c r="AM6" s="13"/>
      <c r="AN6" s="83"/>
      <c r="AO6" s="83"/>
      <c r="AP6" s="13"/>
      <c r="AQ6" s="13"/>
      <c r="AR6" s="13"/>
      <c r="AS6" s="13"/>
      <c r="AT6" s="13"/>
      <c r="AU6" s="83"/>
      <c r="AV6" s="83"/>
      <c r="AW6" s="13"/>
      <c r="AX6" s="13"/>
      <c r="AY6" s="13"/>
      <c r="AZ6" s="13"/>
      <c r="BA6" s="13"/>
      <c r="BB6" s="83"/>
      <c r="BC6" s="83"/>
      <c r="BD6" s="13"/>
      <c r="BE6" s="13"/>
      <c r="BF6" s="13"/>
      <c r="BG6" s="13"/>
      <c r="BH6" s="13" t="s">
        <v>146</v>
      </c>
      <c r="BI6" s="83"/>
      <c r="BJ6" s="83"/>
      <c r="BK6" s="13" t="s">
        <v>146</v>
      </c>
      <c r="BL6" s="13" t="s">
        <v>146</v>
      </c>
      <c r="BM6" s="13" t="s">
        <v>146</v>
      </c>
      <c r="BN6" s="13" t="s">
        <v>146</v>
      </c>
      <c r="BO6" s="13" t="s">
        <v>146</v>
      </c>
      <c r="BP6" s="83"/>
      <c r="BQ6" s="83"/>
      <c r="BR6" s="13" t="s">
        <v>146</v>
      </c>
      <c r="BS6" s="13" t="s">
        <v>146</v>
      </c>
      <c r="BT6" s="13" t="s">
        <v>146</v>
      </c>
      <c r="BU6" s="13" t="s">
        <v>146</v>
      </c>
      <c r="BV6" s="13" t="s">
        <v>146</v>
      </c>
      <c r="BW6" s="83"/>
      <c r="BX6" s="83"/>
      <c r="BY6" s="35" t="s">
        <v>341</v>
      </c>
      <c r="BZ6" s="13"/>
      <c r="CA6" s="13"/>
      <c r="CB6" s="13"/>
      <c r="CC6" s="13"/>
      <c r="CD6" s="83"/>
      <c r="CE6" s="83"/>
      <c r="CF6" s="13"/>
      <c r="CG6" s="13"/>
      <c r="CH6" s="13"/>
      <c r="CI6" s="13"/>
      <c r="CJ6" s="13"/>
      <c r="CK6" s="83"/>
      <c r="CL6" s="83"/>
      <c r="CM6" s="13"/>
      <c r="CN6" s="13"/>
      <c r="CO6" s="13"/>
      <c r="CP6" s="13"/>
      <c r="CQ6" s="13"/>
      <c r="CR6" s="83"/>
      <c r="CS6" s="83"/>
      <c r="CT6" s="13"/>
      <c r="CU6" s="13"/>
      <c r="CV6" s="13"/>
      <c r="CW6" s="13"/>
      <c r="CX6" s="13"/>
      <c r="CY6" s="83"/>
      <c r="CZ6" s="83"/>
      <c r="DA6" s="13"/>
      <c r="DB6" s="13"/>
      <c r="DC6" s="13"/>
      <c r="DD6" s="13"/>
      <c r="DE6" s="13"/>
      <c r="DF6" s="83"/>
      <c r="DG6" s="83"/>
      <c r="DH6" s="13"/>
      <c r="DI6" s="13"/>
      <c r="DJ6" s="13"/>
      <c r="DK6" s="13"/>
      <c r="DL6" s="13"/>
      <c r="DM6" s="83"/>
      <c r="DN6" s="83"/>
      <c r="DO6" s="13"/>
      <c r="DP6" s="13"/>
      <c r="DQ6" s="13"/>
      <c r="DR6" s="13"/>
      <c r="DS6" s="13"/>
      <c r="DT6" s="13">
        <f t="shared" si="6"/>
        <v>11</v>
      </c>
    </row>
    <row r="7" spans="1:124" ht="30" hidden="1" customHeight="1" thickBot="1">
      <c r="A7"/>
      <c r="B7" s="42" t="s">
        <v>99</v>
      </c>
      <c r="C7" s="6" t="s">
        <v>345</v>
      </c>
      <c r="D7" s="6"/>
      <c r="E7" s="382">
        <v>46015</v>
      </c>
      <c r="F7" s="382">
        <v>46045</v>
      </c>
      <c r="G7" s="390">
        <f>F7+7</f>
        <v>46052</v>
      </c>
      <c r="H7" s="494" t="s">
        <v>16</v>
      </c>
      <c r="I7" s="415">
        <f>G7+6</f>
        <v>46058</v>
      </c>
      <c r="J7" s="416">
        <f>I7</f>
        <v>46058</v>
      </c>
      <c r="K7" s="94" t="s">
        <v>344</v>
      </c>
      <c r="L7" s="94" t="s">
        <v>344</v>
      </c>
      <c r="M7" s="72" t="s">
        <v>336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7"/>
      <c r="Z7" s="13"/>
      <c r="AA7" s="34">
        <v>75</v>
      </c>
      <c r="AB7" s="13">
        <v>5</v>
      </c>
      <c r="AC7" s="13" t="s">
        <v>346</v>
      </c>
      <c r="AD7" s="13">
        <v>10.714285714285714</v>
      </c>
      <c r="AE7" s="13">
        <v>9.375</v>
      </c>
      <c r="AF7" s="13"/>
      <c r="AG7" s="83"/>
      <c r="AH7" s="83"/>
      <c r="AI7" s="13"/>
      <c r="AJ7" s="13"/>
      <c r="AK7" s="13"/>
      <c r="AL7" s="13"/>
      <c r="AM7" s="13"/>
      <c r="AN7" s="83"/>
      <c r="AO7" s="83"/>
      <c r="AP7" s="13"/>
      <c r="AQ7" s="13"/>
      <c r="AR7" s="13"/>
      <c r="AS7" s="13"/>
      <c r="AT7" s="13"/>
      <c r="AU7" s="83"/>
      <c r="AV7" s="83"/>
      <c r="AW7" s="13"/>
      <c r="AX7" s="13"/>
      <c r="AY7" s="13"/>
      <c r="AZ7" s="13"/>
      <c r="BA7" s="13"/>
      <c r="BB7" s="83"/>
      <c r="BC7" s="83"/>
      <c r="BD7" s="13"/>
      <c r="BE7" s="13"/>
      <c r="BF7" s="13"/>
      <c r="BG7" s="13" t="s">
        <v>18</v>
      </c>
      <c r="BH7" s="13" t="s">
        <v>18</v>
      </c>
      <c r="BI7" s="83"/>
      <c r="BJ7" s="83"/>
      <c r="BK7" s="13" t="s">
        <v>18</v>
      </c>
      <c r="BL7" s="13"/>
      <c r="BM7" s="13"/>
      <c r="BN7" s="13"/>
      <c r="BO7" s="13"/>
      <c r="BP7" s="83"/>
      <c r="BQ7" s="83"/>
      <c r="BR7" s="13"/>
      <c r="BS7" s="13"/>
      <c r="BT7" s="13"/>
      <c r="BU7" s="13"/>
      <c r="BV7" s="13" t="s">
        <v>146</v>
      </c>
      <c r="BW7" s="83"/>
      <c r="BX7" s="83"/>
      <c r="BY7" s="13" t="s">
        <v>146</v>
      </c>
      <c r="BZ7" s="13" t="s">
        <v>146</v>
      </c>
      <c r="CA7" s="13" t="s">
        <v>146</v>
      </c>
      <c r="CB7" s="13" t="s">
        <v>146</v>
      </c>
      <c r="CC7" s="13" t="s">
        <v>146</v>
      </c>
      <c r="CD7" s="83"/>
      <c r="CE7" s="83"/>
      <c r="CF7" s="13" t="s">
        <v>146</v>
      </c>
      <c r="CG7" s="13" t="s">
        <v>146</v>
      </c>
      <c r="CH7" s="13" t="s">
        <v>146</v>
      </c>
      <c r="CI7" s="13" t="s">
        <v>146</v>
      </c>
      <c r="CJ7" s="13" t="s">
        <v>146</v>
      </c>
      <c r="CK7" s="83"/>
      <c r="CL7" s="83"/>
      <c r="CM7" s="13" t="s">
        <v>146</v>
      </c>
      <c r="CN7" s="13" t="s">
        <v>146</v>
      </c>
      <c r="CO7" s="13" t="s">
        <v>146</v>
      </c>
      <c r="CP7" s="35" t="s">
        <v>341</v>
      </c>
      <c r="CQ7" s="13"/>
      <c r="CR7" s="83"/>
      <c r="CS7" s="83"/>
      <c r="CT7" s="13"/>
      <c r="CU7" s="13"/>
      <c r="CV7" s="13"/>
      <c r="CW7" s="13"/>
      <c r="CX7" s="13"/>
      <c r="CY7" s="83"/>
      <c r="CZ7" s="83"/>
      <c r="DA7" s="13"/>
      <c r="DB7" s="13"/>
      <c r="DC7" s="13"/>
      <c r="DD7" s="13"/>
      <c r="DE7" s="13"/>
      <c r="DF7" s="83"/>
      <c r="DG7" s="83"/>
      <c r="DH7" s="13"/>
      <c r="DI7" s="13"/>
      <c r="DJ7" s="13"/>
      <c r="DK7" s="13"/>
      <c r="DL7" s="13"/>
      <c r="DM7" s="83"/>
      <c r="DN7" s="83"/>
      <c r="DO7" s="13"/>
      <c r="DP7" s="13"/>
      <c r="DQ7" s="13"/>
      <c r="DR7" s="13"/>
      <c r="DS7" s="13"/>
      <c r="DT7" s="13">
        <f t="shared" si="6"/>
        <v>14</v>
      </c>
    </row>
    <row r="8" spans="1:124" ht="30" hidden="1" customHeight="1">
      <c r="B8" s="499" t="s">
        <v>100</v>
      </c>
      <c r="C8" s="38" t="s">
        <v>345</v>
      </c>
      <c r="D8" s="6"/>
      <c r="E8" s="382">
        <v>46015</v>
      </c>
      <c r="F8" s="500">
        <v>46045</v>
      </c>
      <c r="G8" s="552">
        <v>46059</v>
      </c>
      <c r="H8" s="494" t="s">
        <v>16</v>
      </c>
      <c r="I8" s="501">
        <v>46066</v>
      </c>
      <c r="J8" s="502">
        <v>46066</v>
      </c>
      <c r="K8" s="94" t="s">
        <v>344</v>
      </c>
      <c r="L8" s="94" t="s">
        <v>225</v>
      </c>
      <c r="M8" s="72" t="s">
        <v>336</v>
      </c>
      <c r="N8" s="72" t="s">
        <v>336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90"/>
      <c r="Z8" s="13"/>
      <c r="AA8" s="34">
        <v>85</v>
      </c>
      <c r="AB8" s="13">
        <v>7</v>
      </c>
      <c r="AC8" s="13" t="s">
        <v>346</v>
      </c>
      <c r="AD8" s="13">
        <v>12.142857142857142</v>
      </c>
      <c r="AE8" s="13">
        <v>10.625</v>
      </c>
      <c r="AF8" s="13"/>
      <c r="AG8" s="83"/>
      <c r="AH8" s="83"/>
      <c r="AI8" s="13"/>
      <c r="AJ8" s="13"/>
      <c r="AK8" s="13"/>
      <c r="AL8" s="13"/>
      <c r="AM8" s="13"/>
      <c r="AN8" s="83"/>
      <c r="AO8" s="83"/>
      <c r="AP8" s="13"/>
      <c r="AQ8" s="13"/>
      <c r="AR8" s="13"/>
      <c r="AS8" s="13"/>
      <c r="AT8" s="13"/>
      <c r="AU8" s="83"/>
      <c r="AV8" s="83"/>
      <c r="AW8" s="13"/>
      <c r="AX8" s="13"/>
      <c r="AY8" s="13"/>
      <c r="AZ8" s="13"/>
      <c r="BA8" s="13"/>
      <c r="BB8" s="83"/>
      <c r="BC8" s="83"/>
      <c r="BD8" s="13"/>
      <c r="BE8" s="13"/>
      <c r="BF8" s="13"/>
      <c r="BG8" s="13"/>
      <c r="BH8" s="13" t="s">
        <v>146</v>
      </c>
      <c r="BI8" s="83"/>
      <c r="BJ8" s="83"/>
      <c r="BK8" s="13" t="s">
        <v>146</v>
      </c>
      <c r="BL8" s="13" t="s">
        <v>146</v>
      </c>
      <c r="BM8" s="13" t="s">
        <v>146</v>
      </c>
      <c r="BN8" s="13" t="s">
        <v>146</v>
      </c>
      <c r="BO8" s="13" t="s">
        <v>146</v>
      </c>
      <c r="BP8" s="83"/>
      <c r="BQ8" s="83"/>
      <c r="BR8" s="13" t="s">
        <v>146</v>
      </c>
      <c r="BS8" s="13" t="s">
        <v>146</v>
      </c>
      <c r="BT8" s="13" t="s">
        <v>146</v>
      </c>
      <c r="BU8" s="13" t="s">
        <v>146</v>
      </c>
      <c r="BV8" s="13" t="s">
        <v>146</v>
      </c>
      <c r="BW8" s="83"/>
      <c r="BX8" s="83"/>
      <c r="BY8" s="35" t="s">
        <v>341</v>
      </c>
      <c r="BZ8" s="13"/>
      <c r="CA8" s="13"/>
      <c r="CB8" s="13"/>
      <c r="CC8" s="13"/>
      <c r="CD8" s="83"/>
      <c r="CE8" s="83"/>
      <c r="CF8" s="13"/>
      <c r="CG8" s="13"/>
      <c r="CH8" s="13"/>
      <c r="CI8" s="13"/>
      <c r="CJ8" s="13"/>
      <c r="CK8" s="83"/>
      <c r="CL8" s="83"/>
      <c r="CM8" s="13"/>
      <c r="CN8" s="13"/>
      <c r="CO8" s="13"/>
      <c r="CP8" s="13"/>
      <c r="CQ8" s="13"/>
      <c r="CR8" s="83"/>
      <c r="CS8" s="83"/>
      <c r="CT8" s="13"/>
      <c r="CU8" s="13"/>
      <c r="CV8" s="13"/>
      <c r="CW8" s="13"/>
      <c r="CX8" s="13"/>
      <c r="CY8" s="83"/>
      <c r="CZ8" s="83"/>
      <c r="DA8" s="13"/>
      <c r="DB8" s="13"/>
      <c r="DC8" s="13"/>
      <c r="DD8" s="13"/>
      <c r="DE8" s="13"/>
      <c r="DF8" s="83"/>
      <c r="DG8" s="83"/>
      <c r="DH8" s="13"/>
      <c r="DI8" s="13"/>
      <c r="DJ8" s="13"/>
      <c r="DK8" s="13"/>
      <c r="DL8" s="13"/>
      <c r="DM8" s="83"/>
      <c r="DN8" s="83"/>
      <c r="DO8" s="13"/>
      <c r="DP8" s="13"/>
      <c r="DQ8" s="13"/>
      <c r="DR8" s="13"/>
      <c r="DS8" s="13"/>
      <c r="DT8" s="13">
        <f t="shared" si="6"/>
        <v>11</v>
      </c>
    </row>
    <row r="9" spans="1:124" ht="30" hidden="1" customHeight="1">
      <c r="A9"/>
      <c r="B9" s="42" t="s">
        <v>102</v>
      </c>
      <c r="C9" s="6" t="s">
        <v>347</v>
      </c>
      <c r="D9" s="6"/>
      <c r="E9" s="382">
        <v>46015</v>
      </c>
      <c r="F9" s="500">
        <v>46045</v>
      </c>
      <c r="G9" s="552">
        <v>46063</v>
      </c>
      <c r="H9" s="386" t="s">
        <v>16</v>
      </c>
      <c r="I9" s="501">
        <v>46066</v>
      </c>
      <c r="J9" s="501">
        <v>46066</v>
      </c>
      <c r="K9" s="94" t="s">
        <v>344</v>
      </c>
      <c r="L9" s="94" t="s">
        <v>344</v>
      </c>
      <c r="M9" s="72" t="s">
        <v>336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7"/>
      <c r="Z9" s="13"/>
      <c r="AA9" s="37">
        <v>40</v>
      </c>
      <c r="AB9" s="13">
        <v>6</v>
      </c>
      <c r="AC9" s="13" t="s">
        <v>340</v>
      </c>
      <c r="AD9" s="13">
        <v>5.7142857142857144</v>
      </c>
      <c r="AE9" s="13">
        <v>5</v>
      </c>
      <c r="AF9" s="13"/>
      <c r="AG9" s="83"/>
      <c r="AH9" s="83"/>
      <c r="AI9" s="13"/>
      <c r="AJ9" s="13"/>
      <c r="AK9" s="13"/>
      <c r="AL9" s="13"/>
      <c r="AM9" s="13"/>
      <c r="AN9" s="83"/>
      <c r="AO9" s="83"/>
      <c r="AP9" s="13"/>
      <c r="AQ9" s="13"/>
      <c r="AR9" s="13"/>
      <c r="AS9" s="13"/>
      <c r="AT9" s="13"/>
      <c r="AU9" s="83"/>
      <c r="AV9" s="83"/>
      <c r="AW9" s="13"/>
      <c r="AX9" s="13"/>
      <c r="AY9" s="13"/>
      <c r="AZ9" s="13"/>
      <c r="BA9" s="13"/>
      <c r="BB9" s="83"/>
      <c r="BC9" s="83"/>
      <c r="BD9" s="13"/>
      <c r="BE9" s="13"/>
      <c r="BF9" s="13"/>
      <c r="BG9" s="13"/>
      <c r="BH9" s="13" t="s">
        <v>146</v>
      </c>
      <c r="BI9" s="83"/>
      <c r="BJ9" s="83"/>
      <c r="BK9" s="13" t="s">
        <v>146</v>
      </c>
      <c r="BL9" s="13" t="s">
        <v>146</v>
      </c>
      <c r="BM9" s="13" t="s">
        <v>146</v>
      </c>
      <c r="BN9" s="13" t="s">
        <v>146</v>
      </c>
      <c r="BO9" s="13" t="s">
        <v>146</v>
      </c>
      <c r="BP9" s="83"/>
      <c r="BQ9" s="83"/>
      <c r="BR9" s="13" t="s">
        <v>146</v>
      </c>
      <c r="BS9" s="13" t="s">
        <v>146</v>
      </c>
      <c r="BT9" s="13" t="s">
        <v>146</v>
      </c>
      <c r="BU9" s="13" t="s">
        <v>146</v>
      </c>
      <c r="BV9" s="13" t="s">
        <v>146</v>
      </c>
      <c r="BW9" s="83"/>
      <c r="BX9" s="83"/>
      <c r="BY9" s="35" t="s">
        <v>341</v>
      </c>
      <c r="BZ9" s="13" t="s">
        <v>18</v>
      </c>
      <c r="CA9" s="13" t="s">
        <v>18</v>
      </c>
      <c r="CB9" s="13" t="s">
        <v>18</v>
      </c>
      <c r="CC9" s="13" t="s">
        <v>18</v>
      </c>
      <c r="CD9" s="83"/>
      <c r="CE9" s="83"/>
      <c r="CF9" s="13"/>
      <c r="CG9" s="13"/>
      <c r="CH9" s="13"/>
      <c r="CI9" s="13"/>
      <c r="CJ9" s="13"/>
      <c r="CK9" s="83"/>
      <c r="CL9" s="83"/>
      <c r="CM9" s="13"/>
      <c r="CN9" s="13"/>
      <c r="CO9" s="13"/>
      <c r="CP9" s="13"/>
      <c r="CQ9" s="13"/>
      <c r="CR9" s="83"/>
      <c r="CS9" s="83"/>
      <c r="CT9" s="13"/>
      <c r="CU9" s="13"/>
      <c r="CV9" s="13"/>
      <c r="CW9" s="13"/>
      <c r="CX9" s="13"/>
      <c r="CY9" s="83"/>
      <c r="CZ9" s="83"/>
      <c r="DA9" s="13"/>
      <c r="DB9" s="13"/>
      <c r="DC9" s="13"/>
      <c r="DD9" s="13"/>
      <c r="DE9" s="13"/>
      <c r="DF9" s="83"/>
      <c r="DG9" s="83"/>
      <c r="DH9" s="13"/>
      <c r="DI9" s="13"/>
      <c r="DJ9" s="13"/>
      <c r="DK9" s="13"/>
      <c r="DL9" s="13"/>
      <c r="DM9" s="83"/>
      <c r="DN9" s="83"/>
      <c r="DO9" s="13"/>
      <c r="DP9" s="13"/>
      <c r="DQ9" s="13"/>
      <c r="DR9" s="13"/>
      <c r="DS9" s="13"/>
      <c r="DT9" s="13">
        <f t="shared" si="6"/>
        <v>11</v>
      </c>
    </row>
    <row r="10" spans="1:124" ht="30" customHeight="1" thickBot="1">
      <c r="A10"/>
      <c r="B10" s="42" t="s">
        <v>217</v>
      </c>
      <c r="C10" s="6" t="s">
        <v>20</v>
      </c>
      <c r="D10" s="6"/>
      <c r="E10" s="391" t="s">
        <v>348</v>
      </c>
      <c r="F10" s="495">
        <v>46045</v>
      </c>
      <c r="G10" s="415">
        <f t="shared" ref="G10" si="7">F10+7</f>
        <v>46052</v>
      </c>
      <c r="H10" s="494" t="s">
        <v>16</v>
      </c>
      <c r="I10" s="415">
        <f t="shared" si="4"/>
        <v>46059</v>
      </c>
      <c r="J10" s="416">
        <f t="shared" si="5"/>
        <v>46059</v>
      </c>
      <c r="K10" s="94" t="s">
        <v>222</v>
      </c>
      <c r="L10" s="94" t="s">
        <v>227</v>
      </c>
      <c r="M10" s="182" t="s">
        <v>336</v>
      </c>
      <c r="N10" s="182" t="s">
        <v>336</v>
      </c>
      <c r="O10" s="182" t="s">
        <v>336</v>
      </c>
      <c r="P10" s="182" t="s">
        <v>336</v>
      </c>
      <c r="Q10" s="182" t="s">
        <v>336</v>
      </c>
      <c r="R10" s="182" t="s">
        <v>336</v>
      </c>
      <c r="S10" s="182" t="s">
        <v>336</v>
      </c>
      <c r="T10" s="23"/>
      <c r="U10" s="23"/>
      <c r="V10" s="23"/>
      <c r="W10" s="23"/>
      <c r="X10" s="23"/>
      <c r="Y10" s="90" t="s">
        <v>349</v>
      </c>
      <c r="Z10" s="357">
        <v>177</v>
      </c>
      <c r="AA10" s="357">
        <v>200</v>
      </c>
      <c r="AB10" s="357">
        <v>1</v>
      </c>
      <c r="AC10" s="357" t="s">
        <v>340</v>
      </c>
      <c r="AD10" s="13">
        <v>28.571428571428573</v>
      </c>
      <c r="AE10" s="13">
        <v>25</v>
      </c>
      <c r="AF10" s="13"/>
      <c r="AG10" s="83"/>
      <c r="AH10" s="83"/>
      <c r="AI10" s="13" t="s">
        <v>146</v>
      </c>
      <c r="AJ10" s="13" t="s">
        <v>146</v>
      </c>
      <c r="AK10" s="13" t="s">
        <v>146</v>
      </c>
      <c r="AL10" s="13" t="s">
        <v>146</v>
      </c>
      <c r="AM10" s="13" t="s">
        <v>146</v>
      </c>
      <c r="AN10" s="83"/>
      <c r="AO10" s="83"/>
      <c r="AP10" s="13" t="s">
        <v>146</v>
      </c>
      <c r="AQ10" s="13" t="s">
        <v>146</v>
      </c>
      <c r="AR10" s="13" t="s">
        <v>146</v>
      </c>
      <c r="AS10" s="13" t="s">
        <v>146</v>
      </c>
      <c r="AT10" s="13" t="s">
        <v>146</v>
      </c>
      <c r="AU10" s="83"/>
      <c r="AV10" s="83"/>
      <c r="AW10" s="13" t="s">
        <v>146</v>
      </c>
      <c r="AX10" s="13" t="s">
        <v>146</v>
      </c>
      <c r="AY10" s="13" t="s">
        <v>146</v>
      </c>
      <c r="AZ10" s="13" t="s">
        <v>146</v>
      </c>
      <c r="BA10" s="13" t="s">
        <v>146</v>
      </c>
      <c r="BB10" s="83"/>
      <c r="BC10" s="83"/>
      <c r="BD10" s="13" t="s">
        <v>146</v>
      </c>
      <c r="BE10" s="13" t="s">
        <v>146</v>
      </c>
      <c r="BF10" s="13" t="s">
        <v>146</v>
      </c>
      <c r="BG10" s="13" t="s">
        <v>146</v>
      </c>
      <c r="BH10" s="13" t="s">
        <v>146</v>
      </c>
      <c r="BI10" s="83"/>
      <c r="BJ10" s="83"/>
      <c r="BK10" s="13" t="s">
        <v>146</v>
      </c>
      <c r="BL10" s="13" t="s">
        <v>146</v>
      </c>
      <c r="BM10" s="13" t="s">
        <v>146</v>
      </c>
      <c r="BN10" s="13" t="s">
        <v>146</v>
      </c>
      <c r="BO10" s="13" t="s">
        <v>146</v>
      </c>
      <c r="BP10" s="83"/>
      <c r="BQ10" s="83"/>
      <c r="BR10" s="13" t="s">
        <v>146</v>
      </c>
      <c r="BS10" s="13" t="s">
        <v>146</v>
      </c>
      <c r="BT10" s="13" t="s">
        <v>146</v>
      </c>
      <c r="BU10" s="13" t="s">
        <v>146</v>
      </c>
      <c r="BV10" s="13" t="s">
        <v>146</v>
      </c>
      <c r="BW10" s="83"/>
      <c r="BX10" s="83"/>
      <c r="BY10" s="13" t="s">
        <v>146</v>
      </c>
      <c r="BZ10" s="13" t="s">
        <v>146</v>
      </c>
      <c r="CA10" s="13" t="s">
        <v>146</v>
      </c>
      <c r="CB10" s="13" t="s">
        <v>146</v>
      </c>
      <c r="CC10" s="13" t="s">
        <v>146</v>
      </c>
      <c r="CD10" s="83"/>
      <c r="CE10" s="83"/>
      <c r="CF10" s="13" t="s">
        <v>146</v>
      </c>
      <c r="CG10" s="13" t="s">
        <v>146</v>
      </c>
      <c r="CH10" s="13" t="s">
        <v>146</v>
      </c>
      <c r="CI10" s="13" t="s">
        <v>146</v>
      </c>
      <c r="CJ10" s="13" t="s">
        <v>146</v>
      </c>
      <c r="CK10" s="83"/>
      <c r="CL10" s="83"/>
      <c r="CM10" s="35" t="s">
        <v>341</v>
      </c>
      <c r="CN10" s="13"/>
      <c r="CO10" s="13"/>
      <c r="CP10" s="13"/>
      <c r="CQ10" s="13"/>
      <c r="CR10" s="83"/>
      <c r="CS10" s="83"/>
      <c r="CT10" s="13"/>
      <c r="CU10" s="13"/>
      <c r="CV10" s="13"/>
      <c r="CW10" s="13"/>
      <c r="CX10" s="13"/>
      <c r="CY10" s="83"/>
      <c r="CZ10" s="83"/>
      <c r="DA10" s="13"/>
      <c r="DB10" s="13"/>
      <c r="DC10" s="13"/>
      <c r="DD10" s="13"/>
      <c r="DE10" s="13"/>
      <c r="DF10" s="83"/>
      <c r="DG10" s="83"/>
      <c r="DH10" s="13"/>
      <c r="DI10" s="13"/>
      <c r="DJ10" s="13"/>
      <c r="DK10" s="13"/>
      <c r="DL10" s="13"/>
      <c r="DM10" s="83"/>
      <c r="DN10" s="83"/>
      <c r="DO10" s="13"/>
      <c r="DP10" s="13"/>
      <c r="DQ10" s="13"/>
      <c r="DR10" s="13"/>
      <c r="DS10" s="13"/>
      <c r="DT10" s="13">
        <f>COUNTIF(AF10:DS10,"X")</f>
        <v>40</v>
      </c>
    </row>
    <row r="11" spans="1:124" ht="30" hidden="1" customHeight="1" thickBot="1">
      <c r="B11" s="42" t="s">
        <v>22</v>
      </c>
      <c r="C11" s="6" t="s">
        <v>350</v>
      </c>
      <c r="D11" s="6"/>
      <c r="E11" s="388" t="s">
        <v>348</v>
      </c>
      <c r="F11" s="389">
        <v>46045</v>
      </c>
      <c r="G11" s="390">
        <f>F11+7</f>
        <v>46052</v>
      </c>
      <c r="H11" s="494" t="s">
        <v>16</v>
      </c>
      <c r="I11" s="384">
        <v>46052</v>
      </c>
      <c r="J11" s="385">
        <f>I11</f>
        <v>46052</v>
      </c>
      <c r="K11" s="94" t="s">
        <v>224</v>
      </c>
      <c r="L11" s="94" t="s">
        <v>344</v>
      </c>
      <c r="M11" s="72" t="s">
        <v>336</v>
      </c>
      <c r="N11" s="72" t="s">
        <v>336</v>
      </c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90" t="s">
        <v>351</v>
      </c>
      <c r="Z11" s="13">
        <v>260</v>
      </c>
      <c r="AA11" s="13">
        <v>180</v>
      </c>
      <c r="AB11" s="13">
        <v>4</v>
      </c>
      <c r="AC11" s="13" t="s">
        <v>352</v>
      </c>
      <c r="AD11" s="13">
        <v>25.714285714285715</v>
      </c>
      <c r="AE11" s="13">
        <v>22.5</v>
      </c>
      <c r="AF11" s="13"/>
      <c r="AG11" s="83"/>
      <c r="AH11" s="83"/>
      <c r="AI11" s="13"/>
      <c r="AJ11" s="13"/>
      <c r="AK11" s="13"/>
      <c r="AL11" s="13"/>
      <c r="AM11" s="13"/>
      <c r="AN11" s="83"/>
      <c r="AO11" s="83"/>
      <c r="AP11" s="13"/>
      <c r="AQ11" s="13"/>
      <c r="AR11" s="13"/>
      <c r="AS11" s="13"/>
      <c r="AT11" s="13"/>
      <c r="AU11" s="83"/>
      <c r="AV11" s="83"/>
      <c r="AW11" s="13"/>
      <c r="AX11" s="13"/>
      <c r="AY11" s="13"/>
      <c r="AZ11" s="13"/>
      <c r="BA11" s="13"/>
      <c r="BB11" s="83"/>
      <c r="BC11" s="83"/>
      <c r="BD11" s="13"/>
      <c r="BE11" s="13"/>
      <c r="BF11" s="13"/>
      <c r="BG11" s="13" t="s">
        <v>146</v>
      </c>
      <c r="BH11" s="13" t="s">
        <v>146</v>
      </c>
      <c r="BI11" s="83"/>
      <c r="BJ11" s="83"/>
      <c r="BK11" s="13" t="s">
        <v>146</v>
      </c>
      <c r="BL11" s="13" t="s">
        <v>146</v>
      </c>
      <c r="BM11" s="13" t="s">
        <v>146</v>
      </c>
      <c r="BN11" s="13" t="s">
        <v>146</v>
      </c>
      <c r="BO11" s="13" t="s">
        <v>146</v>
      </c>
      <c r="BP11" s="83"/>
      <c r="BQ11" s="83"/>
      <c r="BR11" s="13" t="s">
        <v>146</v>
      </c>
      <c r="BS11" s="13" t="s">
        <v>146</v>
      </c>
      <c r="BT11" s="13" t="s">
        <v>146</v>
      </c>
      <c r="BU11" s="13" t="s">
        <v>146</v>
      </c>
      <c r="BV11" s="13" t="s">
        <v>146</v>
      </c>
      <c r="BW11" s="83"/>
      <c r="BX11" s="83"/>
      <c r="BY11" s="13" t="s">
        <v>146</v>
      </c>
      <c r="BZ11" s="13" t="s">
        <v>146</v>
      </c>
      <c r="CA11" s="13" t="s">
        <v>146</v>
      </c>
      <c r="CB11" s="13" t="s">
        <v>146</v>
      </c>
      <c r="CC11" s="13" t="s">
        <v>146</v>
      </c>
      <c r="CD11" s="83"/>
      <c r="CE11" s="83"/>
      <c r="CF11" s="13" t="s">
        <v>146</v>
      </c>
      <c r="CG11" s="13" t="s">
        <v>146</v>
      </c>
      <c r="CH11" s="35" t="s">
        <v>341</v>
      </c>
      <c r="CI11" s="13"/>
      <c r="CJ11" s="13"/>
      <c r="CK11" s="83"/>
      <c r="CL11" s="83"/>
      <c r="CM11" s="13"/>
      <c r="CN11" s="13"/>
      <c r="CO11" s="13"/>
      <c r="CP11" s="13"/>
      <c r="CQ11" s="13"/>
      <c r="CR11" s="83"/>
      <c r="CS11" s="83"/>
      <c r="CT11" s="13"/>
      <c r="CU11" s="13"/>
      <c r="CV11" s="13"/>
      <c r="CW11" s="13"/>
      <c r="CX11" s="13"/>
      <c r="CY11" s="83"/>
      <c r="CZ11" s="83"/>
      <c r="DA11" s="13"/>
      <c r="DB11" s="13"/>
      <c r="DC11" s="13"/>
      <c r="DD11" s="13"/>
      <c r="DE11" s="13"/>
      <c r="DF11" s="83"/>
      <c r="DG11" s="83"/>
      <c r="DH11" s="13"/>
      <c r="DI11" s="13"/>
      <c r="DJ11" s="13"/>
      <c r="DK11" s="13"/>
      <c r="DL11" s="13"/>
      <c r="DM11" s="83"/>
      <c r="DN11" s="83"/>
      <c r="DO11" s="13"/>
      <c r="DP11" s="13"/>
      <c r="DQ11" s="13"/>
      <c r="DR11" s="13"/>
      <c r="DS11" s="13"/>
      <c r="DT11" s="13">
        <f t="shared" si="6"/>
        <v>19</v>
      </c>
    </row>
    <row r="12" spans="1:124" ht="30" hidden="1" customHeight="1" thickBot="1">
      <c r="B12" s="42" t="s">
        <v>26</v>
      </c>
      <c r="C12" s="6" t="s">
        <v>353</v>
      </c>
      <c r="D12" s="6" t="s">
        <v>27</v>
      </c>
      <c r="E12" s="388" t="s">
        <v>348</v>
      </c>
      <c r="F12" s="383">
        <v>46041</v>
      </c>
      <c r="G12" s="386">
        <f>F12+7</f>
        <v>46048</v>
      </c>
      <c r="H12" s="494" t="s">
        <v>16</v>
      </c>
      <c r="I12" s="384">
        <v>46052</v>
      </c>
      <c r="J12" s="385">
        <f>I12</f>
        <v>46052</v>
      </c>
      <c r="K12" s="94" t="s">
        <v>224</v>
      </c>
      <c r="L12" s="94" t="s">
        <v>344</v>
      </c>
      <c r="M12" s="72" t="s">
        <v>336</v>
      </c>
      <c r="N12" s="72" t="s">
        <v>336</v>
      </c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90" t="s">
        <v>29</v>
      </c>
      <c r="Z12" s="13">
        <v>120</v>
      </c>
      <c r="AA12" s="13">
        <v>120</v>
      </c>
      <c r="AB12" s="13">
        <v>4</v>
      </c>
      <c r="AC12" s="13" t="s">
        <v>354</v>
      </c>
      <c r="AD12" s="13">
        <v>17.142857142857142</v>
      </c>
      <c r="AE12" s="13">
        <v>15</v>
      </c>
      <c r="AF12" s="13"/>
      <c r="AG12" s="83"/>
      <c r="AH12" s="83"/>
      <c r="AI12" s="13"/>
      <c r="AJ12" s="13"/>
      <c r="AK12" s="13"/>
      <c r="AL12" s="13"/>
      <c r="AM12" s="13"/>
      <c r="AN12" s="83"/>
      <c r="AO12" s="83"/>
      <c r="AP12" s="13"/>
      <c r="AQ12" s="13"/>
      <c r="AR12" s="13"/>
      <c r="AS12" s="13"/>
      <c r="AT12" s="13"/>
      <c r="AU12" s="83"/>
      <c r="AV12" s="83"/>
      <c r="AW12" s="13"/>
      <c r="AX12" s="13"/>
      <c r="AY12" s="13"/>
      <c r="AZ12" s="13"/>
      <c r="BA12" s="13"/>
      <c r="BB12" s="83"/>
      <c r="BC12" s="83"/>
      <c r="BD12" s="13"/>
      <c r="BE12" s="13"/>
      <c r="BF12" s="13"/>
      <c r="BG12" s="13"/>
      <c r="BH12" s="13"/>
      <c r="BI12" s="83"/>
      <c r="BJ12" s="83"/>
      <c r="BK12" s="13" t="s">
        <v>146</v>
      </c>
      <c r="BL12" s="13" t="s">
        <v>146</v>
      </c>
      <c r="BM12" s="13" t="s">
        <v>146</v>
      </c>
      <c r="BN12" s="13" t="s">
        <v>146</v>
      </c>
      <c r="BO12" s="13" t="s">
        <v>146</v>
      </c>
      <c r="BP12" s="83"/>
      <c r="BQ12" s="83"/>
      <c r="BR12" s="13" t="s">
        <v>146</v>
      </c>
      <c r="BS12" s="13" t="s">
        <v>146</v>
      </c>
      <c r="BT12" s="13" t="s">
        <v>146</v>
      </c>
      <c r="BU12" s="13" t="s">
        <v>146</v>
      </c>
      <c r="BV12" s="13" t="s">
        <v>146</v>
      </c>
      <c r="BW12" s="83"/>
      <c r="BX12" s="83"/>
      <c r="BY12" s="35" t="s">
        <v>341</v>
      </c>
      <c r="BZ12" s="13"/>
      <c r="CA12" s="13"/>
      <c r="CB12" s="13"/>
      <c r="CC12" s="13"/>
      <c r="CD12" s="83"/>
      <c r="CE12" s="83"/>
      <c r="CF12" s="13"/>
      <c r="CG12" s="13"/>
      <c r="CH12" s="13"/>
      <c r="CI12" s="13"/>
      <c r="CJ12" s="13"/>
      <c r="CK12" s="83"/>
      <c r="CL12" s="83"/>
      <c r="CM12" s="13"/>
      <c r="CN12" s="13"/>
      <c r="CO12" s="13"/>
      <c r="CP12" s="13"/>
      <c r="CQ12" s="13"/>
      <c r="CR12" s="83"/>
      <c r="CS12" s="83"/>
      <c r="CT12" s="13"/>
      <c r="CU12" s="13"/>
      <c r="CV12" s="13"/>
      <c r="CW12" s="13"/>
      <c r="CX12" s="13"/>
      <c r="CY12" s="83"/>
      <c r="CZ12" s="83"/>
      <c r="DA12" s="13"/>
      <c r="DB12" s="13"/>
      <c r="DC12" s="13"/>
      <c r="DD12" s="13"/>
      <c r="DE12" s="13"/>
      <c r="DF12" s="83"/>
      <c r="DG12" s="83"/>
      <c r="DH12" s="13"/>
      <c r="DI12" s="13"/>
      <c r="DJ12" s="13"/>
      <c r="DK12" s="13"/>
      <c r="DL12" s="13"/>
      <c r="DM12" s="83"/>
      <c r="DN12" s="83"/>
      <c r="DO12" s="13"/>
      <c r="DP12" s="13"/>
      <c r="DQ12" s="13"/>
      <c r="DR12" s="13"/>
      <c r="DS12" s="13"/>
      <c r="DT12" s="13">
        <f t="shared" si="6"/>
        <v>10</v>
      </c>
    </row>
    <row r="13" spans="1:124" ht="30" hidden="1" customHeight="1">
      <c r="A13"/>
      <c r="B13" s="42" t="s">
        <v>103</v>
      </c>
      <c r="C13" s="6" t="s">
        <v>355</v>
      </c>
      <c r="D13" s="6"/>
      <c r="E13" s="391">
        <v>46031</v>
      </c>
      <c r="F13" s="383">
        <f>E13+7</f>
        <v>46038</v>
      </c>
      <c r="G13" s="494" t="s">
        <v>16</v>
      </c>
      <c r="H13" s="494" t="s">
        <v>16</v>
      </c>
      <c r="I13" s="501">
        <v>46066</v>
      </c>
      <c r="J13" s="501">
        <v>46066</v>
      </c>
      <c r="K13" s="94" t="s">
        <v>344</v>
      </c>
      <c r="L13" s="94" t="s">
        <v>225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7"/>
      <c r="Z13" s="13"/>
      <c r="AA13" s="37">
        <v>40</v>
      </c>
      <c r="AB13" s="13"/>
      <c r="AC13" s="13" t="s">
        <v>356</v>
      </c>
      <c r="AD13" s="13">
        <v>5.7142857142857144</v>
      </c>
      <c r="AE13" s="13">
        <v>5</v>
      </c>
      <c r="AF13" s="13"/>
      <c r="AG13" s="83"/>
      <c r="AH13" s="83"/>
      <c r="AI13" s="13"/>
      <c r="AJ13" s="13"/>
      <c r="AK13" s="13"/>
      <c r="AL13" s="13"/>
      <c r="AM13" s="13"/>
      <c r="AN13" s="83"/>
      <c r="AO13" s="83"/>
      <c r="AP13" s="13"/>
      <c r="AQ13" s="13"/>
      <c r="AR13" s="13"/>
      <c r="AS13" s="13"/>
      <c r="AT13" s="13"/>
      <c r="AU13" s="83"/>
      <c r="AV13" s="83"/>
      <c r="AW13" s="13"/>
      <c r="AX13" s="13"/>
      <c r="AY13" s="13"/>
      <c r="AZ13" s="13"/>
      <c r="BA13" s="13"/>
      <c r="BB13" s="83"/>
      <c r="BC13" s="83"/>
      <c r="BD13" s="13"/>
      <c r="BE13" s="13"/>
      <c r="BF13" s="13"/>
      <c r="BG13" s="13"/>
      <c r="BH13" s="13"/>
      <c r="BI13" s="83"/>
      <c r="BJ13" s="83"/>
      <c r="BK13" s="13"/>
      <c r="BL13" s="13"/>
      <c r="BM13" s="13"/>
      <c r="BN13" s="13"/>
      <c r="BO13" s="13"/>
      <c r="BP13" s="83"/>
      <c r="BQ13" s="83"/>
      <c r="BR13" s="13"/>
      <c r="BS13" s="13"/>
      <c r="BT13" s="13"/>
      <c r="BU13" s="13" t="s">
        <v>18</v>
      </c>
      <c r="BV13" s="13" t="s">
        <v>146</v>
      </c>
      <c r="BW13" s="83"/>
      <c r="BX13" s="83"/>
      <c r="BY13" s="13" t="s">
        <v>146</v>
      </c>
      <c r="BZ13" s="13" t="s">
        <v>146</v>
      </c>
      <c r="CA13" s="13" t="s">
        <v>146</v>
      </c>
      <c r="CB13" s="13" t="s">
        <v>146</v>
      </c>
      <c r="CC13" s="13" t="s">
        <v>146</v>
      </c>
      <c r="CD13" s="83"/>
      <c r="CE13" s="83"/>
      <c r="CF13" s="13" t="s">
        <v>146</v>
      </c>
      <c r="CG13" s="13" t="s">
        <v>146</v>
      </c>
      <c r="CH13" s="13" t="s">
        <v>146</v>
      </c>
      <c r="CI13" s="13" t="s">
        <v>146</v>
      </c>
      <c r="CJ13" s="35" t="s">
        <v>341</v>
      </c>
      <c r="CK13" s="83"/>
      <c r="CL13" s="83"/>
      <c r="CM13" s="13"/>
      <c r="CN13" s="13"/>
      <c r="CO13" s="13"/>
      <c r="CP13" s="13"/>
      <c r="CQ13" s="13"/>
      <c r="CR13" s="83"/>
      <c r="CS13" s="83"/>
      <c r="CT13" s="13"/>
      <c r="CU13" s="13"/>
      <c r="CV13" s="13"/>
      <c r="CW13" s="13"/>
      <c r="CX13" s="13"/>
      <c r="CY13" s="83"/>
      <c r="CZ13" s="83"/>
      <c r="DA13" s="13"/>
      <c r="DB13" s="13"/>
      <c r="DC13" s="13"/>
      <c r="DD13" s="13"/>
      <c r="DE13" s="13"/>
      <c r="DF13" s="83"/>
      <c r="DG13" s="83"/>
      <c r="DH13" s="13"/>
      <c r="DI13" s="13"/>
      <c r="DJ13" s="13"/>
      <c r="DK13" s="13"/>
      <c r="DL13" s="13"/>
      <c r="DM13" s="83"/>
      <c r="DN13" s="83"/>
      <c r="DO13" s="13"/>
      <c r="DP13" s="13"/>
      <c r="DQ13" s="13"/>
      <c r="DR13" s="13"/>
      <c r="DS13" s="13"/>
      <c r="DT13" s="13">
        <f>COUNTIF(AF13:DS13,"X")</f>
        <v>10</v>
      </c>
    </row>
    <row r="14" spans="1:124" ht="30" hidden="1" customHeight="1">
      <c r="A14"/>
      <c r="B14" s="42" t="s">
        <v>30</v>
      </c>
      <c r="C14" s="6" t="s">
        <v>355</v>
      </c>
      <c r="D14" s="43" t="s">
        <v>27</v>
      </c>
      <c r="E14" s="388" t="s">
        <v>357</v>
      </c>
      <c r="F14" s="390">
        <v>46052</v>
      </c>
      <c r="G14" s="390">
        <v>46066</v>
      </c>
      <c r="H14" s="494" t="s">
        <v>16</v>
      </c>
      <c r="I14" s="415">
        <f>G14+7</f>
        <v>46073</v>
      </c>
      <c r="J14" s="416">
        <f t="shared" si="5"/>
        <v>46073</v>
      </c>
      <c r="K14" s="94" t="s">
        <v>225</v>
      </c>
      <c r="L14" s="94" t="s">
        <v>225</v>
      </c>
      <c r="M14" s="72" t="s">
        <v>336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7" t="s">
        <v>32</v>
      </c>
      <c r="Z14" s="13">
        <v>35</v>
      </c>
      <c r="AA14" s="13">
        <v>35</v>
      </c>
      <c r="AB14" s="13">
        <v>5</v>
      </c>
      <c r="AC14" s="13" t="s">
        <v>356</v>
      </c>
      <c r="AD14" s="13">
        <v>5</v>
      </c>
      <c r="AE14" s="13">
        <v>4.375</v>
      </c>
      <c r="AF14" s="13" t="s">
        <v>18</v>
      </c>
      <c r="AG14" s="83"/>
      <c r="AH14" s="83"/>
      <c r="AI14" s="13"/>
      <c r="AJ14" s="13"/>
      <c r="AK14" s="13"/>
      <c r="AL14" s="13"/>
      <c r="AM14" s="13"/>
      <c r="AN14" s="83"/>
      <c r="AO14" s="83"/>
      <c r="AP14" s="13"/>
      <c r="AQ14" s="13"/>
      <c r="AR14" s="13"/>
      <c r="AS14" s="13"/>
      <c r="AT14" s="13"/>
      <c r="AU14" s="83"/>
      <c r="AV14" s="83"/>
      <c r="AW14" s="13"/>
      <c r="AX14" s="13"/>
      <c r="AY14" s="13"/>
      <c r="AZ14" s="13"/>
      <c r="BA14" s="13"/>
      <c r="BB14" s="83"/>
      <c r="BC14" s="83"/>
      <c r="BD14" s="13"/>
      <c r="BE14" s="13"/>
      <c r="BF14" s="13"/>
      <c r="BG14" s="13"/>
      <c r="BH14" s="13"/>
      <c r="BI14" s="83"/>
      <c r="BJ14" s="83"/>
      <c r="BK14" s="13"/>
      <c r="BL14" s="13"/>
      <c r="BM14" s="13"/>
      <c r="BN14" s="13"/>
      <c r="BO14" s="13"/>
      <c r="BP14" s="83"/>
      <c r="BQ14" s="83"/>
      <c r="BR14" s="13"/>
      <c r="BS14" s="13"/>
      <c r="BT14" s="13"/>
      <c r="BU14" s="13"/>
      <c r="BV14" s="13" t="s">
        <v>146</v>
      </c>
      <c r="BW14" s="83"/>
      <c r="BX14" s="83"/>
      <c r="BY14" s="13" t="s">
        <v>146</v>
      </c>
      <c r="BZ14" s="13" t="s">
        <v>146</v>
      </c>
      <c r="CA14" s="13" t="s">
        <v>146</v>
      </c>
      <c r="CB14" s="13" t="s">
        <v>146</v>
      </c>
      <c r="CC14" s="13" t="s">
        <v>146</v>
      </c>
      <c r="CD14" s="83"/>
      <c r="CE14" s="83"/>
      <c r="CF14" s="13" t="s">
        <v>146</v>
      </c>
      <c r="CG14" s="13" t="s">
        <v>146</v>
      </c>
      <c r="CH14" s="13" t="s">
        <v>146</v>
      </c>
      <c r="CI14" s="13" t="s">
        <v>146</v>
      </c>
      <c r="CJ14" s="13" t="s">
        <v>146</v>
      </c>
      <c r="CK14" s="83"/>
      <c r="CL14" s="83"/>
      <c r="CM14" s="35" t="s">
        <v>341</v>
      </c>
      <c r="CN14" s="13"/>
      <c r="CO14" s="13"/>
      <c r="CP14" s="13"/>
      <c r="CQ14" s="13"/>
      <c r="CR14" s="83"/>
      <c r="CS14" s="83"/>
      <c r="CT14" s="13"/>
      <c r="CU14" s="13"/>
      <c r="CV14" s="13"/>
      <c r="CW14" s="13"/>
      <c r="CX14" s="13"/>
      <c r="CY14" s="83"/>
      <c r="CZ14" s="83"/>
      <c r="DA14" s="13"/>
      <c r="DB14" s="13"/>
      <c r="DC14" s="13"/>
      <c r="DD14" s="13"/>
      <c r="DE14" s="13"/>
      <c r="DF14" s="83"/>
      <c r="DG14" s="83"/>
      <c r="DH14" s="13"/>
      <c r="DI14" s="13"/>
      <c r="DJ14" s="13"/>
      <c r="DK14" s="13"/>
      <c r="DL14" s="13"/>
      <c r="DM14" s="83"/>
      <c r="DN14" s="83"/>
      <c r="DO14" s="13"/>
      <c r="DP14" s="13"/>
      <c r="DQ14" s="13"/>
      <c r="DR14" s="13"/>
      <c r="DS14" s="13"/>
      <c r="DT14" s="13">
        <f t="shared" si="6"/>
        <v>11</v>
      </c>
    </row>
    <row r="15" spans="1:124" ht="30" hidden="1" customHeight="1" thickBot="1">
      <c r="B15" s="42" t="s">
        <v>35</v>
      </c>
      <c r="C15" s="6" t="s">
        <v>355</v>
      </c>
      <c r="D15" s="9"/>
      <c r="E15" s="388" t="s">
        <v>357</v>
      </c>
      <c r="F15" s="388" t="s">
        <v>358</v>
      </c>
      <c r="G15" s="390">
        <v>46052</v>
      </c>
      <c r="H15" s="494" t="s">
        <v>16</v>
      </c>
      <c r="I15" s="384">
        <v>46052</v>
      </c>
      <c r="J15" s="385">
        <f t="shared" si="5"/>
        <v>46052</v>
      </c>
      <c r="K15" s="94" t="s">
        <v>224</v>
      </c>
      <c r="L15" s="94" t="s">
        <v>224</v>
      </c>
      <c r="M15" s="72" t="s">
        <v>336</v>
      </c>
      <c r="N15" s="72" t="s">
        <v>336</v>
      </c>
      <c r="O15" s="72" t="s">
        <v>336</v>
      </c>
      <c r="P15" s="23"/>
      <c r="Q15" s="23"/>
      <c r="R15" s="23"/>
      <c r="S15" s="23"/>
      <c r="T15" s="23"/>
      <c r="U15" s="23"/>
      <c r="V15" s="23"/>
      <c r="W15" s="23"/>
      <c r="X15" s="23"/>
      <c r="Y15" s="90" t="s">
        <v>36</v>
      </c>
      <c r="Z15" s="13">
        <v>80</v>
      </c>
      <c r="AA15" s="13">
        <v>60</v>
      </c>
      <c r="AB15" s="13">
        <v>5</v>
      </c>
      <c r="AC15" s="13" t="s">
        <v>356</v>
      </c>
      <c r="AD15" s="13">
        <v>8.5714285714285712</v>
      </c>
      <c r="AE15" s="13">
        <v>7.5</v>
      </c>
      <c r="AF15" s="13"/>
      <c r="AG15" s="83"/>
      <c r="AH15" s="83"/>
      <c r="AI15" s="13"/>
      <c r="AJ15" s="13"/>
      <c r="AK15" s="13"/>
      <c r="AL15" s="13"/>
      <c r="AM15" s="13"/>
      <c r="AN15" s="83"/>
      <c r="AO15" s="83"/>
      <c r="AP15" s="13"/>
      <c r="AQ15" s="13"/>
      <c r="AR15" s="13"/>
      <c r="AS15" s="13"/>
      <c r="AT15" s="13"/>
      <c r="AU15" s="83"/>
      <c r="AV15" s="83"/>
      <c r="AW15" s="13"/>
      <c r="AX15" s="13"/>
      <c r="AY15" s="13"/>
      <c r="AZ15" s="13" t="s">
        <v>18</v>
      </c>
      <c r="BA15" s="13" t="s">
        <v>18</v>
      </c>
      <c r="BB15" s="83"/>
      <c r="BC15" s="83"/>
      <c r="BD15" s="13"/>
      <c r="BE15" s="13"/>
      <c r="BF15" s="13"/>
      <c r="BG15" s="13"/>
      <c r="BH15" s="13" t="s">
        <v>146</v>
      </c>
      <c r="BI15" s="83"/>
      <c r="BJ15" s="83"/>
      <c r="BK15" s="13" t="s">
        <v>146</v>
      </c>
      <c r="BL15" s="13" t="s">
        <v>146</v>
      </c>
      <c r="BM15" s="13" t="s">
        <v>146</v>
      </c>
      <c r="BN15" s="13" t="s">
        <v>146</v>
      </c>
      <c r="BO15" s="13" t="s">
        <v>146</v>
      </c>
      <c r="BP15" s="83"/>
      <c r="BQ15" s="83"/>
      <c r="BR15" s="13" t="s">
        <v>146</v>
      </c>
      <c r="BS15" s="13" t="s">
        <v>146</v>
      </c>
      <c r="BT15" s="13" t="s">
        <v>146</v>
      </c>
      <c r="BU15" s="13" t="s">
        <v>146</v>
      </c>
      <c r="BV15" s="13" t="s">
        <v>146</v>
      </c>
      <c r="BW15" s="83"/>
      <c r="BX15" s="83"/>
      <c r="BY15" s="35" t="s">
        <v>341</v>
      </c>
      <c r="BZ15" s="13"/>
      <c r="CA15" s="13"/>
      <c r="CB15" s="13"/>
      <c r="CC15" s="13"/>
      <c r="CD15" s="83"/>
      <c r="CE15" s="83"/>
      <c r="CF15" s="13"/>
      <c r="CG15" s="13"/>
      <c r="CH15" s="13"/>
      <c r="CI15" s="13"/>
      <c r="CJ15" s="13"/>
      <c r="CK15" s="83"/>
      <c r="CL15" s="83"/>
      <c r="CM15" s="13"/>
      <c r="CN15" s="13"/>
      <c r="CO15" s="13"/>
      <c r="CP15" s="13"/>
      <c r="CQ15" s="13"/>
      <c r="CR15" s="83"/>
      <c r="CS15" s="83"/>
      <c r="CT15" s="13"/>
      <c r="CU15" s="13"/>
      <c r="CV15" s="13"/>
      <c r="CW15" s="13"/>
      <c r="CX15" s="13"/>
      <c r="CY15" s="83"/>
      <c r="CZ15" s="83"/>
      <c r="DA15" s="13"/>
      <c r="DB15" s="13"/>
      <c r="DC15" s="13"/>
      <c r="DD15" s="13"/>
      <c r="DE15" s="13"/>
      <c r="DF15" s="83"/>
      <c r="DG15" s="83"/>
      <c r="DH15" s="13"/>
      <c r="DI15" s="13"/>
      <c r="DJ15" s="13"/>
      <c r="DK15" s="13"/>
      <c r="DL15" s="13"/>
      <c r="DM15" s="83"/>
      <c r="DN15" s="83"/>
      <c r="DO15" s="13"/>
      <c r="DP15" s="13"/>
      <c r="DQ15" s="13"/>
      <c r="DR15" s="13"/>
      <c r="DS15" s="13"/>
      <c r="DT15" s="13">
        <f t="shared" si="6"/>
        <v>11</v>
      </c>
    </row>
    <row r="16" spans="1:124" ht="30" customHeight="1" thickBot="1">
      <c r="A16"/>
      <c r="B16" s="42" t="s">
        <v>37</v>
      </c>
      <c r="C16" s="6" t="s">
        <v>38</v>
      </c>
      <c r="D16" s="43"/>
      <c r="E16" s="388" t="s">
        <v>359</v>
      </c>
      <c r="F16" s="388" t="s">
        <v>360</v>
      </c>
      <c r="G16" s="494" t="s">
        <v>16</v>
      </c>
      <c r="H16" s="494" t="s">
        <v>16</v>
      </c>
      <c r="I16" s="391">
        <v>46045</v>
      </c>
      <c r="J16" s="94">
        <f t="shared" si="5"/>
        <v>46045</v>
      </c>
      <c r="K16" s="94" t="s">
        <v>222</v>
      </c>
      <c r="L16" s="94" t="s">
        <v>222</v>
      </c>
      <c r="M16" s="72" t="s">
        <v>336</v>
      </c>
      <c r="N16" s="72" t="s">
        <v>336</v>
      </c>
      <c r="O16" s="72" t="s">
        <v>336</v>
      </c>
      <c r="P16" s="44"/>
      <c r="Q16" s="44"/>
      <c r="R16" s="44"/>
      <c r="S16" s="44"/>
      <c r="T16" s="44"/>
      <c r="U16" s="44"/>
      <c r="V16" s="44"/>
      <c r="W16" s="44"/>
      <c r="X16" s="44"/>
      <c r="Y16" s="90" t="s">
        <v>40</v>
      </c>
      <c r="Z16" s="357">
        <v>20</v>
      </c>
      <c r="AA16" s="357">
        <v>20</v>
      </c>
      <c r="AB16" s="357">
        <v>6</v>
      </c>
      <c r="AC16" s="357" t="s">
        <v>354</v>
      </c>
      <c r="AD16" s="13">
        <v>2.8571428571428572</v>
      </c>
      <c r="AE16" s="13">
        <v>2.5</v>
      </c>
      <c r="AF16" s="13"/>
      <c r="AG16" s="83"/>
      <c r="AH16" s="83"/>
      <c r="AI16" s="13"/>
      <c r="AJ16" s="13"/>
      <c r="AK16" s="13"/>
      <c r="AL16" s="13"/>
      <c r="AM16" s="13"/>
      <c r="AN16" s="83"/>
      <c r="AO16" s="83"/>
      <c r="AP16" s="13"/>
      <c r="AQ16" s="13"/>
      <c r="AR16" s="13"/>
      <c r="AS16" s="13"/>
      <c r="AT16" s="13" t="s">
        <v>146</v>
      </c>
      <c r="AU16" s="83"/>
      <c r="AV16" s="83"/>
      <c r="AW16" s="13" t="s">
        <v>146</v>
      </c>
      <c r="AX16" s="13" t="s">
        <v>146</v>
      </c>
      <c r="AY16" s="13" t="s">
        <v>146</v>
      </c>
      <c r="AZ16" s="13" t="s">
        <v>146</v>
      </c>
      <c r="BA16" s="13" t="s">
        <v>146</v>
      </c>
      <c r="BB16" s="83"/>
      <c r="BC16" s="83"/>
      <c r="BD16" s="13" t="s">
        <v>146</v>
      </c>
      <c r="BE16" s="13" t="s">
        <v>146</v>
      </c>
      <c r="BF16" s="13" t="s">
        <v>146</v>
      </c>
      <c r="BG16" s="13" t="s">
        <v>146</v>
      </c>
      <c r="BH16" s="13" t="s">
        <v>146</v>
      </c>
      <c r="BI16" s="83"/>
      <c r="BJ16" s="83"/>
      <c r="BK16" s="35" t="s">
        <v>341</v>
      </c>
      <c r="BL16" s="13"/>
      <c r="BM16" s="13"/>
      <c r="BN16" s="13"/>
      <c r="BO16" s="13"/>
      <c r="BP16" s="83"/>
      <c r="BQ16" s="83"/>
      <c r="BR16" s="13"/>
      <c r="BS16" s="13"/>
      <c r="BT16" s="13"/>
      <c r="BU16" s="13"/>
      <c r="BV16" s="13"/>
      <c r="BW16" s="83"/>
      <c r="BX16" s="83"/>
      <c r="BY16" s="13"/>
      <c r="BZ16" s="13"/>
      <c r="CA16" s="13"/>
      <c r="CB16" s="13"/>
      <c r="CC16" s="13"/>
      <c r="CD16" s="83"/>
      <c r="CE16" s="83"/>
      <c r="CF16" s="13"/>
      <c r="CG16" s="13"/>
      <c r="CH16" s="13"/>
      <c r="CI16" s="13"/>
      <c r="CJ16" s="13"/>
      <c r="CK16" s="83"/>
      <c r="CL16" s="83"/>
      <c r="CM16" s="13"/>
      <c r="CN16" s="13"/>
      <c r="CO16" s="13"/>
      <c r="CP16" s="13"/>
      <c r="CQ16" s="13"/>
      <c r="CR16" s="83"/>
      <c r="CS16" s="83"/>
      <c r="CT16" s="13"/>
      <c r="CU16" s="13"/>
      <c r="CV16" s="13"/>
      <c r="CW16" s="13"/>
      <c r="CX16" s="13"/>
      <c r="CY16" s="83"/>
      <c r="CZ16" s="83"/>
      <c r="DA16" s="13"/>
      <c r="DB16" s="13"/>
      <c r="DC16" s="13"/>
      <c r="DD16" s="13"/>
      <c r="DE16" s="13"/>
      <c r="DF16" s="83"/>
      <c r="DG16" s="83"/>
      <c r="DH16" s="13"/>
      <c r="DI16" s="13"/>
      <c r="DJ16" s="13"/>
      <c r="DK16" s="13"/>
      <c r="DL16" s="13"/>
      <c r="DM16" s="83"/>
      <c r="DN16" s="83"/>
      <c r="DO16" s="13"/>
      <c r="DP16" s="13"/>
      <c r="DQ16" s="13"/>
      <c r="DR16" s="13"/>
      <c r="DS16" s="13"/>
      <c r="DT16" s="13">
        <f t="shared" si="6"/>
        <v>11</v>
      </c>
    </row>
    <row r="17" spans="1:124" ht="30" hidden="1" customHeight="1">
      <c r="A17"/>
      <c r="B17" s="42" t="s">
        <v>41</v>
      </c>
      <c r="C17" s="6" t="s">
        <v>47</v>
      </c>
      <c r="D17" s="6"/>
      <c r="E17" s="383">
        <v>46045</v>
      </c>
      <c r="F17" s="496">
        <v>46066</v>
      </c>
      <c r="G17" s="496">
        <v>46073</v>
      </c>
      <c r="H17" s="494" t="s">
        <v>16</v>
      </c>
      <c r="I17" s="497">
        <v>46080</v>
      </c>
      <c r="J17" s="96">
        <f t="shared" si="5"/>
        <v>46080</v>
      </c>
      <c r="K17" s="96" t="s">
        <v>225</v>
      </c>
      <c r="L17" s="96" t="s">
        <v>227</v>
      </c>
      <c r="M17" s="72" t="s">
        <v>336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7" t="s">
        <v>45</v>
      </c>
      <c r="Z17" s="13">
        <v>140</v>
      </c>
      <c r="AA17" s="13">
        <v>100</v>
      </c>
      <c r="AB17" s="13">
        <v>5</v>
      </c>
      <c r="AC17" s="13" t="s">
        <v>356</v>
      </c>
      <c r="AD17" s="13">
        <v>14.285714285714286</v>
      </c>
      <c r="AE17" s="13">
        <v>12.5</v>
      </c>
      <c r="AF17" s="13"/>
      <c r="AG17" s="83"/>
      <c r="AH17" s="83"/>
      <c r="AI17" s="13"/>
      <c r="AJ17" s="13"/>
      <c r="AK17" s="13"/>
      <c r="AL17" s="13"/>
      <c r="AM17" s="13"/>
      <c r="AN17" s="83"/>
      <c r="AO17" s="83"/>
      <c r="AP17" s="13"/>
      <c r="AQ17" s="13"/>
      <c r="AR17" s="13"/>
      <c r="AS17" s="13"/>
      <c r="AT17" s="13"/>
      <c r="AU17" s="83"/>
      <c r="AV17" s="83"/>
      <c r="AW17" s="13"/>
      <c r="AX17" s="13"/>
      <c r="AY17" s="13"/>
      <c r="AZ17" s="13"/>
      <c r="BA17" s="13"/>
      <c r="BB17" s="83"/>
      <c r="BC17" s="83"/>
      <c r="BD17" s="13"/>
      <c r="BE17" s="13"/>
      <c r="BF17" s="13"/>
      <c r="BG17" s="13"/>
      <c r="BH17" s="13"/>
      <c r="BI17" s="83"/>
      <c r="BJ17" s="83"/>
      <c r="BK17" s="13"/>
      <c r="BL17" s="13"/>
      <c r="BM17" s="13"/>
      <c r="BN17" s="13"/>
      <c r="BO17" s="13"/>
      <c r="BP17" s="83"/>
      <c r="BQ17" s="83"/>
      <c r="BR17" s="13"/>
      <c r="BS17" s="13"/>
      <c r="BT17" s="13"/>
      <c r="BU17" s="13"/>
      <c r="BV17" s="13"/>
      <c r="BW17" s="83"/>
      <c r="BX17" s="83"/>
      <c r="BY17" s="13"/>
      <c r="BZ17" s="13"/>
      <c r="CA17" s="13"/>
      <c r="CB17" s="13"/>
      <c r="CC17" s="13"/>
      <c r="CD17" s="83"/>
      <c r="CE17" s="83"/>
      <c r="CF17" s="13"/>
      <c r="CG17" s="13"/>
      <c r="CH17" s="13"/>
      <c r="CI17" s="13"/>
      <c r="CJ17" s="13" t="s">
        <v>146</v>
      </c>
      <c r="CK17" s="83"/>
      <c r="CL17" s="83"/>
      <c r="CM17" s="13" t="s">
        <v>146</v>
      </c>
      <c r="CN17" s="13" t="s">
        <v>146</v>
      </c>
      <c r="CO17" s="13" t="s">
        <v>146</v>
      </c>
      <c r="CP17" s="13" t="s">
        <v>146</v>
      </c>
      <c r="CQ17" s="13" t="s">
        <v>146</v>
      </c>
      <c r="CR17" s="83"/>
      <c r="CS17" s="83"/>
      <c r="CT17" s="13" t="s">
        <v>146</v>
      </c>
      <c r="CU17" s="13" t="s">
        <v>146</v>
      </c>
      <c r="CV17" s="13" t="s">
        <v>146</v>
      </c>
      <c r="CW17" s="13" t="s">
        <v>146</v>
      </c>
      <c r="CX17" s="41" t="s">
        <v>341</v>
      </c>
      <c r="CY17" s="83"/>
      <c r="CZ17" s="83"/>
      <c r="DA17" s="13"/>
      <c r="DB17" s="13"/>
      <c r="DC17" s="13"/>
      <c r="DD17" s="13"/>
      <c r="DE17" s="13"/>
      <c r="DF17" s="83"/>
      <c r="DG17" s="83"/>
      <c r="DH17" s="13"/>
      <c r="DI17" s="13"/>
      <c r="DJ17" s="13"/>
      <c r="DK17" s="13"/>
      <c r="DL17" s="13"/>
      <c r="DM17" s="83"/>
      <c r="DN17" s="83"/>
      <c r="DO17" s="13"/>
      <c r="DP17" s="13"/>
      <c r="DQ17" s="13"/>
      <c r="DR17" s="13"/>
      <c r="DS17" s="13"/>
      <c r="DT17" s="13">
        <f t="shared" si="6"/>
        <v>10</v>
      </c>
    </row>
    <row r="18" spans="1:124" ht="30" hidden="1" customHeight="1" thickBot="1">
      <c r="A18"/>
      <c r="B18" s="42" t="s">
        <v>46</v>
      </c>
      <c r="C18" s="6" t="s">
        <v>47</v>
      </c>
      <c r="D18" s="43"/>
      <c r="E18" s="497">
        <v>46059</v>
      </c>
      <c r="F18" s="497">
        <v>46064</v>
      </c>
      <c r="G18" s="494" t="s">
        <v>16</v>
      </c>
      <c r="H18" s="497">
        <v>46066</v>
      </c>
      <c r="I18" s="497">
        <v>46066</v>
      </c>
      <c r="J18" s="94">
        <f t="shared" si="5"/>
        <v>46066</v>
      </c>
      <c r="K18" s="94" t="s">
        <v>344</v>
      </c>
      <c r="L18" s="94" t="s">
        <v>344</v>
      </c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7" t="s">
        <v>40</v>
      </c>
      <c r="Z18" s="13">
        <v>90</v>
      </c>
      <c r="AA18" s="13">
        <v>60</v>
      </c>
      <c r="AB18" s="13" t="s">
        <v>18</v>
      </c>
      <c r="AC18" s="34" t="s">
        <v>352</v>
      </c>
      <c r="AD18" s="13">
        <v>8.5714285714285712</v>
      </c>
      <c r="AE18" s="13">
        <v>7.5</v>
      </c>
      <c r="AF18" s="13"/>
      <c r="AG18" s="83"/>
      <c r="AH18" s="83"/>
      <c r="AI18" s="13" t="s">
        <v>18</v>
      </c>
      <c r="AJ18" s="13" t="s">
        <v>18</v>
      </c>
      <c r="AK18" s="13"/>
      <c r="AL18" s="13"/>
      <c r="AM18" s="13"/>
      <c r="AN18" s="83"/>
      <c r="AO18" s="83"/>
      <c r="AP18" s="13"/>
      <c r="AQ18" s="13"/>
      <c r="AR18" s="13"/>
      <c r="AS18" s="13"/>
      <c r="AT18" s="13"/>
      <c r="AU18" s="83"/>
      <c r="AV18" s="83"/>
      <c r="AW18" s="13"/>
      <c r="AX18" s="13"/>
      <c r="AY18" s="13"/>
      <c r="AZ18" s="13"/>
      <c r="BA18" s="13"/>
      <c r="BB18" s="83"/>
      <c r="BC18" s="83"/>
      <c r="BD18" s="13"/>
      <c r="BE18" s="13"/>
      <c r="BF18" s="13"/>
      <c r="BG18" s="13"/>
      <c r="BH18" s="13"/>
      <c r="BI18" s="83"/>
      <c r="BJ18" s="83"/>
      <c r="BK18" s="13"/>
      <c r="BL18" s="13"/>
      <c r="BM18" s="13"/>
      <c r="BN18" s="13"/>
      <c r="BO18" s="13"/>
      <c r="BP18" s="83"/>
      <c r="BQ18" s="83"/>
      <c r="BR18" s="13"/>
      <c r="BS18" s="13"/>
      <c r="BT18" s="13"/>
      <c r="BU18" s="13"/>
      <c r="BV18" s="13" t="s">
        <v>146</v>
      </c>
      <c r="BW18" s="83"/>
      <c r="BX18" s="83"/>
      <c r="BY18" s="13" t="s">
        <v>146</v>
      </c>
      <c r="BZ18" s="13" t="s">
        <v>146</v>
      </c>
      <c r="CA18" s="13" t="s">
        <v>146</v>
      </c>
      <c r="CB18" s="13" t="s">
        <v>146</v>
      </c>
      <c r="CC18" s="13" t="s">
        <v>146</v>
      </c>
      <c r="CD18" s="83"/>
      <c r="CE18" s="83"/>
      <c r="CF18" s="13" t="s">
        <v>146</v>
      </c>
      <c r="CG18" s="13" t="s">
        <v>146</v>
      </c>
      <c r="CH18" s="13" t="s">
        <v>146</v>
      </c>
      <c r="CI18" s="13" t="s">
        <v>146</v>
      </c>
      <c r="CJ18" s="13" t="s">
        <v>146</v>
      </c>
      <c r="CK18" s="83"/>
      <c r="CL18" s="83"/>
      <c r="CM18" s="35" t="s">
        <v>341</v>
      </c>
      <c r="CN18" s="13"/>
      <c r="CO18" s="13"/>
      <c r="CP18" s="13"/>
      <c r="CQ18" s="13"/>
      <c r="CR18" s="83"/>
      <c r="CS18" s="83"/>
      <c r="CT18" s="13"/>
      <c r="CU18" s="13"/>
      <c r="CV18" s="13"/>
      <c r="CW18" s="13"/>
      <c r="CX18" s="13"/>
      <c r="CY18" s="83"/>
      <c r="CZ18" s="83"/>
      <c r="DA18" s="13"/>
      <c r="DB18" s="13"/>
      <c r="DC18" s="13"/>
      <c r="DD18" s="13"/>
      <c r="DE18" s="13"/>
      <c r="DF18" s="83"/>
      <c r="DG18" s="83"/>
      <c r="DH18" s="13"/>
      <c r="DI18" s="13"/>
      <c r="DJ18" s="13"/>
      <c r="DK18" s="13"/>
      <c r="DL18" s="13"/>
      <c r="DM18" s="83"/>
      <c r="DN18" s="83"/>
      <c r="DO18" s="13"/>
      <c r="DP18" s="13"/>
      <c r="DQ18" s="13"/>
      <c r="DR18" s="13"/>
      <c r="DS18" s="13"/>
      <c r="DT18" s="13">
        <f t="shared" si="6"/>
        <v>11</v>
      </c>
    </row>
    <row r="19" spans="1:124" ht="30" hidden="1" customHeight="1">
      <c r="A19"/>
      <c r="B19" s="42" t="s">
        <v>48</v>
      </c>
      <c r="C19" s="6" t="s">
        <v>20</v>
      </c>
      <c r="D19" s="6"/>
      <c r="E19" s="390">
        <v>46052</v>
      </c>
      <c r="F19" s="496">
        <v>46059</v>
      </c>
      <c r="G19" s="496">
        <v>46073</v>
      </c>
      <c r="H19" s="494" t="s">
        <v>16</v>
      </c>
      <c r="I19" s="415">
        <v>46080</v>
      </c>
      <c r="J19" s="94">
        <v>46080</v>
      </c>
      <c r="K19" s="94" t="s">
        <v>225</v>
      </c>
      <c r="L19" s="94" t="s">
        <v>227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14" t="s">
        <v>49</v>
      </c>
      <c r="Z19" s="15">
        <v>350</v>
      </c>
      <c r="AA19" s="34">
        <v>215</v>
      </c>
      <c r="AB19" s="15">
        <v>4</v>
      </c>
      <c r="AC19" s="174" t="s">
        <v>354</v>
      </c>
      <c r="AD19" s="13">
        <v>30.714285714285715</v>
      </c>
      <c r="AE19" s="13">
        <v>26.875</v>
      </c>
      <c r="AF19" s="13"/>
      <c r="AG19" s="83"/>
      <c r="AH19" s="83"/>
      <c r="AI19" s="13"/>
      <c r="AJ19" s="13"/>
      <c r="AK19" s="13"/>
      <c r="AL19" s="13"/>
      <c r="AM19" s="13"/>
      <c r="AN19" s="83"/>
      <c r="AO19" s="83"/>
      <c r="AP19" s="13"/>
      <c r="AQ19" s="13"/>
      <c r="AR19" s="13"/>
      <c r="AS19" s="13"/>
      <c r="AT19" s="13"/>
      <c r="AU19" s="83"/>
      <c r="AV19" s="83"/>
      <c r="AW19" s="13"/>
      <c r="AX19" s="13"/>
      <c r="AY19" s="13"/>
      <c r="AZ19" s="13"/>
      <c r="BA19" s="13"/>
      <c r="BB19" s="83"/>
      <c r="BC19" s="83"/>
      <c r="BD19" s="13"/>
      <c r="BE19" s="13"/>
      <c r="BF19" s="13"/>
      <c r="BG19" s="13"/>
      <c r="BH19" s="13"/>
      <c r="BI19" s="83"/>
      <c r="BJ19" s="83"/>
      <c r="BK19" s="13"/>
      <c r="BL19" s="13"/>
      <c r="BM19" s="13"/>
      <c r="BN19" s="13"/>
      <c r="BO19" s="13"/>
      <c r="BP19" s="83"/>
      <c r="BQ19" s="83"/>
      <c r="BR19" s="13" t="s">
        <v>18</v>
      </c>
      <c r="BS19" s="13" t="s">
        <v>18</v>
      </c>
      <c r="BT19" s="13" t="s">
        <v>18</v>
      </c>
      <c r="BU19" s="13"/>
      <c r="BV19" s="13"/>
      <c r="BW19" s="83"/>
      <c r="BX19" s="83"/>
      <c r="BY19" s="13"/>
      <c r="BZ19" s="13"/>
      <c r="CA19" s="13"/>
      <c r="CB19" s="13"/>
      <c r="CC19" s="13"/>
      <c r="CD19" s="83"/>
      <c r="CE19" s="83"/>
      <c r="CF19" s="13"/>
      <c r="CG19" s="13"/>
      <c r="CH19" s="13"/>
      <c r="CI19" s="13"/>
      <c r="CJ19" s="13" t="s">
        <v>146</v>
      </c>
      <c r="CK19" s="83"/>
      <c r="CL19" s="83"/>
      <c r="CM19" s="13" t="s">
        <v>146</v>
      </c>
      <c r="CN19" s="13" t="s">
        <v>146</v>
      </c>
      <c r="CO19" s="13" t="s">
        <v>146</v>
      </c>
      <c r="CP19" s="13" t="s">
        <v>146</v>
      </c>
      <c r="CQ19" s="13" t="s">
        <v>146</v>
      </c>
      <c r="CR19" s="83"/>
      <c r="CS19" s="83"/>
      <c r="CT19" s="13" t="s">
        <v>146</v>
      </c>
      <c r="CU19" s="13" t="s">
        <v>146</v>
      </c>
      <c r="CV19" s="13" t="s">
        <v>146</v>
      </c>
      <c r="CW19" s="13" t="s">
        <v>146</v>
      </c>
      <c r="CX19" s="41" t="s">
        <v>341</v>
      </c>
      <c r="CY19" s="83"/>
      <c r="CZ19" s="83"/>
      <c r="DA19" s="13"/>
      <c r="DB19" s="13"/>
      <c r="DC19" s="13"/>
      <c r="DD19" s="13"/>
      <c r="DE19" s="13"/>
      <c r="DF19" s="83"/>
      <c r="DG19" s="83"/>
      <c r="DH19" s="13"/>
      <c r="DI19" s="13"/>
      <c r="DJ19" s="13"/>
      <c r="DK19" s="13"/>
      <c r="DL19" s="13"/>
      <c r="DM19" s="83"/>
      <c r="DN19" s="83"/>
      <c r="DO19" s="13"/>
      <c r="DP19" s="13"/>
      <c r="DQ19" s="13"/>
      <c r="DR19" s="13" t="s">
        <v>18</v>
      </c>
      <c r="DS19" s="13" t="s">
        <v>18</v>
      </c>
      <c r="DT19" s="13">
        <f t="shared" si="6"/>
        <v>10</v>
      </c>
    </row>
    <row r="20" spans="1:124" ht="30" hidden="1" customHeight="1" thickBot="1">
      <c r="A20"/>
      <c r="B20" s="42" t="s">
        <v>50</v>
      </c>
      <c r="C20" s="6" t="s">
        <v>38</v>
      </c>
      <c r="D20" s="6"/>
      <c r="E20" s="383">
        <v>46031</v>
      </c>
      <c r="F20" s="494" t="s">
        <v>16</v>
      </c>
      <c r="G20" s="494" t="s">
        <v>16</v>
      </c>
      <c r="H20" s="494" t="s">
        <v>16</v>
      </c>
      <c r="I20" s="494" t="s">
        <v>16</v>
      </c>
      <c r="J20" s="494" t="s">
        <v>16</v>
      </c>
      <c r="K20" s="94" t="s">
        <v>225</v>
      </c>
      <c r="L20" s="94" t="s">
        <v>225</v>
      </c>
      <c r="M20" s="72" t="s">
        <v>336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 t="s">
        <v>40</v>
      </c>
      <c r="Z20" s="13">
        <v>40</v>
      </c>
      <c r="AA20" s="13">
        <v>40</v>
      </c>
      <c r="AB20" s="13">
        <v>2</v>
      </c>
      <c r="AC20" s="34" t="s">
        <v>361</v>
      </c>
      <c r="AD20" s="13">
        <v>5.7142857142857144</v>
      </c>
      <c r="AE20" s="13">
        <v>5</v>
      </c>
      <c r="AF20" s="13"/>
      <c r="AG20" s="83"/>
      <c r="AH20" s="83"/>
      <c r="AI20" s="13"/>
      <c r="AJ20" s="13"/>
      <c r="AK20" s="13"/>
      <c r="AL20" s="13"/>
      <c r="AM20" s="13"/>
      <c r="AN20" s="83"/>
      <c r="AO20" s="83"/>
      <c r="AP20" s="13"/>
      <c r="AQ20" s="13"/>
      <c r="AR20" s="13"/>
      <c r="AS20" s="13"/>
      <c r="AT20" s="13"/>
      <c r="AU20" s="83"/>
      <c r="AV20" s="83"/>
      <c r="AW20" s="13"/>
      <c r="AX20" s="13"/>
      <c r="AY20" s="13"/>
      <c r="AZ20" s="13"/>
      <c r="BA20" s="13"/>
      <c r="BB20" s="83"/>
      <c r="BC20" s="83"/>
      <c r="BD20" s="13"/>
      <c r="BE20" s="13"/>
      <c r="BF20" s="13"/>
      <c r="BG20" s="13"/>
      <c r="BH20" s="13"/>
      <c r="BI20" s="83"/>
      <c r="BJ20" s="83"/>
      <c r="BK20" s="13"/>
      <c r="BL20" s="13"/>
      <c r="BM20" s="13"/>
      <c r="BN20" s="13"/>
      <c r="BO20" s="13"/>
      <c r="BP20" s="83"/>
      <c r="BQ20" s="83"/>
      <c r="BR20" s="13"/>
      <c r="BS20" s="13"/>
      <c r="BT20" s="13"/>
      <c r="BU20" s="13"/>
      <c r="BV20" s="13" t="s">
        <v>146</v>
      </c>
      <c r="BW20" s="83"/>
      <c r="BX20" s="83"/>
      <c r="BY20" s="13" t="s">
        <v>146</v>
      </c>
      <c r="BZ20" s="13" t="s">
        <v>146</v>
      </c>
      <c r="CA20" s="13" t="s">
        <v>146</v>
      </c>
      <c r="CB20" s="13" t="s">
        <v>146</v>
      </c>
      <c r="CC20" s="13" t="s">
        <v>146</v>
      </c>
      <c r="CD20" s="83"/>
      <c r="CE20" s="83"/>
      <c r="CF20" s="13" t="s">
        <v>146</v>
      </c>
      <c r="CG20" s="13" t="s">
        <v>146</v>
      </c>
      <c r="CH20" s="13" t="s">
        <v>146</v>
      </c>
      <c r="CI20" s="13" t="s">
        <v>146</v>
      </c>
      <c r="CJ20" s="13" t="s">
        <v>146</v>
      </c>
      <c r="CK20" s="83"/>
      <c r="CL20" s="83"/>
      <c r="CM20" s="35" t="s">
        <v>341</v>
      </c>
      <c r="CN20" s="13"/>
      <c r="CO20" s="13"/>
      <c r="CP20" s="13"/>
      <c r="CQ20" s="13"/>
      <c r="CR20" s="83"/>
      <c r="CS20" s="83"/>
      <c r="CT20" s="13"/>
      <c r="CU20" s="13"/>
      <c r="CV20" s="13"/>
      <c r="CW20" s="13"/>
      <c r="CX20" s="13"/>
      <c r="CY20" s="83"/>
      <c r="CZ20" s="83"/>
      <c r="DA20" s="13"/>
      <c r="DB20" s="13"/>
      <c r="DC20" s="13"/>
      <c r="DD20" s="13"/>
      <c r="DE20" s="13"/>
      <c r="DF20" s="83"/>
      <c r="DG20" s="83"/>
      <c r="DH20" s="13"/>
      <c r="DI20" s="13"/>
      <c r="DJ20" s="13"/>
      <c r="DK20" s="13"/>
      <c r="DL20" s="13"/>
      <c r="DM20" s="83"/>
      <c r="DN20" s="83"/>
      <c r="DO20" s="13"/>
      <c r="DP20" s="13"/>
      <c r="DQ20" s="13"/>
      <c r="DR20" s="13"/>
      <c r="DS20" s="13"/>
      <c r="DT20" s="13">
        <f t="shared" si="6"/>
        <v>11</v>
      </c>
    </row>
    <row r="21" spans="1:124" ht="30" hidden="1" customHeight="1" thickBot="1">
      <c r="A21"/>
      <c r="B21" s="42" t="s">
        <v>51</v>
      </c>
      <c r="C21" s="6" t="s">
        <v>38</v>
      </c>
      <c r="D21" s="6"/>
      <c r="E21" s="496">
        <v>46066</v>
      </c>
      <c r="F21" s="496">
        <v>46071</v>
      </c>
      <c r="G21" s="494" t="s">
        <v>16</v>
      </c>
      <c r="H21" s="415">
        <f>E21+7</f>
        <v>46073</v>
      </c>
      <c r="I21" s="415">
        <f>H21+7</f>
        <v>46080</v>
      </c>
      <c r="J21" s="98">
        <f t="shared" si="5"/>
        <v>46080</v>
      </c>
      <c r="K21" s="98" t="s">
        <v>225</v>
      </c>
      <c r="L21" s="98" t="s">
        <v>225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175" t="s">
        <v>52</v>
      </c>
      <c r="Z21" s="13">
        <v>90</v>
      </c>
      <c r="AA21" s="13">
        <v>80</v>
      </c>
      <c r="AB21" s="13">
        <v>3</v>
      </c>
      <c r="AC21" s="34" t="s">
        <v>352</v>
      </c>
      <c r="AD21" s="13">
        <v>11.428571428571429</v>
      </c>
      <c r="AE21" s="13">
        <v>10</v>
      </c>
      <c r="AF21" s="13"/>
      <c r="AG21" s="83"/>
      <c r="AH21" s="83"/>
      <c r="AI21" s="13" t="s">
        <v>18</v>
      </c>
      <c r="AJ21" s="13" t="s">
        <v>18</v>
      </c>
      <c r="AK21" s="13"/>
      <c r="AL21" s="13"/>
      <c r="AM21" s="13"/>
      <c r="AN21" s="83"/>
      <c r="AO21" s="83"/>
      <c r="AP21" s="13"/>
      <c r="AQ21" s="13"/>
      <c r="AR21" s="13"/>
      <c r="AS21" s="13"/>
      <c r="AT21" s="13"/>
      <c r="AU21" s="83"/>
      <c r="AV21" s="83"/>
      <c r="AW21" s="13"/>
      <c r="AX21" s="13"/>
      <c r="AY21" s="13"/>
      <c r="AZ21" s="13"/>
      <c r="BA21" s="13"/>
      <c r="BB21" s="83"/>
      <c r="BC21" s="83"/>
      <c r="BD21" s="13"/>
      <c r="BE21" s="13"/>
      <c r="BF21" s="13"/>
      <c r="BG21" s="13"/>
      <c r="BH21" s="13"/>
      <c r="BI21" s="83"/>
      <c r="BJ21" s="83"/>
      <c r="BK21" s="13"/>
      <c r="BL21" s="13"/>
      <c r="BM21" s="13"/>
      <c r="BN21" s="13"/>
      <c r="BO21" s="13"/>
      <c r="BP21" s="83"/>
      <c r="BQ21" s="83"/>
      <c r="BR21" s="13"/>
      <c r="BS21" s="13"/>
      <c r="BT21" s="13"/>
      <c r="BU21" s="13"/>
      <c r="BV21" s="13"/>
      <c r="BW21" s="83"/>
      <c r="BX21" s="83"/>
      <c r="BY21" s="13"/>
      <c r="BZ21" s="13"/>
      <c r="CA21" s="13"/>
      <c r="CB21" s="13"/>
      <c r="CC21" s="13"/>
      <c r="CD21" s="83"/>
      <c r="CE21" s="83"/>
      <c r="CF21" s="13"/>
      <c r="CG21" s="13"/>
      <c r="CH21" s="13"/>
      <c r="CI21" s="13"/>
      <c r="CJ21" s="13" t="s">
        <v>146</v>
      </c>
      <c r="CK21" s="83"/>
      <c r="CL21" s="83"/>
      <c r="CM21" s="13" t="s">
        <v>146</v>
      </c>
      <c r="CN21" s="13" t="s">
        <v>146</v>
      </c>
      <c r="CO21" s="13" t="s">
        <v>146</v>
      </c>
      <c r="CP21" s="13" t="s">
        <v>146</v>
      </c>
      <c r="CQ21" s="13" t="s">
        <v>146</v>
      </c>
      <c r="CR21" s="83"/>
      <c r="CS21" s="83"/>
      <c r="CT21" s="13" t="s">
        <v>146</v>
      </c>
      <c r="CU21" s="13" t="s">
        <v>146</v>
      </c>
      <c r="CV21" s="13" t="s">
        <v>146</v>
      </c>
      <c r="CW21" s="13" t="s">
        <v>146</v>
      </c>
      <c r="CX21" s="35" t="s">
        <v>341</v>
      </c>
      <c r="CY21" s="83"/>
      <c r="CZ21" s="83"/>
      <c r="DA21" s="13" t="s">
        <v>18</v>
      </c>
      <c r="DB21" s="13" t="s">
        <v>18</v>
      </c>
      <c r="DC21" s="13" t="s">
        <v>18</v>
      </c>
      <c r="DD21" s="13" t="s">
        <v>18</v>
      </c>
      <c r="DE21" s="13" t="s">
        <v>18</v>
      </c>
      <c r="DF21" s="83"/>
      <c r="DG21" s="83"/>
      <c r="DH21" s="13"/>
      <c r="DI21" s="13"/>
      <c r="DJ21" s="13"/>
      <c r="DK21" s="13"/>
      <c r="DL21" s="13"/>
      <c r="DM21" s="83"/>
      <c r="DN21" s="83"/>
      <c r="DO21" s="13"/>
      <c r="DP21" s="13"/>
      <c r="DQ21" s="13"/>
      <c r="DR21" s="13"/>
      <c r="DS21" s="13"/>
      <c r="DT21" s="13">
        <f t="shared" si="6"/>
        <v>10</v>
      </c>
    </row>
    <row r="22" spans="1:124" ht="30" customHeight="1" thickBot="1">
      <c r="A22"/>
      <c r="B22" s="42" t="s">
        <v>53</v>
      </c>
      <c r="C22" s="6" t="s">
        <v>38</v>
      </c>
      <c r="D22" s="6"/>
      <c r="E22" s="383">
        <v>46031</v>
      </c>
      <c r="F22" s="391">
        <f>E22+7</f>
        <v>46038</v>
      </c>
      <c r="G22" s="494" t="s">
        <v>16</v>
      </c>
      <c r="H22" s="391">
        <f>F22+7</f>
        <v>46045</v>
      </c>
      <c r="I22" s="383">
        <v>46045</v>
      </c>
      <c r="J22" s="94">
        <f t="shared" si="5"/>
        <v>46045</v>
      </c>
      <c r="K22" s="94" t="s">
        <v>222</v>
      </c>
      <c r="L22" s="94" t="s">
        <v>222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90" t="s">
        <v>362</v>
      </c>
      <c r="Z22" s="357">
        <v>40</v>
      </c>
      <c r="AA22" s="357">
        <v>40</v>
      </c>
      <c r="AB22" s="357">
        <v>3</v>
      </c>
      <c r="AC22" s="357" t="s">
        <v>354</v>
      </c>
      <c r="AD22" s="13">
        <v>5.7142857142857144</v>
      </c>
      <c r="AE22" s="13">
        <v>5</v>
      </c>
      <c r="AF22" s="13"/>
      <c r="AG22" s="83"/>
      <c r="AH22" s="83"/>
      <c r="AI22" s="13" t="s">
        <v>146</v>
      </c>
      <c r="AJ22" s="13" t="s">
        <v>146</v>
      </c>
      <c r="AK22" s="13" t="s">
        <v>146</v>
      </c>
      <c r="AL22" s="13" t="s">
        <v>146</v>
      </c>
      <c r="AM22" s="13" t="s">
        <v>146</v>
      </c>
      <c r="AN22" s="83"/>
      <c r="AO22" s="83"/>
      <c r="AP22" s="13" t="s">
        <v>146</v>
      </c>
      <c r="AQ22" s="13" t="s">
        <v>146</v>
      </c>
      <c r="AR22" s="13" t="s">
        <v>146</v>
      </c>
      <c r="AS22" s="13" t="s">
        <v>146</v>
      </c>
      <c r="AT22" s="13" t="s">
        <v>146</v>
      </c>
      <c r="AU22" s="83"/>
      <c r="AV22" s="83"/>
      <c r="AW22" s="13" t="s">
        <v>146</v>
      </c>
      <c r="AX22" s="13" t="s">
        <v>146</v>
      </c>
      <c r="AY22" s="13" t="s">
        <v>146</v>
      </c>
      <c r="AZ22" s="13" t="s">
        <v>146</v>
      </c>
      <c r="BA22" s="13" t="s">
        <v>146</v>
      </c>
      <c r="BB22" s="83"/>
      <c r="BC22" s="83"/>
      <c r="BD22" s="13" t="s">
        <v>146</v>
      </c>
      <c r="BE22" s="13" t="s">
        <v>146</v>
      </c>
      <c r="BF22" s="13" t="s">
        <v>146</v>
      </c>
      <c r="BG22" s="13" t="s">
        <v>146</v>
      </c>
      <c r="BH22" s="13" t="s">
        <v>146</v>
      </c>
      <c r="BI22" s="83"/>
      <c r="BJ22" s="83"/>
      <c r="BK22" s="35" t="s">
        <v>341</v>
      </c>
      <c r="BL22" s="13"/>
      <c r="BM22" s="13"/>
      <c r="BN22" s="13"/>
      <c r="BO22" s="13"/>
      <c r="BP22" s="83"/>
      <c r="BQ22" s="83"/>
      <c r="BR22" s="13"/>
      <c r="BS22" s="13"/>
      <c r="BT22" s="13"/>
      <c r="BU22" s="13"/>
      <c r="BV22" s="13"/>
      <c r="BW22" s="83"/>
      <c r="BX22" s="83"/>
      <c r="BY22" s="13"/>
      <c r="BZ22" s="13"/>
      <c r="CA22" s="13"/>
      <c r="CB22" s="13"/>
      <c r="CC22" s="13"/>
      <c r="CD22" s="83"/>
      <c r="CE22" s="83"/>
      <c r="CF22" s="13"/>
      <c r="CG22" s="13"/>
      <c r="CH22" s="13"/>
      <c r="CI22" s="13"/>
      <c r="CJ22" s="13"/>
      <c r="CK22" s="83"/>
      <c r="CL22" s="83"/>
      <c r="CM22" s="13" t="s">
        <v>18</v>
      </c>
      <c r="CN22" s="13" t="s">
        <v>18</v>
      </c>
      <c r="CO22" s="13" t="s">
        <v>18</v>
      </c>
      <c r="CP22" s="13" t="s">
        <v>18</v>
      </c>
      <c r="CQ22" s="13" t="s">
        <v>18</v>
      </c>
      <c r="CR22" s="83"/>
      <c r="CS22" s="83"/>
      <c r="CT22" s="13" t="s">
        <v>18</v>
      </c>
      <c r="CU22" s="13" t="s">
        <v>18</v>
      </c>
      <c r="CV22" s="13" t="s">
        <v>18</v>
      </c>
      <c r="CW22" s="13" t="s">
        <v>18</v>
      </c>
      <c r="CX22" s="13" t="s">
        <v>18</v>
      </c>
      <c r="CY22" s="83"/>
      <c r="CZ22" s="83"/>
      <c r="DA22" s="13"/>
      <c r="DB22" s="13"/>
      <c r="DC22" s="13"/>
      <c r="DD22" s="13"/>
      <c r="DE22" s="13"/>
      <c r="DF22" s="83"/>
      <c r="DG22" s="83"/>
      <c r="DH22" s="13"/>
      <c r="DI22" s="13"/>
      <c r="DJ22" s="13"/>
      <c r="DK22" s="13"/>
      <c r="DL22" s="13"/>
      <c r="DM22" s="83"/>
      <c r="DN22" s="83"/>
      <c r="DO22" s="13"/>
      <c r="DP22" s="13"/>
      <c r="DQ22" s="13"/>
      <c r="DR22" s="13"/>
      <c r="DS22" s="13"/>
      <c r="DT22" s="13">
        <f t="shared" si="6"/>
        <v>20</v>
      </c>
    </row>
    <row r="23" spans="1:124" ht="30" customHeight="1" thickBot="1">
      <c r="A23"/>
      <c r="B23" s="42" t="s">
        <v>54</v>
      </c>
      <c r="C23" s="6" t="s">
        <v>38</v>
      </c>
      <c r="D23" s="6"/>
      <c r="E23" s="388" t="s">
        <v>58</v>
      </c>
      <c r="F23" s="388" t="s">
        <v>58</v>
      </c>
      <c r="G23" s="392" t="s">
        <v>58</v>
      </c>
      <c r="H23" s="391">
        <v>46045</v>
      </c>
      <c r="I23" s="498">
        <f>H23+6</f>
        <v>46051</v>
      </c>
      <c r="J23" s="185">
        <f t="shared" si="5"/>
        <v>46051</v>
      </c>
      <c r="K23" s="94" t="s">
        <v>222</v>
      </c>
      <c r="L23" s="94" t="s">
        <v>222</v>
      </c>
      <c r="M23" s="72" t="s">
        <v>336</v>
      </c>
      <c r="N23" s="72" t="s">
        <v>336</v>
      </c>
      <c r="O23" s="72" t="s">
        <v>336</v>
      </c>
      <c r="P23" s="72" t="s">
        <v>336</v>
      </c>
      <c r="Q23" s="72" t="s">
        <v>336</v>
      </c>
      <c r="R23" s="72" t="s">
        <v>336</v>
      </c>
      <c r="S23" s="72" t="s">
        <v>336</v>
      </c>
      <c r="T23" s="23"/>
      <c r="U23" s="23"/>
      <c r="V23" s="23"/>
      <c r="W23" s="23"/>
      <c r="X23" s="23"/>
      <c r="Y23" s="90" t="s">
        <v>363</v>
      </c>
      <c r="Z23" s="357">
        <v>10</v>
      </c>
      <c r="AA23" s="357">
        <v>11</v>
      </c>
      <c r="AB23" s="357" t="s">
        <v>18</v>
      </c>
      <c r="AC23" s="357" t="s">
        <v>354</v>
      </c>
      <c r="AD23" s="13">
        <v>1.5714285714285714</v>
      </c>
      <c r="AE23" s="13">
        <v>1.375</v>
      </c>
      <c r="AF23" s="13"/>
      <c r="AG23" s="83"/>
      <c r="AH23" s="83"/>
      <c r="AI23" s="13"/>
      <c r="AJ23" s="13"/>
      <c r="AK23" s="13"/>
      <c r="AL23" s="13"/>
      <c r="AM23" s="13"/>
      <c r="AN23" s="83"/>
      <c r="AO23" s="83"/>
      <c r="AP23" s="13"/>
      <c r="AQ23" s="13"/>
      <c r="AR23" s="13"/>
      <c r="AS23" s="13"/>
      <c r="AT23" s="13" t="s">
        <v>146</v>
      </c>
      <c r="AU23" s="83"/>
      <c r="AV23" s="83"/>
      <c r="AW23" s="13" t="s">
        <v>146</v>
      </c>
      <c r="AX23" s="13" t="s">
        <v>146</v>
      </c>
      <c r="AY23" s="13" t="s">
        <v>146</v>
      </c>
      <c r="AZ23" s="13" t="s">
        <v>146</v>
      </c>
      <c r="BA23" s="13" t="s">
        <v>146</v>
      </c>
      <c r="BB23" s="83"/>
      <c r="BC23" s="83"/>
      <c r="BD23" s="13" t="s">
        <v>146</v>
      </c>
      <c r="BE23" s="13" t="s">
        <v>146</v>
      </c>
      <c r="BF23" s="13" t="s">
        <v>146</v>
      </c>
      <c r="BG23" s="13" t="s">
        <v>146</v>
      </c>
      <c r="BH23" s="13" t="s">
        <v>146</v>
      </c>
      <c r="BI23" s="83"/>
      <c r="BJ23" s="83"/>
      <c r="BK23" s="35" t="s">
        <v>341</v>
      </c>
      <c r="BL23" s="13"/>
      <c r="BM23" s="13"/>
      <c r="BN23" s="13"/>
      <c r="BO23" s="13"/>
      <c r="BP23" s="83"/>
      <c r="BQ23" s="83"/>
      <c r="BR23" s="13"/>
      <c r="BS23" s="13"/>
      <c r="BT23" s="13"/>
      <c r="BU23" s="13"/>
      <c r="BV23" s="13"/>
      <c r="BW23" s="83"/>
      <c r="BX23" s="83"/>
      <c r="BY23" s="13"/>
      <c r="BZ23" s="13"/>
      <c r="CA23" s="13"/>
      <c r="CB23" s="13"/>
      <c r="CC23" s="13"/>
      <c r="CD23" s="83"/>
      <c r="CE23" s="83"/>
      <c r="CF23" s="13" t="s">
        <v>18</v>
      </c>
      <c r="CG23" s="13"/>
      <c r="CH23" s="13"/>
      <c r="CI23" s="13"/>
      <c r="CJ23" s="13"/>
      <c r="CK23" s="83"/>
      <c r="CL23" s="83"/>
      <c r="CM23" s="13"/>
      <c r="CN23" s="13"/>
      <c r="CO23" s="13"/>
      <c r="CP23" s="13"/>
      <c r="CQ23" s="13"/>
      <c r="CR23" s="83"/>
      <c r="CS23" s="83"/>
      <c r="CT23" s="13"/>
      <c r="CU23" s="13"/>
      <c r="CV23" s="13"/>
      <c r="CW23" s="13"/>
      <c r="CX23" s="13"/>
      <c r="CY23" s="83"/>
      <c r="CZ23" s="83"/>
      <c r="DA23" s="13"/>
      <c r="DB23" s="13"/>
      <c r="DC23" s="13"/>
      <c r="DD23" s="13"/>
      <c r="DE23" s="13"/>
      <c r="DF23" s="83"/>
      <c r="DG23" s="83"/>
      <c r="DH23" s="13"/>
      <c r="DI23" s="13"/>
      <c r="DJ23" s="13"/>
      <c r="DK23" s="13"/>
      <c r="DL23" s="13"/>
      <c r="DM23" s="83"/>
      <c r="DN23" s="83"/>
      <c r="DO23" s="13"/>
      <c r="DP23" s="13"/>
      <c r="DQ23" s="13"/>
      <c r="DR23" s="13"/>
      <c r="DS23" s="13"/>
      <c r="DT23" s="13">
        <f t="shared" si="6"/>
        <v>11</v>
      </c>
    </row>
    <row r="24" spans="1:124" ht="30" hidden="1" customHeight="1" thickBot="1">
      <c r="B24" s="42" t="s">
        <v>57</v>
      </c>
      <c r="C24" s="6" t="s">
        <v>350</v>
      </c>
      <c r="D24" s="6"/>
      <c r="E24" s="388" t="s">
        <v>58</v>
      </c>
      <c r="F24" s="388" t="s">
        <v>58</v>
      </c>
      <c r="G24" s="392" t="s">
        <v>58</v>
      </c>
      <c r="H24" s="392" t="s">
        <v>58</v>
      </c>
      <c r="I24" s="392" t="s">
        <v>58</v>
      </c>
      <c r="J24" s="392" t="s">
        <v>58</v>
      </c>
      <c r="K24" s="94" t="s">
        <v>224</v>
      </c>
      <c r="L24" s="94" t="s">
        <v>224</v>
      </c>
      <c r="M24" s="72" t="s">
        <v>336</v>
      </c>
      <c r="N24" s="72" t="s">
        <v>336</v>
      </c>
      <c r="O24" s="72" t="s">
        <v>336</v>
      </c>
      <c r="P24" s="72" t="s">
        <v>336</v>
      </c>
      <c r="Q24" s="72" t="s">
        <v>336</v>
      </c>
      <c r="R24" s="72" t="s">
        <v>336</v>
      </c>
      <c r="S24" s="72" t="s">
        <v>336</v>
      </c>
      <c r="T24" s="23"/>
      <c r="U24" s="23"/>
      <c r="V24" s="23"/>
      <c r="W24" s="23"/>
      <c r="X24" s="23"/>
      <c r="Y24" s="90" t="s">
        <v>59</v>
      </c>
      <c r="Z24" s="34">
        <v>10</v>
      </c>
      <c r="AA24" s="34">
        <v>10</v>
      </c>
      <c r="AB24" s="13" t="s">
        <v>18</v>
      </c>
      <c r="AC24" s="84" t="s">
        <v>352</v>
      </c>
      <c r="AD24" s="13">
        <v>1.4285714285714286</v>
      </c>
      <c r="AE24" s="13">
        <v>1.25</v>
      </c>
      <c r="AF24" s="13"/>
      <c r="AG24" s="83"/>
      <c r="AH24" s="83"/>
      <c r="AI24" s="13"/>
      <c r="AJ24" s="13"/>
      <c r="AK24" s="13"/>
      <c r="AL24" s="13" t="s">
        <v>146</v>
      </c>
      <c r="AM24" s="35" t="s">
        <v>341</v>
      </c>
      <c r="AN24" s="83"/>
      <c r="AO24" s="83"/>
      <c r="AP24" s="13"/>
      <c r="AQ24" s="13"/>
      <c r="AR24" s="13"/>
      <c r="AS24" s="13"/>
      <c r="AT24" s="13" t="s">
        <v>146</v>
      </c>
      <c r="AU24" s="83"/>
      <c r="AV24" s="83"/>
      <c r="AW24" s="13" t="s">
        <v>146</v>
      </c>
      <c r="AX24" s="13" t="s">
        <v>146</v>
      </c>
      <c r="AY24" s="13" t="s">
        <v>146</v>
      </c>
      <c r="AZ24" s="13" t="s">
        <v>146</v>
      </c>
      <c r="BA24" s="13" t="s">
        <v>146</v>
      </c>
      <c r="BB24" s="83"/>
      <c r="BC24" s="83"/>
      <c r="BD24" s="13" t="s">
        <v>146</v>
      </c>
      <c r="BE24" s="13" t="s">
        <v>146</v>
      </c>
      <c r="BF24" s="13" t="s">
        <v>146</v>
      </c>
      <c r="BG24" s="13" t="s">
        <v>146</v>
      </c>
      <c r="BH24" s="13" t="s">
        <v>146</v>
      </c>
      <c r="BI24" s="83"/>
      <c r="BJ24" s="83"/>
      <c r="BK24" s="35" t="s">
        <v>341</v>
      </c>
      <c r="BL24" s="13"/>
      <c r="BM24" s="13"/>
      <c r="BN24" s="13"/>
      <c r="BO24" s="13"/>
      <c r="BP24" s="83"/>
      <c r="BQ24" s="83"/>
      <c r="BR24" s="13"/>
      <c r="BS24" s="13"/>
      <c r="BT24" s="13"/>
      <c r="BU24" s="13"/>
      <c r="BV24" s="13"/>
      <c r="BW24" s="83"/>
      <c r="BX24" s="83"/>
      <c r="BY24" s="13"/>
      <c r="BZ24" s="13"/>
      <c r="CA24" s="13"/>
      <c r="CB24" s="13"/>
      <c r="CC24" s="13"/>
      <c r="CD24" s="83"/>
      <c r="CE24" s="83"/>
      <c r="CF24" s="13"/>
      <c r="CG24" s="13" t="s">
        <v>18</v>
      </c>
      <c r="CH24" s="13"/>
      <c r="CI24" s="13"/>
      <c r="CJ24" s="13"/>
      <c r="CK24" s="83"/>
      <c r="CL24" s="83"/>
      <c r="CM24" s="13"/>
      <c r="CN24" s="13"/>
      <c r="CO24" s="13"/>
      <c r="CP24" s="13"/>
      <c r="CQ24" s="13"/>
      <c r="CR24" s="83"/>
      <c r="CS24" s="83"/>
      <c r="CT24" s="13"/>
      <c r="CU24" s="13"/>
      <c r="CV24" s="13"/>
      <c r="CW24" s="13"/>
      <c r="CX24" s="13"/>
      <c r="CY24" s="83"/>
      <c r="CZ24" s="83"/>
      <c r="DA24" s="13"/>
      <c r="DB24" s="13"/>
      <c r="DC24" s="13"/>
      <c r="DD24" s="13"/>
      <c r="DE24" s="13"/>
      <c r="DF24" s="83"/>
      <c r="DG24" s="83"/>
      <c r="DH24" s="13"/>
      <c r="DI24" s="13"/>
      <c r="DJ24" s="13"/>
      <c r="DK24" s="13"/>
      <c r="DL24" s="13"/>
      <c r="DM24" s="83"/>
      <c r="DN24" s="83"/>
      <c r="DO24" s="13"/>
      <c r="DP24" s="13"/>
      <c r="DQ24" s="13"/>
      <c r="DR24" s="13"/>
      <c r="DS24" s="13"/>
      <c r="DT24" s="13">
        <f t="shared" si="6"/>
        <v>12</v>
      </c>
    </row>
    <row r="25" spans="1:124" ht="30" customHeight="1" thickBot="1">
      <c r="A25"/>
      <c r="B25" s="42" t="s">
        <v>364</v>
      </c>
      <c r="C25" s="6" t="s">
        <v>38</v>
      </c>
      <c r="D25" s="6"/>
      <c r="E25" s="183" t="s">
        <v>58</v>
      </c>
      <c r="F25" s="183" t="s">
        <v>58</v>
      </c>
      <c r="G25" s="184" t="s">
        <v>58</v>
      </c>
      <c r="H25" s="184" t="s">
        <v>58</v>
      </c>
      <c r="I25" s="184" t="s">
        <v>58</v>
      </c>
      <c r="J25" s="184" t="s">
        <v>58</v>
      </c>
      <c r="K25" s="94" t="s">
        <v>222</v>
      </c>
      <c r="L25" s="94" t="s">
        <v>222</v>
      </c>
      <c r="M25" s="72" t="s">
        <v>336</v>
      </c>
      <c r="N25" s="72" t="s">
        <v>336</v>
      </c>
      <c r="O25" s="72" t="s">
        <v>336</v>
      </c>
      <c r="P25" s="182" t="s">
        <v>336</v>
      </c>
      <c r="Q25" s="182" t="s">
        <v>336</v>
      </c>
      <c r="R25" s="72" t="s">
        <v>336</v>
      </c>
      <c r="S25" s="72" t="s">
        <v>336</v>
      </c>
      <c r="T25" s="23"/>
      <c r="U25" s="23"/>
      <c r="V25" s="23"/>
      <c r="W25" s="23"/>
      <c r="X25" s="23"/>
      <c r="Y25" s="7"/>
      <c r="Z25" s="34"/>
      <c r="AA25" s="34"/>
      <c r="AB25" s="13"/>
      <c r="AC25" s="13"/>
      <c r="AD25" s="13"/>
      <c r="AE25" s="13"/>
      <c r="AF25" s="13"/>
      <c r="AG25" s="83"/>
      <c r="AH25" s="83"/>
      <c r="AI25" s="13"/>
      <c r="AJ25" s="13"/>
      <c r="AK25" s="13"/>
      <c r="AL25" s="13"/>
      <c r="AM25" s="35"/>
      <c r="AN25" s="83"/>
      <c r="AO25" s="83"/>
      <c r="AP25" s="13"/>
      <c r="AQ25" s="13"/>
      <c r="AR25" s="13"/>
      <c r="AS25" s="13"/>
      <c r="AT25" s="13"/>
      <c r="AU25" s="83"/>
      <c r="AV25" s="83"/>
      <c r="AW25" s="13"/>
      <c r="AX25" s="13"/>
      <c r="AY25" s="13"/>
      <c r="AZ25" s="13"/>
      <c r="BA25" s="13"/>
      <c r="BB25" s="83"/>
      <c r="BC25" s="83"/>
      <c r="BD25" s="13"/>
      <c r="BE25" s="13"/>
      <c r="BF25" s="13"/>
      <c r="BG25" s="13"/>
      <c r="BH25" s="13" t="s">
        <v>146</v>
      </c>
      <c r="BI25" s="83"/>
      <c r="BJ25" s="83"/>
      <c r="BK25" s="13" t="s">
        <v>146</v>
      </c>
      <c r="BL25" s="13" t="s">
        <v>146</v>
      </c>
      <c r="BM25" s="13" t="s">
        <v>146</v>
      </c>
      <c r="BN25" s="13" t="s">
        <v>146</v>
      </c>
      <c r="BO25" s="13" t="s">
        <v>146</v>
      </c>
      <c r="BP25" s="83"/>
      <c r="BQ25" s="83"/>
      <c r="BR25" s="13" t="s">
        <v>146</v>
      </c>
      <c r="BS25" s="13" t="s">
        <v>146</v>
      </c>
      <c r="BT25" s="13" t="s">
        <v>146</v>
      </c>
      <c r="BU25" s="13" t="s">
        <v>146</v>
      </c>
      <c r="BV25" s="13" t="s">
        <v>146</v>
      </c>
      <c r="BW25" s="83"/>
      <c r="BX25" s="83"/>
      <c r="BY25" s="35" t="s">
        <v>341</v>
      </c>
      <c r="BZ25" s="13"/>
      <c r="CA25" s="13"/>
      <c r="CB25" s="13"/>
      <c r="CC25" s="13"/>
      <c r="CD25" s="83"/>
      <c r="CE25" s="83"/>
      <c r="CF25" s="13"/>
      <c r="CG25" s="13"/>
      <c r="CH25" s="13"/>
      <c r="CI25" s="13"/>
      <c r="CJ25" s="13"/>
      <c r="CK25" s="83"/>
      <c r="CL25" s="83"/>
      <c r="CM25" s="13"/>
      <c r="CN25" s="13"/>
      <c r="CO25" s="13"/>
      <c r="CP25" s="13"/>
      <c r="CQ25" s="13"/>
      <c r="CR25" s="83"/>
      <c r="CS25" s="83"/>
      <c r="CT25" s="13"/>
      <c r="CU25" s="13"/>
      <c r="CV25" s="13"/>
      <c r="CW25" s="13"/>
      <c r="CX25" s="13"/>
      <c r="CY25" s="83"/>
      <c r="CZ25" s="83"/>
      <c r="DA25" s="13"/>
      <c r="DB25" s="13"/>
      <c r="DC25" s="13"/>
      <c r="DD25" s="13"/>
      <c r="DE25" s="13"/>
      <c r="DF25" s="83"/>
      <c r="DG25" s="83"/>
      <c r="DH25" s="13"/>
      <c r="DI25" s="13"/>
      <c r="DJ25" s="13"/>
      <c r="DK25" s="13"/>
      <c r="DL25" s="13"/>
      <c r="DM25" s="83"/>
      <c r="DN25" s="83"/>
      <c r="DO25" s="13"/>
      <c r="DP25" s="13"/>
      <c r="DQ25" s="13"/>
      <c r="DR25" s="13"/>
      <c r="DS25" s="13"/>
      <c r="DT25" s="13"/>
    </row>
    <row r="26" spans="1:124" ht="30" hidden="1" customHeight="1" thickBot="1">
      <c r="B26" s="42" t="s">
        <v>61</v>
      </c>
      <c r="C26" s="6" t="s">
        <v>355</v>
      </c>
      <c r="D26" s="6"/>
      <c r="E26" s="388" t="s">
        <v>58</v>
      </c>
      <c r="F26" s="388" t="s">
        <v>58</v>
      </c>
      <c r="G26" s="392" t="s">
        <v>58</v>
      </c>
      <c r="H26" s="392" t="s">
        <v>58</v>
      </c>
      <c r="I26" s="392" t="s">
        <v>58</v>
      </c>
      <c r="J26" s="392" t="s">
        <v>58</v>
      </c>
      <c r="K26" s="94" t="s">
        <v>224</v>
      </c>
      <c r="L26" s="94" t="s">
        <v>224</v>
      </c>
      <c r="M26" s="72" t="s">
        <v>336</v>
      </c>
      <c r="N26" s="72" t="s">
        <v>336</v>
      </c>
      <c r="O26" s="72" t="s">
        <v>336</v>
      </c>
      <c r="P26" s="72" t="s">
        <v>336</v>
      </c>
      <c r="Q26" s="72" t="s">
        <v>336</v>
      </c>
      <c r="R26" s="72" t="s">
        <v>336</v>
      </c>
      <c r="S26" s="72" t="s">
        <v>336</v>
      </c>
      <c r="T26" s="23"/>
      <c r="U26" s="23"/>
      <c r="V26" s="23"/>
      <c r="W26" s="23"/>
      <c r="X26" s="23"/>
      <c r="Y26" s="90" t="s">
        <v>62</v>
      </c>
      <c r="Z26" s="13">
        <v>19</v>
      </c>
      <c r="AA26" s="13">
        <v>19</v>
      </c>
      <c r="AB26" s="13" t="s">
        <v>18</v>
      </c>
      <c r="AC26" s="13" t="s">
        <v>356</v>
      </c>
      <c r="AD26" s="13">
        <v>2.7142857142857144</v>
      </c>
      <c r="AE26" s="13">
        <v>2.375</v>
      </c>
      <c r="AF26" s="13"/>
      <c r="AG26" s="83"/>
      <c r="AH26" s="83"/>
      <c r="AI26" s="13"/>
      <c r="AJ26" s="13" t="s">
        <v>146</v>
      </c>
      <c r="AK26" s="13" t="s">
        <v>146</v>
      </c>
      <c r="AL26" s="13" t="s">
        <v>146</v>
      </c>
      <c r="AM26" s="35" t="s">
        <v>341</v>
      </c>
      <c r="AN26" s="83"/>
      <c r="AO26" s="83"/>
      <c r="AP26" s="13"/>
      <c r="AQ26" s="13"/>
      <c r="AR26" s="13"/>
      <c r="AS26" s="13"/>
      <c r="AT26" s="13" t="s">
        <v>146</v>
      </c>
      <c r="AU26" s="83"/>
      <c r="AV26" s="83"/>
      <c r="AW26" s="13" t="s">
        <v>146</v>
      </c>
      <c r="AX26" s="13" t="s">
        <v>146</v>
      </c>
      <c r="AY26" s="13" t="s">
        <v>146</v>
      </c>
      <c r="AZ26" s="13" t="s">
        <v>146</v>
      </c>
      <c r="BA26" s="13" t="s">
        <v>146</v>
      </c>
      <c r="BB26" s="83"/>
      <c r="BC26" s="83"/>
      <c r="BD26" s="13" t="s">
        <v>146</v>
      </c>
      <c r="BE26" s="13" t="s">
        <v>146</v>
      </c>
      <c r="BF26" s="13" t="s">
        <v>146</v>
      </c>
      <c r="BG26" s="13" t="s">
        <v>146</v>
      </c>
      <c r="BH26" s="13" t="s">
        <v>146</v>
      </c>
      <c r="BI26" s="83"/>
      <c r="BJ26" s="83"/>
      <c r="BK26" s="35" t="s">
        <v>341</v>
      </c>
      <c r="BL26" s="13"/>
      <c r="BM26" s="13"/>
      <c r="BN26" s="13"/>
      <c r="BO26" s="13"/>
      <c r="BP26" s="83"/>
      <c r="BQ26" s="83"/>
      <c r="BR26" s="13"/>
      <c r="BS26" s="13"/>
      <c r="BT26" s="13"/>
      <c r="BU26" s="13"/>
      <c r="BV26" s="13"/>
      <c r="BW26" s="83"/>
      <c r="BX26" s="83"/>
      <c r="BY26" s="13"/>
      <c r="BZ26" s="13"/>
      <c r="CA26" s="13"/>
      <c r="CB26" s="13"/>
      <c r="CC26" s="13"/>
      <c r="CD26" s="83"/>
      <c r="CE26" s="83"/>
      <c r="CF26" s="13" t="s">
        <v>18</v>
      </c>
      <c r="CG26" s="13"/>
      <c r="CH26" s="13" t="s">
        <v>18</v>
      </c>
      <c r="CI26" s="13" t="s">
        <v>18</v>
      </c>
      <c r="CJ26" s="13"/>
      <c r="CK26" s="83"/>
      <c r="CL26" s="83"/>
      <c r="CM26" s="13"/>
      <c r="CN26" s="13"/>
      <c r="CO26" s="13"/>
      <c r="CP26" s="13"/>
      <c r="CQ26" s="13"/>
      <c r="CR26" s="83"/>
      <c r="CS26" s="83"/>
      <c r="CT26" s="13"/>
      <c r="CU26" s="13"/>
      <c r="CV26" s="13"/>
      <c r="CW26" s="13"/>
      <c r="CX26" s="13"/>
      <c r="CY26" s="83"/>
      <c r="CZ26" s="83"/>
      <c r="DA26" s="13"/>
      <c r="DB26" s="13"/>
      <c r="DC26" s="13"/>
      <c r="DD26" s="13"/>
      <c r="DE26" s="13"/>
      <c r="DF26" s="83"/>
      <c r="DG26" s="83"/>
      <c r="DH26" s="13"/>
      <c r="DI26" s="13"/>
      <c r="DJ26" s="13"/>
      <c r="DK26" s="13"/>
      <c r="DL26" s="13"/>
      <c r="DM26" s="83"/>
      <c r="DN26" s="83"/>
      <c r="DO26" s="13"/>
      <c r="DP26" s="13"/>
      <c r="DQ26" s="13"/>
      <c r="DR26" s="13"/>
      <c r="DS26" s="13"/>
      <c r="DT26" s="13">
        <f t="shared" si="6"/>
        <v>14</v>
      </c>
    </row>
    <row r="27" spans="1:124" ht="30" hidden="1" customHeight="1" thickBot="1">
      <c r="A27"/>
      <c r="B27" s="42" t="s">
        <v>63</v>
      </c>
      <c r="C27" s="6" t="s">
        <v>38</v>
      </c>
      <c r="D27" s="6"/>
      <c r="E27" s="183" t="s">
        <v>58</v>
      </c>
      <c r="F27" s="183" t="s">
        <v>58</v>
      </c>
      <c r="G27" s="184" t="s">
        <v>58</v>
      </c>
      <c r="H27" s="184" t="s">
        <v>58</v>
      </c>
      <c r="I27" s="183" t="s">
        <v>58</v>
      </c>
      <c r="J27" s="183" t="s">
        <v>58</v>
      </c>
      <c r="K27" s="94" t="s">
        <v>344</v>
      </c>
      <c r="L27" s="94" t="s">
        <v>344</v>
      </c>
      <c r="M27" s="72" t="s">
        <v>336</v>
      </c>
      <c r="N27" s="72" t="s">
        <v>336</v>
      </c>
      <c r="O27" s="72" t="s">
        <v>336</v>
      </c>
      <c r="P27" s="72" t="s">
        <v>336</v>
      </c>
      <c r="Q27" s="72" t="s">
        <v>336</v>
      </c>
      <c r="R27" s="72" t="s">
        <v>336</v>
      </c>
      <c r="S27" s="23"/>
      <c r="T27" s="23"/>
      <c r="U27" s="23"/>
      <c r="V27" s="23"/>
      <c r="W27" s="23"/>
      <c r="X27" s="23"/>
      <c r="Y27" s="7" t="s">
        <v>64</v>
      </c>
      <c r="Z27" s="13">
        <v>41</v>
      </c>
      <c r="AA27" s="13">
        <v>41</v>
      </c>
      <c r="AB27" s="13" t="s">
        <v>18</v>
      </c>
      <c r="AC27" s="13" t="s">
        <v>356</v>
      </c>
      <c r="AD27" s="13">
        <v>5.8571428571428568</v>
      </c>
      <c r="AE27" s="13">
        <v>5.125</v>
      </c>
      <c r="AF27" s="13"/>
      <c r="AG27" s="83"/>
      <c r="AH27" s="83"/>
      <c r="AI27" s="13"/>
      <c r="AJ27" s="13"/>
      <c r="AK27" s="13"/>
      <c r="AL27" s="13"/>
      <c r="AM27" s="13"/>
      <c r="AN27" s="83"/>
      <c r="AO27" s="83"/>
      <c r="AP27" s="13" t="s">
        <v>146</v>
      </c>
      <c r="AQ27" s="13" t="s">
        <v>146</v>
      </c>
      <c r="AR27" s="13" t="s">
        <v>146</v>
      </c>
      <c r="AS27" s="13" t="s">
        <v>146</v>
      </c>
      <c r="AT27" s="13" t="s">
        <v>18</v>
      </c>
      <c r="AU27" s="83"/>
      <c r="AV27" s="83"/>
      <c r="AW27" s="13"/>
      <c r="AX27" s="13"/>
      <c r="AY27" s="13"/>
      <c r="AZ27" s="13"/>
      <c r="BA27" s="13"/>
      <c r="BB27" s="83"/>
      <c r="BC27" s="83"/>
      <c r="BD27" s="13"/>
      <c r="BE27" s="13"/>
      <c r="BF27" s="13"/>
      <c r="BG27" s="13"/>
      <c r="BH27" s="13" t="s">
        <v>146</v>
      </c>
      <c r="BI27" s="83"/>
      <c r="BJ27" s="83"/>
      <c r="BK27" s="13" t="s">
        <v>146</v>
      </c>
      <c r="BL27" s="13" t="s">
        <v>146</v>
      </c>
      <c r="BM27" s="13" t="s">
        <v>146</v>
      </c>
      <c r="BN27" s="13" t="s">
        <v>146</v>
      </c>
      <c r="BO27" s="13" t="s">
        <v>146</v>
      </c>
      <c r="BP27" s="83"/>
      <c r="BQ27" s="83"/>
      <c r="BR27" s="13" t="s">
        <v>146</v>
      </c>
      <c r="BS27" s="13" t="s">
        <v>146</v>
      </c>
      <c r="BT27" s="13" t="s">
        <v>146</v>
      </c>
      <c r="BU27" s="13" t="s">
        <v>146</v>
      </c>
      <c r="BV27" s="13" t="s">
        <v>146</v>
      </c>
      <c r="BW27" s="83"/>
      <c r="BX27" s="83"/>
      <c r="BY27" s="35" t="s">
        <v>341</v>
      </c>
      <c r="BZ27" s="13"/>
      <c r="CA27" s="13"/>
      <c r="CB27" s="13"/>
      <c r="CC27" s="13"/>
      <c r="CD27" s="83"/>
      <c r="CE27" s="83"/>
      <c r="CF27" s="13"/>
      <c r="CG27" s="13" t="s">
        <v>18</v>
      </c>
      <c r="CH27" s="13" t="s">
        <v>18</v>
      </c>
      <c r="CI27" s="13"/>
      <c r="CJ27" s="13" t="s">
        <v>18</v>
      </c>
      <c r="CK27" s="83"/>
      <c r="CL27" s="83"/>
      <c r="CM27" s="13"/>
      <c r="CN27" s="13"/>
      <c r="CO27" s="13"/>
      <c r="CP27" s="13"/>
      <c r="CQ27" s="13"/>
      <c r="CR27" s="83"/>
      <c r="CS27" s="83"/>
      <c r="CT27" s="13"/>
      <c r="CU27" s="13"/>
      <c r="CV27" s="13"/>
      <c r="CW27" s="13"/>
      <c r="CX27" s="13"/>
      <c r="CY27" s="83"/>
      <c r="CZ27" s="83"/>
      <c r="DA27" s="13"/>
      <c r="DB27" s="13"/>
      <c r="DC27" s="13"/>
      <c r="DD27" s="13"/>
      <c r="DE27" s="13"/>
      <c r="DF27" s="83"/>
      <c r="DG27" s="83"/>
      <c r="DH27" s="13"/>
      <c r="DI27" s="13"/>
      <c r="DJ27" s="13"/>
      <c r="DK27" s="13"/>
      <c r="DL27" s="13"/>
      <c r="DM27" s="83"/>
      <c r="DN27" s="83"/>
      <c r="DO27" s="13"/>
      <c r="DP27" s="13"/>
      <c r="DQ27" s="13"/>
      <c r="DR27" s="13"/>
      <c r="DS27" s="13"/>
      <c r="DT27" s="13">
        <f t="shared" si="6"/>
        <v>15</v>
      </c>
    </row>
    <row r="28" spans="1:124" ht="30" hidden="1" customHeight="1" thickBot="1">
      <c r="A28"/>
      <c r="B28" s="42" t="s">
        <v>65</v>
      </c>
      <c r="C28" s="6" t="s">
        <v>38</v>
      </c>
      <c r="D28" s="10"/>
      <c r="E28" s="186" t="s">
        <v>58</v>
      </c>
      <c r="F28" s="186" t="s">
        <v>58</v>
      </c>
      <c r="G28" s="184" t="s">
        <v>58</v>
      </c>
      <c r="H28" s="184" t="s">
        <v>58</v>
      </c>
      <c r="I28" s="186" t="s">
        <v>58</v>
      </c>
      <c r="J28" s="186" t="s">
        <v>58</v>
      </c>
      <c r="K28" s="94" t="s">
        <v>344</v>
      </c>
      <c r="L28" s="94" t="s">
        <v>344</v>
      </c>
      <c r="M28" s="72" t="s">
        <v>336</v>
      </c>
      <c r="N28" s="72" t="s">
        <v>336</v>
      </c>
      <c r="O28" s="72" t="s">
        <v>336</v>
      </c>
      <c r="P28" s="72" t="s">
        <v>336</v>
      </c>
      <c r="Q28" s="72" t="s">
        <v>336</v>
      </c>
      <c r="R28" s="72" t="s">
        <v>336</v>
      </c>
      <c r="S28" s="23"/>
      <c r="T28" s="23"/>
      <c r="U28" s="23"/>
      <c r="V28" s="23"/>
      <c r="W28" s="23"/>
      <c r="X28" s="23"/>
      <c r="Y28" s="13" t="s">
        <v>66</v>
      </c>
      <c r="Z28" s="13">
        <v>47</v>
      </c>
      <c r="AA28" s="13">
        <v>47</v>
      </c>
      <c r="AB28" s="13" t="s">
        <v>18</v>
      </c>
      <c r="AC28" s="13" t="s">
        <v>356</v>
      </c>
      <c r="AD28" s="13">
        <v>6.7142857142857144</v>
      </c>
      <c r="AE28" s="13">
        <v>5.875</v>
      </c>
      <c r="AF28" s="13"/>
      <c r="AG28" s="83"/>
      <c r="AH28" s="83"/>
      <c r="AI28" s="13"/>
      <c r="AJ28" s="13"/>
      <c r="AK28" s="13"/>
      <c r="AL28" s="13"/>
      <c r="AM28" s="13" t="s">
        <v>146</v>
      </c>
      <c r="AN28" s="83"/>
      <c r="AO28" s="83"/>
      <c r="AP28" s="13" t="s">
        <v>146</v>
      </c>
      <c r="AQ28" s="13" t="s">
        <v>146</v>
      </c>
      <c r="AR28" s="13" t="s">
        <v>146</v>
      </c>
      <c r="AS28" s="13" t="s">
        <v>146</v>
      </c>
      <c r="AT28" s="13" t="s">
        <v>18</v>
      </c>
      <c r="AU28" s="83"/>
      <c r="AV28" s="83"/>
      <c r="AW28" s="13"/>
      <c r="AX28" s="13"/>
      <c r="AY28" s="13"/>
      <c r="AZ28" s="13"/>
      <c r="BA28" s="13"/>
      <c r="BB28" s="83"/>
      <c r="BC28" s="83"/>
      <c r="BD28" s="13"/>
      <c r="BE28" s="13"/>
      <c r="BF28" s="13"/>
      <c r="BG28" s="13"/>
      <c r="BH28" s="13"/>
      <c r="BI28" s="83"/>
      <c r="BJ28" s="83"/>
      <c r="BK28" s="13"/>
      <c r="BL28" s="13"/>
      <c r="BM28" s="13"/>
      <c r="BN28" s="13"/>
      <c r="BO28" s="13"/>
      <c r="BP28" s="83"/>
      <c r="BQ28" s="83"/>
      <c r="BR28" s="13"/>
      <c r="BS28" s="13"/>
      <c r="BT28" s="13"/>
      <c r="BU28" s="13"/>
      <c r="BV28" s="13" t="s">
        <v>146</v>
      </c>
      <c r="BW28" s="83"/>
      <c r="BX28" s="83"/>
      <c r="BY28" s="13" t="s">
        <v>146</v>
      </c>
      <c r="BZ28" s="13" t="s">
        <v>146</v>
      </c>
      <c r="CA28" s="13" t="s">
        <v>146</v>
      </c>
      <c r="CB28" s="13" t="s">
        <v>146</v>
      </c>
      <c r="CC28" s="13" t="s">
        <v>146</v>
      </c>
      <c r="CD28" s="83"/>
      <c r="CE28" s="83"/>
      <c r="CF28" s="13" t="s">
        <v>146</v>
      </c>
      <c r="CG28" s="13" t="s">
        <v>146</v>
      </c>
      <c r="CH28" s="13" t="s">
        <v>146</v>
      </c>
      <c r="CI28" s="13" t="s">
        <v>146</v>
      </c>
      <c r="CJ28" s="13" t="s">
        <v>146</v>
      </c>
      <c r="CK28" s="83"/>
      <c r="CL28" s="83"/>
      <c r="CM28" s="35" t="s">
        <v>341</v>
      </c>
      <c r="CN28" s="13"/>
      <c r="CO28" s="13"/>
      <c r="CP28" s="13"/>
      <c r="CQ28" s="13"/>
      <c r="CR28" s="83"/>
      <c r="CS28" s="83"/>
      <c r="CT28" s="13"/>
      <c r="CU28" s="13"/>
      <c r="CV28" s="13"/>
      <c r="CW28" s="13"/>
      <c r="CX28" s="13"/>
      <c r="CY28" s="83"/>
      <c r="CZ28" s="83"/>
      <c r="DA28" s="13"/>
      <c r="DB28" s="13"/>
      <c r="DC28" s="13"/>
      <c r="DD28" s="13"/>
      <c r="DE28" s="13"/>
      <c r="DF28" s="83"/>
      <c r="DG28" s="83"/>
      <c r="DH28" s="13"/>
      <c r="DI28" s="13"/>
      <c r="DJ28" s="13"/>
      <c r="DK28" s="13"/>
      <c r="DL28" s="13"/>
      <c r="DM28" s="83"/>
      <c r="DN28" s="83"/>
      <c r="DO28" s="13"/>
      <c r="DP28" s="13"/>
      <c r="DQ28" s="13"/>
      <c r="DR28" s="13"/>
      <c r="DS28" s="13"/>
      <c r="DT28" s="13">
        <f t="shared" si="6"/>
        <v>16</v>
      </c>
    </row>
    <row r="29" spans="1:124" ht="30" hidden="1" customHeight="1" thickBot="1">
      <c r="A29"/>
      <c r="B29" s="310" t="s">
        <v>67</v>
      </c>
      <c r="C29" s="6" t="s">
        <v>38</v>
      </c>
      <c r="D29" s="17"/>
      <c r="E29" s="186" t="s">
        <v>58</v>
      </c>
      <c r="F29" s="186" t="s">
        <v>58</v>
      </c>
      <c r="G29" s="184" t="s">
        <v>58</v>
      </c>
      <c r="H29" s="184" t="s">
        <v>58</v>
      </c>
      <c r="I29" s="186" t="s">
        <v>58</v>
      </c>
      <c r="J29" s="186" t="s">
        <v>58</v>
      </c>
      <c r="K29" s="94" t="s">
        <v>344</v>
      </c>
      <c r="L29" s="94" t="s">
        <v>344</v>
      </c>
      <c r="M29" s="72" t="s">
        <v>336</v>
      </c>
      <c r="N29" s="72" t="s">
        <v>336</v>
      </c>
      <c r="O29" s="72" t="s">
        <v>336</v>
      </c>
      <c r="P29" s="72" t="s">
        <v>336</v>
      </c>
      <c r="Q29" s="23"/>
      <c r="R29" s="23"/>
      <c r="S29" s="23"/>
      <c r="T29" s="23"/>
      <c r="U29" s="23"/>
      <c r="V29" s="23"/>
      <c r="W29" s="23"/>
      <c r="X29" s="23"/>
      <c r="Y29" s="19" t="s">
        <v>68</v>
      </c>
      <c r="Z29" s="19">
        <v>5</v>
      </c>
      <c r="AA29" s="19">
        <v>5</v>
      </c>
      <c r="AB29" s="19" t="s">
        <v>18</v>
      </c>
      <c r="AC29" s="19" t="s">
        <v>356</v>
      </c>
      <c r="AD29" s="13">
        <v>0.7142857142857143</v>
      </c>
      <c r="AE29" s="13">
        <v>0.625</v>
      </c>
      <c r="AF29" s="13"/>
      <c r="AG29" s="83"/>
      <c r="AH29" s="83"/>
      <c r="AI29" s="13"/>
      <c r="AJ29" s="13"/>
      <c r="AK29" s="13"/>
      <c r="AL29" s="13"/>
      <c r="AM29" s="13"/>
      <c r="AN29" s="83"/>
      <c r="AO29" s="83"/>
      <c r="AP29" s="13"/>
      <c r="AQ29" s="13"/>
      <c r="AR29" s="13"/>
      <c r="AS29" s="13"/>
      <c r="AT29" s="13"/>
      <c r="AU29" s="83"/>
      <c r="AV29" s="83"/>
      <c r="AW29" s="13"/>
      <c r="AX29" s="13"/>
      <c r="AY29" s="13"/>
      <c r="AZ29" s="13"/>
      <c r="BA29" s="13"/>
      <c r="BB29" s="83"/>
      <c r="BC29" s="83"/>
      <c r="BD29" s="13"/>
      <c r="BE29" s="13"/>
      <c r="BF29" s="13"/>
      <c r="BG29" s="13"/>
      <c r="BH29" s="13"/>
      <c r="BI29" s="83"/>
      <c r="BJ29" s="83"/>
      <c r="BK29" s="13"/>
      <c r="BL29" s="13"/>
      <c r="BM29" s="13"/>
      <c r="BN29" s="13"/>
      <c r="BO29" s="13"/>
      <c r="BP29" s="83"/>
      <c r="BQ29" s="83"/>
      <c r="BR29" s="13"/>
      <c r="BS29" s="13"/>
      <c r="BT29" s="13"/>
      <c r="BU29" s="13"/>
      <c r="BV29" s="13" t="s">
        <v>146</v>
      </c>
      <c r="BW29" s="83"/>
      <c r="BX29" s="83"/>
      <c r="BY29" s="13" t="s">
        <v>146</v>
      </c>
      <c r="BZ29" s="13" t="s">
        <v>146</v>
      </c>
      <c r="CA29" s="13" t="s">
        <v>146</v>
      </c>
      <c r="CB29" s="13" t="s">
        <v>146</v>
      </c>
      <c r="CC29" s="13" t="s">
        <v>146</v>
      </c>
      <c r="CD29" s="83"/>
      <c r="CE29" s="83"/>
      <c r="CF29" s="13" t="s">
        <v>146</v>
      </c>
      <c r="CG29" s="13" t="s">
        <v>146</v>
      </c>
      <c r="CH29" s="13" t="s">
        <v>146</v>
      </c>
      <c r="CI29" s="13" t="s">
        <v>146</v>
      </c>
      <c r="CJ29" s="13" t="s">
        <v>146</v>
      </c>
      <c r="CK29" s="83"/>
      <c r="CL29" s="83"/>
      <c r="CM29" s="35" t="s">
        <v>341</v>
      </c>
      <c r="CN29" s="13"/>
      <c r="CO29" s="13"/>
      <c r="CP29" s="13"/>
      <c r="CQ29" s="13"/>
      <c r="CR29" s="83"/>
      <c r="CS29" s="83"/>
      <c r="CT29" s="13"/>
      <c r="CU29" s="13"/>
      <c r="CV29" s="13"/>
      <c r="CW29" s="13"/>
      <c r="CX29" s="13"/>
      <c r="CY29" s="83"/>
      <c r="CZ29" s="83"/>
      <c r="DA29" s="13"/>
      <c r="DB29" s="13"/>
      <c r="DC29" s="13"/>
      <c r="DD29" s="13"/>
      <c r="DE29" s="13"/>
      <c r="DF29" s="83"/>
      <c r="DG29" s="83"/>
      <c r="DH29" s="13"/>
      <c r="DI29" s="13"/>
      <c r="DJ29" s="13"/>
      <c r="DK29" s="13"/>
      <c r="DL29" s="13"/>
      <c r="DM29" s="83"/>
      <c r="DN29" s="83"/>
      <c r="DO29" s="13"/>
      <c r="DP29" s="13"/>
      <c r="DQ29" s="13"/>
      <c r="DR29" s="13"/>
      <c r="DS29" s="13"/>
      <c r="DT29" s="13">
        <f t="shared" si="6"/>
        <v>11</v>
      </c>
    </row>
    <row r="30" spans="1:124" ht="15.75" hidden="1" customHeight="1" thickBot="1">
      <c r="A30"/>
      <c r="B30" s="99"/>
      <c r="C30" s="20"/>
      <c r="D30" s="20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7">
        <f>SUM(Z3:Z29)</f>
        <v>2149</v>
      </c>
      <c r="AA30" s="27">
        <f>SUM(AA3:AA29)</f>
        <v>1738</v>
      </c>
      <c r="AB30" s="22">
        <f>SUM(AA3:AB29)</f>
        <v>1805</v>
      </c>
      <c r="AC30" s="22"/>
      <c r="AD30" s="22">
        <f>SUM(AD3:AD29)</f>
        <v>248.28571428571436</v>
      </c>
      <c r="AE30" s="22">
        <f>SUM(AE3:AE29)</f>
        <v>217.25</v>
      </c>
      <c r="AF30" s="22">
        <f t="shared" ref="AF30:BK30" si="8">COUNTIF(AF3:AF29, "X")</f>
        <v>0</v>
      </c>
      <c r="AG30" s="22">
        <f t="shared" si="8"/>
        <v>0</v>
      </c>
      <c r="AH30" s="22">
        <f t="shared" si="8"/>
        <v>0</v>
      </c>
      <c r="AI30" s="22">
        <f t="shared" si="8"/>
        <v>2</v>
      </c>
      <c r="AJ30" s="22">
        <f t="shared" si="8"/>
        <v>3</v>
      </c>
      <c r="AK30" s="22">
        <f t="shared" si="8"/>
        <v>3</v>
      </c>
      <c r="AL30" s="22">
        <f t="shared" si="8"/>
        <v>4</v>
      </c>
      <c r="AM30" s="22">
        <f t="shared" si="8"/>
        <v>3</v>
      </c>
      <c r="AN30" s="22">
        <f t="shared" si="8"/>
        <v>0</v>
      </c>
      <c r="AO30" s="22">
        <f t="shared" si="8"/>
        <v>0</v>
      </c>
      <c r="AP30" s="22">
        <f t="shared" si="8"/>
        <v>4</v>
      </c>
      <c r="AQ30" s="22">
        <f t="shared" si="8"/>
        <v>4</v>
      </c>
      <c r="AR30" s="22">
        <f t="shared" si="8"/>
        <v>4</v>
      </c>
      <c r="AS30" s="22">
        <f t="shared" si="8"/>
        <v>4</v>
      </c>
      <c r="AT30" s="22">
        <f t="shared" si="8"/>
        <v>9</v>
      </c>
      <c r="AU30" s="22">
        <f t="shared" si="8"/>
        <v>0</v>
      </c>
      <c r="AV30" s="22">
        <f t="shared" si="8"/>
        <v>0</v>
      </c>
      <c r="AW30" s="22">
        <f t="shared" si="8"/>
        <v>9</v>
      </c>
      <c r="AX30" s="22">
        <f t="shared" si="8"/>
        <v>9</v>
      </c>
      <c r="AY30" s="22">
        <f t="shared" si="8"/>
        <v>9</v>
      </c>
      <c r="AZ30" s="22">
        <f t="shared" si="8"/>
        <v>9</v>
      </c>
      <c r="BA30" s="22">
        <f t="shared" si="8"/>
        <v>9</v>
      </c>
      <c r="BB30" s="22">
        <f t="shared" si="8"/>
        <v>0</v>
      </c>
      <c r="BC30" s="22">
        <f t="shared" si="8"/>
        <v>0</v>
      </c>
      <c r="BD30" s="22">
        <f t="shared" si="8"/>
        <v>9</v>
      </c>
      <c r="BE30" s="22">
        <f t="shared" si="8"/>
        <v>9</v>
      </c>
      <c r="BF30" s="22">
        <f t="shared" si="8"/>
        <v>9</v>
      </c>
      <c r="BG30" s="22">
        <f t="shared" si="8"/>
        <v>9</v>
      </c>
      <c r="BH30" s="22">
        <f t="shared" si="8"/>
        <v>15</v>
      </c>
      <c r="BI30" s="22">
        <f t="shared" si="8"/>
        <v>0</v>
      </c>
      <c r="BJ30" s="22">
        <f t="shared" si="8"/>
        <v>0</v>
      </c>
      <c r="BK30" s="22">
        <f t="shared" si="8"/>
        <v>9</v>
      </c>
      <c r="BL30" s="22">
        <f t="shared" ref="BL30:CQ30" si="9">COUNTIF(BL3:BL29, "X")</f>
        <v>9</v>
      </c>
      <c r="BM30" s="22">
        <f t="shared" si="9"/>
        <v>9</v>
      </c>
      <c r="BN30" s="22">
        <f t="shared" si="9"/>
        <v>9</v>
      </c>
      <c r="BO30" s="22">
        <f t="shared" si="9"/>
        <v>9</v>
      </c>
      <c r="BP30" s="22">
        <f t="shared" si="9"/>
        <v>0</v>
      </c>
      <c r="BQ30" s="22">
        <f t="shared" si="9"/>
        <v>0</v>
      </c>
      <c r="BR30" s="22">
        <f t="shared" si="9"/>
        <v>9</v>
      </c>
      <c r="BS30" s="22">
        <f t="shared" si="9"/>
        <v>9</v>
      </c>
      <c r="BT30" s="22">
        <f t="shared" si="9"/>
        <v>9</v>
      </c>
      <c r="BU30" s="22">
        <f t="shared" si="9"/>
        <v>9</v>
      </c>
      <c r="BV30" s="22">
        <f t="shared" si="9"/>
        <v>16</v>
      </c>
      <c r="BW30" s="22">
        <f t="shared" si="9"/>
        <v>0</v>
      </c>
      <c r="BX30" s="22">
        <f t="shared" si="9"/>
        <v>0</v>
      </c>
      <c r="BY30" s="22">
        <f t="shared" si="9"/>
        <v>9</v>
      </c>
      <c r="BZ30" s="22">
        <f t="shared" si="9"/>
        <v>9</v>
      </c>
      <c r="CA30" s="22">
        <f t="shared" si="9"/>
        <v>9</v>
      </c>
      <c r="CB30" s="22">
        <f t="shared" si="9"/>
        <v>9</v>
      </c>
      <c r="CC30" s="22">
        <f t="shared" si="9"/>
        <v>9</v>
      </c>
      <c r="CD30" s="22">
        <f t="shared" si="9"/>
        <v>0</v>
      </c>
      <c r="CE30" s="22">
        <f t="shared" si="9"/>
        <v>0</v>
      </c>
      <c r="CF30" s="22">
        <f t="shared" si="9"/>
        <v>9</v>
      </c>
      <c r="CG30" s="22">
        <f t="shared" si="9"/>
        <v>9</v>
      </c>
      <c r="CH30" s="22">
        <f t="shared" si="9"/>
        <v>8</v>
      </c>
      <c r="CI30" s="22">
        <f t="shared" si="9"/>
        <v>8</v>
      </c>
      <c r="CJ30" s="22">
        <f t="shared" si="9"/>
        <v>10</v>
      </c>
      <c r="CK30" s="22">
        <f t="shared" si="9"/>
        <v>0</v>
      </c>
      <c r="CL30" s="22">
        <f t="shared" si="9"/>
        <v>0</v>
      </c>
      <c r="CM30" s="22">
        <f t="shared" si="9"/>
        <v>4</v>
      </c>
      <c r="CN30" s="22">
        <f t="shared" si="9"/>
        <v>4</v>
      </c>
      <c r="CO30" s="22">
        <f t="shared" si="9"/>
        <v>4</v>
      </c>
      <c r="CP30" s="22">
        <f t="shared" si="9"/>
        <v>3</v>
      </c>
      <c r="CQ30" s="22">
        <f t="shared" si="9"/>
        <v>3</v>
      </c>
      <c r="CR30" s="22">
        <f t="shared" ref="CR30:DW30" si="10">COUNTIF(CR3:CR29, "X")</f>
        <v>0</v>
      </c>
      <c r="CS30" s="22">
        <f t="shared" si="10"/>
        <v>0</v>
      </c>
      <c r="CT30" s="22">
        <f t="shared" si="10"/>
        <v>3</v>
      </c>
      <c r="CU30" s="22">
        <f t="shared" si="10"/>
        <v>3</v>
      </c>
      <c r="CV30" s="22">
        <f t="shared" si="10"/>
        <v>3</v>
      </c>
      <c r="CW30" s="22">
        <f t="shared" si="10"/>
        <v>3</v>
      </c>
      <c r="CX30" s="22">
        <f t="shared" si="10"/>
        <v>0</v>
      </c>
      <c r="CY30" s="22">
        <f t="shared" si="10"/>
        <v>0</v>
      </c>
      <c r="CZ30" s="22">
        <f t="shared" si="10"/>
        <v>0</v>
      </c>
      <c r="DA30" s="22">
        <f t="shared" si="10"/>
        <v>0</v>
      </c>
      <c r="DB30" s="22">
        <f t="shared" si="10"/>
        <v>0</v>
      </c>
      <c r="DC30" s="22">
        <f t="shared" si="10"/>
        <v>0</v>
      </c>
      <c r="DD30" s="22">
        <f t="shared" si="10"/>
        <v>0</v>
      </c>
      <c r="DE30" s="22">
        <f t="shared" si="10"/>
        <v>0</v>
      </c>
      <c r="DF30" s="22">
        <f t="shared" si="10"/>
        <v>0</v>
      </c>
      <c r="DG30" s="22">
        <f t="shared" si="10"/>
        <v>0</v>
      </c>
      <c r="DH30" s="22">
        <f t="shared" si="10"/>
        <v>0</v>
      </c>
      <c r="DI30" s="22">
        <f t="shared" si="10"/>
        <v>0</v>
      </c>
      <c r="DJ30" s="22">
        <f t="shared" si="10"/>
        <v>0</v>
      </c>
      <c r="DK30" s="22">
        <f t="shared" si="10"/>
        <v>0</v>
      </c>
      <c r="DL30" s="22">
        <f t="shared" si="10"/>
        <v>0</v>
      </c>
      <c r="DM30" s="22">
        <f t="shared" si="10"/>
        <v>0</v>
      </c>
      <c r="DN30" s="22">
        <f t="shared" si="10"/>
        <v>0</v>
      </c>
      <c r="DO30" s="22">
        <f t="shared" si="10"/>
        <v>0</v>
      </c>
      <c r="DP30" s="22">
        <f t="shared" si="10"/>
        <v>0</v>
      </c>
      <c r="DQ30" s="22">
        <f t="shared" si="10"/>
        <v>0</v>
      </c>
      <c r="DR30" s="22">
        <f t="shared" si="10"/>
        <v>0</v>
      </c>
      <c r="DS30" s="22">
        <f t="shared" si="10"/>
        <v>0</v>
      </c>
      <c r="DT30" s="22">
        <f>SUM(DT3:DT29)</f>
        <v>330</v>
      </c>
    </row>
    <row r="31" spans="1:124" ht="15.75" customHeight="1">
      <c r="B31" s="395"/>
      <c r="C31" s="411"/>
      <c r="D31" s="1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395"/>
      <c r="Z31" s="112"/>
      <c r="AA31" s="112"/>
      <c r="AB31" s="112"/>
    </row>
    <row r="32" spans="1:124" ht="15.75" customHeight="1">
      <c r="B32" s="78" t="s">
        <v>365</v>
      </c>
      <c r="C32" s="79" t="s">
        <v>366</v>
      </c>
      <c r="D32" s="1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395"/>
      <c r="Z32" s="112"/>
      <c r="AA32" s="112"/>
      <c r="AB32" s="112"/>
      <c r="AC32" s="187" t="s">
        <v>346</v>
      </c>
      <c r="AF32">
        <f t="shared" ref="AF32:AO36" si="11">COUNTIFS($AC$3:$AC$29, $AC32, AF$3:AF$29,"X")</f>
        <v>0</v>
      </c>
      <c r="AG32">
        <f t="shared" si="11"/>
        <v>0</v>
      </c>
      <c r="AH32">
        <f t="shared" si="11"/>
        <v>0</v>
      </c>
      <c r="AI32">
        <f t="shared" si="11"/>
        <v>0</v>
      </c>
      <c r="AJ32">
        <f t="shared" si="11"/>
        <v>0</v>
      </c>
      <c r="AK32">
        <f t="shared" si="11"/>
        <v>0</v>
      </c>
      <c r="AL32">
        <f t="shared" si="11"/>
        <v>0</v>
      </c>
      <c r="AM32">
        <f t="shared" si="11"/>
        <v>0</v>
      </c>
      <c r="AN32">
        <f t="shared" si="11"/>
        <v>0</v>
      </c>
      <c r="AO32">
        <f t="shared" si="11"/>
        <v>0</v>
      </c>
      <c r="AP32">
        <f t="shared" ref="AP32:AY36" si="12">COUNTIFS($AC$3:$AC$29, $AC32, AP$3:AP$29,"X")</f>
        <v>0</v>
      </c>
      <c r="AQ32">
        <f t="shared" si="12"/>
        <v>0</v>
      </c>
      <c r="AR32">
        <f t="shared" si="12"/>
        <v>0</v>
      </c>
      <c r="AS32">
        <f t="shared" si="12"/>
        <v>0</v>
      </c>
      <c r="AT32">
        <f t="shared" si="12"/>
        <v>0</v>
      </c>
      <c r="AU32">
        <f t="shared" si="12"/>
        <v>0</v>
      </c>
      <c r="AV32">
        <f t="shared" si="12"/>
        <v>0</v>
      </c>
      <c r="AW32">
        <f t="shared" si="12"/>
        <v>0</v>
      </c>
      <c r="AX32">
        <f t="shared" si="12"/>
        <v>0</v>
      </c>
      <c r="AY32">
        <f t="shared" si="12"/>
        <v>0</v>
      </c>
      <c r="AZ32">
        <f t="shared" ref="AZ32:BI36" si="13">COUNTIFS($AC$3:$AC$29, $AC32, AZ$3:AZ$29,"X")</f>
        <v>0</v>
      </c>
      <c r="BA32">
        <f t="shared" si="13"/>
        <v>0</v>
      </c>
      <c r="BB32">
        <f t="shared" si="13"/>
        <v>0</v>
      </c>
      <c r="BC32">
        <f t="shared" si="13"/>
        <v>0</v>
      </c>
      <c r="BD32">
        <f t="shared" si="13"/>
        <v>0</v>
      </c>
      <c r="BE32">
        <f t="shared" si="13"/>
        <v>0</v>
      </c>
      <c r="BF32">
        <f t="shared" si="13"/>
        <v>0</v>
      </c>
      <c r="BG32">
        <f t="shared" si="13"/>
        <v>0</v>
      </c>
      <c r="BH32">
        <f t="shared" si="13"/>
        <v>1</v>
      </c>
      <c r="BI32">
        <f t="shared" si="13"/>
        <v>0</v>
      </c>
      <c r="BJ32">
        <f t="shared" ref="BJ32:BS36" si="14">COUNTIFS($AC$3:$AC$29, $AC32, BJ$3:BJ$29,"X")</f>
        <v>0</v>
      </c>
      <c r="BK32">
        <f t="shared" si="14"/>
        <v>1</v>
      </c>
      <c r="BL32">
        <f t="shared" si="14"/>
        <v>1</v>
      </c>
      <c r="BM32">
        <f t="shared" si="14"/>
        <v>1</v>
      </c>
      <c r="BN32">
        <f t="shared" si="14"/>
        <v>1</v>
      </c>
      <c r="BO32">
        <f t="shared" si="14"/>
        <v>1</v>
      </c>
      <c r="BP32">
        <f t="shared" si="14"/>
        <v>0</v>
      </c>
      <c r="BQ32">
        <f t="shared" si="14"/>
        <v>0</v>
      </c>
      <c r="BR32">
        <f t="shared" si="14"/>
        <v>1</v>
      </c>
      <c r="BS32">
        <f t="shared" si="14"/>
        <v>1</v>
      </c>
      <c r="BT32">
        <f t="shared" ref="BT32:CC36" si="15">COUNTIFS($AC$3:$AC$29, $AC32, BT$3:BT$29,"X")</f>
        <v>1</v>
      </c>
      <c r="BU32">
        <f t="shared" si="15"/>
        <v>1</v>
      </c>
      <c r="BV32">
        <f t="shared" si="15"/>
        <v>2</v>
      </c>
      <c r="BW32">
        <f t="shared" si="15"/>
        <v>0</v>
      </c>
      <c r="BX32">
        <f t="shared" si="15"/>
        <v>0</v>
      </c>
      <c r="BY32">
        <f t="shared" si="15"/>
        <v>1</v>
      </c>
      <c r="BZ32">
        <f t="shared" si="15"/>
        <v>1</v>
      </c>
      <c r="CA32">
        <f t="shared" si="15"/>
        <v>1</v>
      </c>
      <c r="CB32">
        <f t="shared" si="15"/>
        <v>1</v>
      </c>
      <c r="CC32">
        <f t="shared" si="15"/>
        <v>1</v>
      </c>
      <c r="CD32">
        <f t="shared" ref="CD32:CM36" si="16">COUNTIFS($AC$3:$AC$29, $AC32, CD$3:CD$29,"X")</f>
        <v>0</v>
      </c>
      <c r="CE32">
        <f t="shared" si="16"/>
        <v>0</v>
      </c>
      <c r="CF32">
        <f t="shared" si="16"/>
        <v>1</v>
      </c>
      <c r="CG32">
        <f t="shared" si="16"/>
        <v>1</v>
      </c>
      <c r="CH32">
        <f t="shared" si="16"/>
        <v>1</v>
      </c>
      <c r="CI32">
        <f t="shared" si="16"/>
        <v>1</v>
      </c>
      <c r="CJ32">
        <f t="shared" si="16"/>
        <v>1</v>
      </c>
      <c r="CK32">
        <f t="shared" si="16"/>
        <v>0</v>
      </c>
      <c r="CL32">
        <f t="shared" si="16"/>
        <v>0</v>
      </c>
      <c r="CM32">
        <f t="shared" si="16"/>
        <v>1</v>
      </c>
      <c r="CN32">
        <f t="shared" ref="CN32:CW36" si="17">COUNTIFS($AC$3:$AC$29, $AC32, CN$3:CN$29,"X")</f>
        <v>1</v>
      </c>
      <c r="CO32">
        <f t="shared" si="17"/>
        <v>1</v>
      </c>
      <c r="CP32">
        <f t="shared" si="17"/>
        <v>0</v>
      </c>
      <c r="CQ32">
        <f t="shared" si="17"/>
        <v>0</v>
      </c>
      <c r="CR32">
        <f t="shared" si="17"/>
        <v>0</v>
      </c>
      <c r="CS32">
        <f t="shared" si="17"/>
        <v>0</v>
      </c>
      <c r="CT32">
        <f t="shared" si="17"/>
        <v>0</v>
      </c>
      <c r="CU32">
        <f t="shared" si="17"/>
        <v>0</v>
      </c>
      <c r="CV32">
        <f t="shared" si="17"/>
        <v>0</v>
      </c>
      <c r="CW32">
        <f t="shared" si="17"/>
        <v>0</v>
      </c>
      <c r="CX32">
        <f t="shared" ref="CX32:DG36" si="18">COUNTIFS($AC$3:$AC$29, $AC32, CX$3:CX$29,"X")</f>
        <v>0</v>
      </c>
      <c r="CY32">
        <f t="shared" si="18"/>
        <v>0</v>
      </c>
      <c r="CZ32">
        <f t="shared" si="18"/>
        <v>0</v>
      </c>
      <c r="DA32">
        <f t="shared" si="18"/>
        <v>0</v>
      </c>
      <c r="DB32">
        <f t="shared" si="18"/>
        <v>0</v>
      </c>
      <c r="DC32">
        <f t="shared" si="18"/>
        <v>0</v>
      </c>
      <c r="DD32">
        <f t="shared" si="18"/>
        <v>0</v>
      </c>
      <c r="DE32">
        <f t="shared" si="18"/>
        <v>0</v>
      </c>
      <c r="DF32">
        <f t="shared" si="18"/>
        <v>0</v>
      </c>
      <c r="DG32">
        <f t="shared" si="18"/>
        <v>0</v>
      </c>
      <c r="DH32">
        <f t="shared" ref="DH32:DS36" si="19">COUNTIFS($AC$3:$AC$29, $AC32, DH$3:DH$29,"X")</f>
        <v>0</v>
      </c>
      <c r="DI32">
        <f t="shared" si="19"/>
        <v>0</v>
      </c>
      <c r="DJ32">
        <f t="shared" si="19"/>
        <v>0</v>
      </c>
      <c r="DK32">
        <f t="shared" si="19"/>
        <v>0</v>
      </c>
      <c r="DL32">
        <f t="shared" si="19"/>
        <v>0</v>
      </c>
      <c r="DM32">
        <f t="shared" si="19"/>
        <v>0</v>
      </c>
      <c r="DN32">
        <f t="shared" si="19"/>
        <v>0</v>
      </c>
      <c r="DO32">
        <f t="shared" si="19"/>
        <v>0</v>
      </c>
      <c r="DP32">
        <f t="shared" si="19"/>
        <v>0</v>
      </c>
      <c r="DQ32">
        <f t="shared" si="19"/>
        <v>0</v>
      </c>
      <c r="DR32">
        <f t="shared" si="19"/>
        <v>0</v>
      </c>
      <c r="DS32">
        <f t="shared" si="19"/>
        <v>0</v>
      </c>
      <c r="DT32">
        <f>SUMIFS($DT$3:$DT$29, $AC$3:$AC$29, AC32)</f>
        <v>25</v>
      </c>
    </row>
    <row r="33" spans="2:124" ht="15.75" customHeight="1">
      <c r="B33" s="100"/>
      <c r="C33" s="80" t="s">
        <v>367</v>
      </c>
      <c r="D33" s="1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395"/>
      <c r="Z33" s="112"/>
      <c r="AA33" s="112"/>
      <c r="AB33" s="112"/>
      <c r="AC33" s="187" t="s">
        <v>352</v>
      </c>
      <c r="AF33">
        <f t="shared" si="11"/>
        <v>0</v>
      </c>
      <c r="AG33">
        <f t="shared" si="11"/>
        <v>0</v>
      </c>
      <c r="AH33">
        <f t="shared" si="11"/>
        <v>0</v>
      </c>
      <c r="AI33">
        <f t="shared" si="11"/>
        <v>0</v>
      </c>
      <c r="AJ33">
        <f t="shared" si="11"/>
        <v>0</v>
      </c>
      <c r="AK33">
        <f t="shared" si="11"/>
        <v>0</v>
      </c>
      <c r="AL33">
        <f t="shared" si="11"/>
        <v>1</v>
      </c>
      <c r="AM33">
        <f t="shared" si="11"/>
        <v>0</v>
      </c>
      <c r="AN33">
        <f t="shared" si="11"/>
        <v>0</v>
      </c>
      <c r="AO33">
        <f t="shared" si="11"/>
        <v>0</v>
      </c>
      <c r="AP33">
        <f t="shared" si="12"/>
        <v>0</v>
      </c>
      <c r="AQ33">
        <f t="shared" si="12"/>
        <v>0</v>
      </c>
      <c r="AR33">
        <f t="shared" si="12"/>
        <v>0</v>
      </c>
      <c r="AS33">
        <f t="shared" si="12"/>
        <v>0</v>
      </c>
      <c r="AT33">
        <f t="shared" si="12"/>
        <v>1</v>
      </c>
      <c r="AU33">
        <f t="shared" si="12"/>
        <v>0</v>
      </c>
      <c r="AV33">
        <f t="shared" si="12"/>
        <v>0</v>
      </c>
      <c r="AW33">
        <f t="shared" si="12"/>
        <v>1</v>
      </c>
      <c r="AX33">
        <f t="shared" si="12"/>
        <v>1</v>
      </c>
      <c r="AY33">
        <f t="shared" si="12"/>
        <v>1</v>
      </c>
      <c r="AZ33">
        <f t="shared" si="13"/>
        <v>1</v>
      </c>
      <c r="BA33">
        <f t="shared" si="13"/>
        <v>1</v>
      </c>
      <c r="BB33">
        <f t="shared" si="13"/>
        <v>0</v>
      </c>
      <c r="BC33">
        <f t="shared" si="13"/>
        <v>0</v>
      </c>
      <c r="BD33">
        <f t="shared" si="13"/>
        <v>1</v>
      </c>
      <c r="BE33">
        <f t="shared" si="13"/>
        <v>1</v>
      </c>
      <c r="BF33">
        <f t="shared" si="13"/>
        <v>1</v>
      </c>
      <c r="BG33">
        <f t="shared" si="13"/>
        <v>2</v>
      </c>
      <c r="BH33">
        <f t="shared" si="13"/>
        <v>2</v>
      </c>
      <c r="BI33">
        <f t="shared" si="13"/>
        <v>0</v>
      </c>
      <c r="BJ33">
        <f t="shared" si="14"/>
        <v>0</v>
      </c>
      <c r="BK33">
        <f t="shared" si="14"/>
        <v>1</v>
      </c>
      <c r="BL33">
        <f t="shared" si="14"/>
        <v>1</v>
      </c>
      <c r="BM33">
        <f t="shared" si="14"/>
        <v>1</v>
      </c>
      <c r="BN33">
        <f t="shared" si="14"/>
        <v>1</v>
      </c>
      <c r="BO33">
        <f t="shared" si="14"/>
        <v>1</v>
      </c>
      <c r="BP33">
        <f t="shared" si="14"/>
        <v>0</v>
      </c>
      <c r="BQ33">
        <f t="shared" si="14"/>
        <v>0</v>
      </c>
      <c r="BR33">
        <f t="shared" si="14"/>
        <v>1</v>
      </c>
      <c r="BS33">
        <f t="shared" si="14"/>
        <v>1</v>
      </c>
      <c r="BT33">
        <f t="shared" si="15"/>
        <v>1</v>
      </c>
      <c r="BU33">
        <f t="shared" si="15"/>
        <v>1</v>
      </c>
      <c r="BV33">
        <f t="shared" si="15"/>
        <v>2</v>
      </c>
      <c r="BW33">
        <f t="shared" si="15"/>
        <v>0</v>
      </c>
      <c r="BX33">
        <f t="shared" si="15"/>
        <v>0</v>
      </c>
      <c r="BY33">
        <f t="shared" si="15"/>
        <v>2</v>
      </c>
      <c r="BZ33">
        <f t="shared" si="15"/>
        <v>2</v>
      </c>
      <c r="CA33">
        <f t="shared" si="15"/>
        <v>2</v>
      </c>
      <c r="CB33">
        <f t="shared" si="15"/>
        <v>2</v>
      </c>
      <c r="CC33">
        <f t="shared" si="15"/>
        <v>2</v>
      </c>
      <c r="CD33">
        <f t="shared" si="16"/>
        <v>0</v>
      </c>
      <c r="CE33">
        <f t="shared" si="16"/>
        <v>0</v>
      </c>
      <c r="CF33">
        <f t="shared" si="16"/>
        <v>2</v>
      </c>
      <c r="CG33">
        <f t="shared" si="16"/>
        <v>2</v>
      </c>
      <c r="CH33">
        <f t="shared" si="16"/>
        <v>1</v>
      </c>
      <c r="CI33">
        <f t="shared" si="16"/>
        <v>1</v>
      </c>
      <c r="CJ33">
        <f t="shared" si="16"/>
        <v>2</v>
      </c>
      <c r="CK33">
        <f t="shared" si="16"/>
        <v>0</v>
      </c>
      <c r="CL33">
        <f t="shared" si="16"/>
        <v>0</v>
      </c>
      <c r="CM33">
        <f t="shared" si="16"/>
        <v>1</v>
      </c>
      <c r="CN33">
        <f t="shared" si="17"/>
        <v>1</v>
      </c>
      <c r="CO33">
        <f t="shared" si="17"/>
        <v>1</v>
      </c>
      <c r="CP33">
        <f t="shared" si="17"/>
        <v>1</v>
      </c>
      <c r="CQ33">
        <f t="shared" si="17"/>
        <v>1</v>
      </c>
      <c r="CR33">
        <f t="shared" si="17"/>
        <v>0</v>
      </c>
      <c r="CS33">
        <f t="shared" si="17"/>
        <v>0</v>
      </c>
      <c r="CT33">
        <f t="shared" si="17"/>
        <v>1</v>
      </c>
      <c r="CU33">
        <f t="shared" si="17"/>
        <v>1</v>
      </c>
      <c r="CV33">
        <f t="shared" si="17"/>
        <v>1</v>
      </c>
      <c r="CW33">
        <f t="shared" si="17"/>
        <v>1</v>
      </c>
      <c r="CX33">
        <f t="shared" si="18"/>
        <v>0</v>
      </c>
      <c r="CY33">
        <f t="shared" si="18"/>
        <v>0</v>
      </c>
      <c r="CZ33">
        <f t="shared" si="18"/>
        <v>0</v>
      </c>
      <c r="DA33">
        <f t="shared" si="18"/>
        <v>0</v>
      </c>
      <c r="DB33">
        <f t="shared" si="18"/>
        <v>0</v>
      </c>
      <c r="DC33">
        <f t="shared" si="18"/>
        <v>0</v>
      </c>
      <c r="DD33">
        <f t="shared" si="18"/>
        <v>0</v>
      </c>
      <c r="DE33">
        <f t="shared" si="18"/>
        <v>0</v>
      </c>
      <c r="DF33">
        <f t="shared" si="18"/>
        <v>0</v>
      </c>
      <c r="DG33">
        <f t="shared" si="18"/>
        <v>0</v>
      </c>
      <c r="DH33">
        <f t="shared" si="19"/>
        <v>0</v>
      </c>
      <c r="DI33">
        <f t="shared" si="19"/>
        <v>0</v>
      </c>
      <c r="DJ33">
        <f t="shared" si="19"/>
        <v>0</v>
      </c>
      <c r="DK33">
        <f t="shared" si="19"/>
        <v>0</v>
      </c>
      <c r="DL33">
        <f t="shared" si="19"/>
        <v>0</v>
      </c>
      <c r="DM33">
        <f t="shared" si="19"/>
        <v>0</v>
      </c>
      <c r="DN33">
        <f t="shared" si="19"/>
        <v>0</v>
      </c>
      <c r="DO33">
        <f t="shared" si="19"/>
        <v>0</v>
      </c>
      <c r="DP33">
        <f t="shared" si="19"/>
        <v>0</v>
      </c>
      <c r="DQ33">
        <f t="shared" si="19"/>
        <v>0</v>
      </c>
      <c r="DR33">
        <f t="shared" si="19"/>
        <v>0</v>
      </c>
      <c r="DS33">
        <f t="shared" si="19"/>
        <v>0</v>
      </c>
      <c r="DT33">
        <f>SUMIFS($DT$3:$DT$29, $AC$3:$AC$29, AC33)</f>
        <v>52</v>
      </c>
    </row>
    <row r="34" spans="2:124" ht="15.75" customHeight="1">
      <c r="B34" s="100"/>
      <c r="C34" s="81" t="s">
        <v>368</v>
      </c>
      <c r="D34" s="1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395"/>
      <c r="Z34" s="112"/>
      <c r="AA34" s="112"/>
      <c r="AB34" s="112"/>
      <c r="AC34" s="187" t="s">
        <v>356</v>
      </c>
      <c r="AF34">
        <f t="shared" si="11"/>
        <v>0</v>
      </c>
      <c r="AG34">
        <f t="shared" si="11"/>
        <v>0</v>
      </c>
      <c r="AH34">
        <f t="shared" si="11"/>
        <v>0</v>
      </c>
      <c r="AI34">
        <f t="shared" si="11"/>
        <v>0</v>
      </c>
      <c r="AJ34">
        <f t="shared" si="11"/>
        <v>1</v>
      </c>
      <c r="AK34">
        <f t="shared" si="11"/>
        <v>1</v>
      </c>
      <c r="AL34">
        <f t="shared" si="11"/>
        <v>1</v>
      </c>
      <c r="AM34">
        <f t="shared" si="11"/>
        <v>1</v>
      </c>
      <c r="AN34">
        <f t="shared" si="11"/>
        <v>0</v>
      </c>
      <c r="AO34">
        <f t="shared" si="11"/>
        <v>0</v>
      </c>
      <c r="AP34">
        <f t="shared" si="12"/>
        <v>2</v>
      </c>
      <c r="AQ34">
        <f t="shared" si="12"/>
        <v>2</v>
      </c>
      <c r="AR34">
        <f t="shared" si="12"/>
        <v>2</v>
      </c>
      <c r="AS34">
        <f t="shared" si="12"/>
        <v>2</v>
      </c>
      <c r="AT34">
        <f t="shared" si="12"/>
        <v>1</v>
      </c>
      <c r="AU34">
        <f t="shared" si="12"/>
        <v>0</v>
      </c>
      <c r="AV34">
        <f t="shared" si="12"/>
        <v>0</v>
      </c>
      <c r="AW34">
        <f t="shared" si="12"/>
        <v>1</v>
      </c>
      <c r="AX34">
        <f t="shared" si="12"/>
        <v>1</v>
      </c>
      <c r="AY34">
        <f t="shared" si="12"/>
        <v>1</v>
      </c>
      <c r="AZ34">
        <f t="shared" si="13"/>
        <v>1</v>
      </c>
      <c r="BA34">
        <f t="shared" si="13"/>
        <v>1</v>
      </c>
      <c r="BB34">
        <f t="shared" si="13"/>
        <v>0</v>
      </c>
      <c r="BC34">
        <f t="shared" si="13"/>
        <v>0</v>
      </c>
      <c r="BD34">
        <f t="shared" si="13"/>
        <v>1</v>
      </c>
      <c r="BE34">
        <f t="shared" si="13"/>
        <v>1</v>
      </c>
      <c r="BF34">
        <f t="shared" si="13"/>
        <v>1</v>
      </c>
      <c r="BG34">
        <f t="shared" si="13"/>
        <v>1</v>
      </c>
      <c r="BH34">
        <f t="shared" si="13"/>
        <v>3</v>
      </c>
      <c r="BI34">
        <f t="shared" si="13"/>
        <v>0</v>
      </c>
      <c r="BJ34">
        <f t="shared" si="14"/>
        <v>0</v>
      </c>
      <c r="BK34">
        <f t="shared" si="14"/>
        <v>2</v>
      </c>
      <c r="BL34">
        <f t="shared" si="14"/>
        <v>2</v>
      </c>
      <c r="BM34">
        <f t="shared" si="14"/>
        <v>2</v>
      </c>
      <c r="BN34">
        <f t="shared" si="14"/>
        <v>2</v>
      </c>
      <c r="BO34">
        <f t="shared" si="14"/>
        <v>2</v>
      </c>
      <c r="BP34">
        <f t="shared" si="14"/>
        <v>0</v>
      </c>
      <c r="BQ34">
        <f t="shared" si="14"/>
        <v>0</v>
      </c>
      <c r="BR34">
        <f t="shared" si="14"/>
        <v>2</v>
      </c>
      <c r="BS34">
        <f t="shared" si="14"/>
        <v>2</v>
      </c>
      <c r="BT34">
        <f t="shared" si="15"/>
        <v>2</v>
      </c>
      <c r="BU34">
        <f t="shared" si="15"/>
        <v>2</v>
      </c>
      <c r="BV34">
        <f t="shared" si="15"/>
        <v>6</v>
      </c>
      <c r="BW34">
        <f t="shared" si="15"/>
        <v>0</v>
      </c>
      <c r="BX34">
        <f t="shared" si="15"/>
        <v>0</v>
      </c>
      <c r="BY34">
        <f t="shared" si="15"/>
        <v>4</v>
      </c>
      <c r="BZ34">
        <f t="shared" si="15"/>
        <v>4</v>
      </c>
      <c r="CA34">
        <f t="shared" si="15"/>
        <v>4</v>
      </c>
      <c r="CB34">
        <f t="shared" si="15"/>
        <v>4</v>
      </c>
      <c r="CC34">
        <f t="shared" si="15"/>
        <v>4</v>
      </c>
      <c r="CD34">
        <f t="shared" si="16"/>
        <v>0</v>
      </c>
      <c r="CE34">
        <f t="shared" si="16"/>
        <v>0</v>
      </c>
      <c r="CF34">
        <f t="shared" si="16"/>
        <v>4</v>
      </c>
      <c r="CG34">
        <f t="shared" si="16"/>
        <v>4</v>
      </c>
      <c r="CH34">
        <f t="shared" si="16"/>
        <v>4</v>
      </c>
      <c r="CI34">
        <f t="shared" si="16"/>
        <v>4</v>
      </c>
      <c r="CJ34">
        <f t="shared" si="16"/>
        <v>4</v>
      </c>
      <c r="CK34">
        <f t="shared" si="16"/>
        <v>0</v>
      </c>
      <c r="CL34">
        <f t="shared" si="16"/>
        <v>0</v>
      </c>
      <c r="CM34">
        <f t="shared" si="16"/>
        <v>1</v>
      </c>
      <c r="CN34">
        <f t="shared" si="17"/>
        <v>1</v>
      </c>
      <c r="CO34">
        <f t="shared" si="17"/>
        <v>1</v>
      </c>
      <c r="CP34">
        <f t="shared" si="17"/>
        <v>1</v>
      </c>
      <c r="CQ34">
        <f t="shared" si="17"/>
        <v>1</v>
      </c>
      <c r="CR34">
        <f t="shared" si="17"/>
        <v>0</v>
      </c>
      <c r="CS34">
        <f t="shared" si="17"/>
        <v>0</v>
      </c>
      <c r="CT34">
        <f t="shared" si="17"/>
        <v>1</v>
      </c>
      <c r="CU34">
        <f t="shared" si="17"/>
        <v>1</v>
      </c>
      <c r="CV34">
        <f t="shared" si="17"/>
        <v>1</v>
      </c>
      <c r="CW34">
        <f t="shared" si="17"/>
        <v>1</v>
      </c>
      <c r="CX34">
        <f t="shared" si="18"/>
        <v>0</v>
      </c>
      <c r="CY34">
        <f t="shared" si="18"/>
        <v>0</v>
      </c>
      <c r="CZ34">
        <f t="shared" si="18"/>
        <v>0</v>
      </c>
      <c r="DA34">
        <f t="shared" si="18"/>
        <v>0</v>
      </c>
      <c r="DB34">
        <f t="shared" si="18"/>
        <v>0</v>
      </c>
      <c r="DC34">
        <f t="shared" si="18"/>
        <v>0</v>
      </c>
      <c r="DD34">
        <f t="shared" si="18"/>
        <v>0</v>
      </c>
      <c r="DE34">
        <f t="shared" si="18"/>
        <v>0</v>
      </c>
      <c r="DF34">
        <f t="shared" si="18"/>
        <v>0</v>
      </c>
      <c r="DG34">
        <f t="shared" si="18"/>
        <v>0</v>
      </c>
      <c r="DH34">
        <f t="shared" si="19"/>
        <v>0</v>
      </c>
      <c r="DI34">
        <f t="shared" si="19"/>
        <v>0</v>
      </c>
      <c r="DJ34">
        <f t="shared" si="19"/>
        <v>0</v>
      </c>
      <c r="DK34">
        <f t="shared" si="19"/>
        <v>0</v>
      </c>
      <c r="DL34">
        <f t="shared" si="19"/>
        <v>0</v>
      </c>
      <c r="DM34">
        <f t="shared" si="19"/>
        <v>0</v>
      </c>
      <c r="DN34">
        <f t="shared" si="19"/>
        <v>0</v>
      </c>
      <c r="DO34">
        <f t="shared" si="19"/>
        <v>0</v>
      </c>
      <c r="DP34">
        <f t="shared" si="19"/>
        <v>0</v>
      </c>
      <c r="DQ34">
        <f t="shared" si="19"/>
        <v>0</v>
      </c>
      <c r="DR34">
        <f t="shared" si="19"/>
        <v>0</v>
      </c>
      <c r="DS34">
        <f t="shared" si="19"/>
        <v>0</v>
      </c>
      <c r="DT34">
        <f>SUMIFS($DT$3:$DT$29, $AC$3:$AC$29, AC34)</f>
        <v>98</v>
      </c>
    </row>
    <row r="35" spans="2:124" ht="15.75" customHeight="1">
      <c r="B35" s="100"/>
      <c r="C35" s="82" t="s">
        <v>369</v>
      </c>
      <c r="D35" s="1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395"/>
      <c r="Z35" s="112"/>
      <c r="AA35" s="112"/>
      <c r="AB35" s="112"/>
      <c r="AC35" s="187" t="s">
        <v>340</v>
      </c>
      <c r="AF35">
        <f t="shared" si="11"/>
        <v>0</v>
      </c>
      <c r="AG35">
        <f t="shared" si="11"/>
        <v>0</v>
      </c>
      <c r="AH35">
        <f t="shared" si="11"/>
        <v>0</v>
      </c>
      <c r="AI35">
        <f t="shared" si="11"/>
        <v>1</v>
      </c>
      <c r="AJ35">
        <f t="shared" si="11"/>
        <v>1</v>
      </c>
      <c r="AK35">
        <f t="shared" si="11"/>
        <v>1</v>
      </c>
      <c r="AL35">
        <f t="shared" si="11"/>
        <v>1</v>
      </c>
      <c r="AM35">
        <f t="shared" si="11"/>
        <v>1</v>
      </c>
      <c r="AN35">
        <f t="shared" si="11"/>
        <v>0</v>
      </c>
      <c r="AO35">
        <f t="shared" si="11"/>
        <v>0</v>
      </c>
      <c r="AP35">
        <f t="shared" si="12"/>
        <v>1</v>
      </c>
      <c r="AQ35">
        <f t="shared" si="12"/>
        <v>1</v>
      </c>
      <c r="AR35">
        <f t="shared" si="12"/>
        <v>1</v>
      </c>
      <c r="AS35">
        <f t="shared" si="12"/>
        <v>1</v>
      </c>
      <c r="AT35">
        <f t="shared" si="12"/>
        <v>2</v>
      </c>
      <c r="AU35">
        <f t="shared" si="12"/>
        <v>0</v>
      </c>
      <c r="AV35">
        <f t="shared" si="12"/>
        <v>0</v>
      </c>
      <c r="AW35">
        <f t="shared" si="12"/>
        <v>2</v>
      </c>
      <c r="AX35">
        <f t="shared" si="12"/>
        <v>2</v>
      </c>
      <c r="AY35">
        <f t="shared" si="12"/>
        <v>2</v>
      </c>
      <c r="AZ35">
        <f t="shared" si="13"/>
        <v>2</v>
      </c>
      <c r="BA35">
        <f t="shared" si="13"/>
        <v>2</v>
      </c>
      <c r="BB35">
        <f t="shared" si="13"/>
        <v>0</v>
      </c>
      <c r="BC35">
        <f t="shared" si="13"/>
        <v>0</v>
      </c>
      <c r="BD35">
        <f t="shared" si="13"/>
        <v>2</v>
      </c>
      <c r="BE35">
        <f t="shared" si="13"/>
        <v>2</v>
      </c>
      <c r="BF35">
        <f t="shared" si="13"/>
        <v>2</v>
      </c>
      <c r="BG35">
        <f t="shared" si="13"/>
        <v>2</v>
      </c>
      <c r="BH35">
        <f t="shared" si="13"/>
        <v>4</v>
      </c>
      <c r="BI35">
        <f t="shared" si="13"/>
        <v>0</v>
      </c>
      <c r="BJ35">
        <f t="shared" si="14"/>
        <v>0</v>
      </c>
      <c r="BK35">
        <f t="shared" si="14"/>
        <v>3</v>
      </c>
      <c r="BL35">
        <f t="shared" si="14"/>
        <v>3</v>
      </c>
      <c r="BM35">
        <f t="shared" si="14"/>
        <v>3</v>
      </c>
      <c r="BN35">
        <f t="shared" si="14"/>
        <v>3</v>
      </c>
      <c r="BO35">
        <f t="shared" si="14"/>
        <v>3</v>
      </c>
      <c r="BP35">
        <f t="shared" si="14"/>
        <v>0</v>
      </c>
      <c r="BQ35">
        <f t="shared" si="14"/>
        <v>0</v>
      </c>
      <c r="BR35">
        <f t="shared" si="14"/>
        <v>3</v>
      </c>
      <c r="BS35">
        <f t="shared" si="14"/>
        <v>3</v>
      </c>
      <c r="BT35">
        <f t="shared" si="15"/>
        <v>3</v>
      </c>
      <c r="BU35">
        <f t="shared" si="15"/>
        <v>3</v>
      </c>
      <c r="BV35">
        <f t="shared" si="15"/>
        <v>3</v>
      </c>
      <c r="BW35">
        <f t="shared" si="15"/>
        <v>0</v>
      </c>
      <c r="BX35">
        <f t="shared" si="15"/>
        <v>0</v>
      </c>
      <c r="BY35">
        <f t="shared" si="15"/>
        <v>1</v>
      </c>
      <c r="BZ35">
        <f t="shared" si="15"/>
        <v>1</v>
      </c>
      <c r="CA35">
        <f t="shared" si="15"/>
        <v>1</v>
      </c>
      <c r="CB35">
        <f t="shared" si="15"/>
        <v>1</v>
      </c>
      <c r="CC35">
        <f t="shared" si="15"/>
        <v>1</v>
      </c>
      <c r="CD35">
        <f t="shared" si="16"/>
        <v>0</v>
      </c>
      <c r="CE35">
        <f t="shared" si="16"/>
        <v>0</v>
      </c>
      <c r="CF35">
        <f t="shared" si="16"/>
        <v>1</v>
      </c>
      <c r="CG35">
        <f t="shared" si="16"/>
        <v>1</v>
      </c>
      <c r="CH35">
        <f t="shared" si="16"/>
        <v>1</v>
      </c>
      <c r="CI35">
        <f t="shared" si="16"/>
        <v>1</v>
      </c>
      <c r="CJ35">
        <f t="shared" si="16"/>
        <v>1</v>
      </c>
      <c r="CK35">
        <f t="shared" si="16"/>
        <v>0</v>
      </c>
      <c r="CL35">
        <f t="shared" si="16"/>
        <v>0</v>
      </c>
      <c r="CM35">
        <f t="shared" si="16"/>
        <v>0</v>
      </c>
      <c r="CN35">
        <f t="shared" si="17"/>
        <v>0</v>
      </c>
      <c r="CO35">
        <f t="shared" si="17"/>
        <v>0</v>
      </c>
      <c r="CP35">
        <f t="shared" si="17"/>
        <v>0</v>
      </c>
      <c r="CQ35">
        <f t="shared" si="17"/>
        <v>0</v>
      </c>
      <c r="CR35">
        <f t="shared" si="17"/>
        <v>0</v>
      </c>
      <c r="CS35">
        <f t="shared" si="17"/>
        <v>0</v>
      </c>
      <c r="CT35">
        <f t="shared" si="17"/>
        <v>0</v>
      </c>
      <c r="CU35">
        <f t="shared" si="17"/>
        <v>0</v>
      </c>
      <c r="CV35">
        <f t="shared" si="17"/>
        <v>0</v>
      </c>
      <c r="CW35">
        <f t="shared" si="17"/>
        <v>0</v>
      </c>
      <c r="CX35">
        <f t="shared" si="18"/>
        <v>0</v>
      </c>
      <c r="CY35">
        <f t="shared" si="18"/>
        <v>0</v>
      </c>
      <c r="CZ35">
        <f t="shared" si="18"/>
        <v>0</v>
      </c>
      <c r="DA35">
        <f t="shared" si="18"/>
        <v>0</v>
      </c>
      <c r="DB35">
        <f t="shared" si="18"/>
        <v>0</v>
      </c>
      <c r="DC35">
        <f t="shared" si="18"/>
        <v>0</v>
      </c>
      <c r="DD35">
        <f t="shared" si="18"/>
        <v>0</v>
      </c>
      <c r="DE35">
        <f t="shared" si="18"/>
        <v>0</v>
      </c>
      <c r="DF35">
        <f t="shared" si="18"/>
        <v>0</v>
      </c>
      <c r="DG35">
        <f t="shared" si="18"/>
        <v>0</v>
      </c>
      <c r="DH35">
        <f t="shared" si="19"/>
        <v>0</v>
      </c>
      <c r="DI35">
        <f t="shared" si="19"/>
        <v>0</v>
      </c>
      <c r="DJ35">
        <f t="shared" si="19"/>
        <v>0</v>
      </c>
      <c r="DK35">
        <f t="shared" si="19"/>
        <v>0</v>
      </c>
      <c r="DL35">
        <f t="shared" si="19"/>
        <v>0</v>
      </c>
      <c r="DM35">
        <f t="shared" si="19"/>
        <v>0</v>
      </c>
      <c r="DN35">
        <f t="shared" si="19"/>
        <v>0</v>
      </c>
      <c r="DO35">
        <f t="shared" si="19"/>
        <v>0</v>
      </c>
      <c r="DP35">
        <f t="shared" si="19"/>
        <v>0</v>
      </c>
      <c r="DQ35">
        <f t="shared" si="19"/>
        <v>0</v>
      </c>
      <c r="DR35">
        <f t="shared" si="19"/>
        <v>0</v>
      </c>
      <c r="DS35">
        <f t="shared" si="19"/>
        <v>0</v>
      </c>
      <c r="DT35">
        <f>SUMIFS($DT$3:$DT$29, $AC$3:$AC$29, AC35)</f>
        <v>73</v>
      </c>
    </row>
    <row r="36" spans="2:124" ht="15.75" customHeight="1">
      <c r="B36" s="492"/>
      <c r="C36" s="493"/>
      <c r="D36" s="1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395"/>
      <c r="Z36" s="112"/>
      <c r="AA36" s="112"/>
      <c r="AB36" s="112"/>
      <c r="AC36" s="187" t="s">
        <v>354</v>
      </c>
      <c r="AF36">
        <f t="shared" si="11"/>
        <v>0</v>
      </c>
      <c r="AG36">
        <f t="shared" si="11"/>
        <v>0</v>
      </c>
      <c r="AH36">
        <f t="shared" si="11"/>
        <v>0</v>
      </c>
      <c r="AI36">
        <f t="shared" si="11"/>
        <v>1</v>
      </c>
      <c r="AJ36">
        <f t="shared" si="11"/>
        <v>1</v>
      </c>
      <c r="AK36">
        <f t="shared" si="11"/>
        <v>1</v>
      </c>
      <c r="AL36">
        <f t="shared" si="11"/>
        <v>1</v>
      </c>
      <c r="AM36">
        <f t="shared" si="11"/>
        <v>1</v>
      </c>
      <c r="AN36">
        <f t="shared" si="11"/>
        <v>0</v>
      </c>
      <c r="AO36">
        <f t="shared" si="11"/>
        <v>0</v>
      </c>
      <c r="AP36">
        <f t="shared" si="12"/>
        <v>1</v>
      </c>
      <c r="AQ36">
        <f t="shared" si="12"/>
        <v>1</v>
      </c>
      <c r="AR36">
        <f t="shared" si="12"/>
        <v>1</v>
      </c>
      <c r="AS36">
        <f t="shared" si="12"/>
        <v>1</v>
      </c>
      <c r="AT36">
        <f t="shared" si="12"/>
        <v>3</v>
      </c>
      <c r="AU36">
        <f t="shared" si="12"/>
        <v>0</v>
      </c>
      <c r="AV36">
        <f t="shared" si="12"/>
        <v>0</v>
      </c>
      <c r="AW36">
        <f t="shared" si="12"/>
        <v>3</v>
      </c>
      <c r="AX36">
        <f t="shared" si="12"/>
        <v>3</v>
      </c>
      <c r="AY36">
        <f t="shared" si="12"/>
        <v>3</v>
      </c>
      <c r="AZ36">
        <f t="shared" si="13"/>
        <v>3</v>
      </c>
      <c r="BA36">
        <f t="shared" si="13"/>
        <v>3</v>
      </c>
      <c r="BB36">
        <f t="shared" si="13"/>
        <v>0</v>
      </c>
      <c r="BC36">
        <f t="shared" si="13"/>
        <v>0</v>
      </c>
      <c r="BD36">
        <f t="shared" si="13"/>
        <v>3</v>
      </c>
      <c r="BE36">
        <f t="shared" si="13"/>
        <v>3</v>
      </c>
      <c r="BF36">
        <f t="shared" si="13"/>
        <v>3</v>
      </c>
      <c r="BG36">
        <f t="shared" si="13"/>
        <v>3</v>
      </c>
      <c r="BH36">
        <f t="shared" si="13"/>
        <v>3</v>
      </c>
      <c r="BI36">
        <f t="shared" si="13"/>
        <v>0</v>
      </c>
      <c r="BJ36">
        <f t="shared" si="14"/>
        <v>0</v>
      </c>
      <c r="BK36">
        <f t="shared" si="14"/>
        <v>1</v>
      </c>
      <c r="BL36">
        <f t="shared" si="14"/>
        <v>1</v>
      </c>
      <c r="BM36">
        <f t="shared" si="14"/>
        <v>1</v>
      </c>
      <c r="BN36">
        <f t="shared" si="14"/>
        <v>1</v>
      </c>
      <c r="BO36">
        <f t="shared" si="14"/>
        <v>1</v>
      </c>
      <c r="BP36">
        <f t="shared" si="14"/>
        <v>0</v>
      </c>
      <c r="BQ36">
        <f t="shared" si="14"/>
        <v>0</v>
      </c>
      <c r="BR36">
        <f t="shared" si="14"/>
        <v>1</v>
      </c>
      <c r="BS36">
        <f t="shared" si="14"/>
        <v>1</v>
      </c>
      <c r="BT36">
        <f t="shared" si="15"/>
        <v>1</v>
      </c>
      <c r="BU36">
        <f t="shared" si="15"/>
        <v>1</v>
      </c>
      <c r="BV36">
        <f t="shared" si="15"/>
        <v>1</v>
      </c>
      <c r="BW36">
        <f t="shared" si="15"/>
        <v>0</v>
      </c>
      <c r="BX36">
        <f t="shared" si="15"/>
        <v>0</v>
      </c>
      <c r="BY36">
        <f t="shared" si="15"/>
        <v>0</v>
      </c>
      <c r="BZ36">
        <f t="shared" si="15"/>
        <v>0</v>
      </c>
      <c r="CA36">
        <f t="shared" si="15"/>
        <v>0</v>
      </c>
      <c r="CB36">
        <f t="shared" si="15"/>
        <v>0</v>
      </c>
      <c r="CC36">
        <f t="shared" si="15"/>
        <v>0</v>
      </c>
      <c r="CD36">
        <f t="shared" si="16"/>
        <v>0</v>
      </c>
      <c r="CE36">
        <f t="shared" si="16"/>
        <v>0</v>
      </c>
      <c r="CF36">
        <f t="shared" si="16"/>
        <v>0</v>
      </c>
      <c r="CG36">
        <f t="shared" si="16"/>
        <v>0</v>
      </c>
      <c r="CH36">
        <f t="shared" si="16"/>
        <v>0</v>
      </c>
      <c r="CI36">
        <f t="shared" si="16"/>
        <v>0</v>
      </c>
      <c r="CJ36">
        <f t="shared" si="16"/>
        <v>1</v>
      </c>
      <c r="CK36">
        <f t="shared" si="16"/>
        <v>0</v>
      </c>
      <c r="CL36">
        <f t="shared" si="16"/>
        <v>0</v>
      </c>
      <c r="CM36">
        <f t="shared" si="16"/>
        <v>1</v>
      </c>
      <c r="CN36">
        <f t="shared" si="17"/>
        <v>1</v>
      </c>
      <c r="CO36">
        <f t="shared" si="17"/>
        <v>1</v>
      </c>
      <c r="CP36">
        <f t="shared" si="17"/>
        <v>1</v>
      </c>
      <c r="CQ36">
        <f t="shared" si="17"/>
        <v>1</v>
      </c>
      <c r="CR36">
        <f t="shared" si="17"/>
        <v>0</v>
      </c>
      <c r="CS36">
        <f t="shared" si="17"/>
        <v>0</v>
      </c>
      <c r="CT36">
        <f t="shared" si="17"/>
        <v>1</v>
      </c>
      <c r="CU36">
        <f t="shared" si="17"/>
        <v>1</v>
      </c>
      <c r="CV36">
        <f t="shared" si="17"/>
        <v>1</v>
      </c>
      <c r="CW36">
        <f t="shared" si="17"/>
        <v>1</v>
      </c>
      <c r="CX36">
        <f t="shared" si="18"/>
        <v>0</v>
      </c>
      <c r="CY36">
        <f t="shared" si="18"/>
        <v>0</v>
      </c>
      <c r="CZ36">
        <f t="shared" si="18"/>
        <v>0</v>
      </c>
      <c r="DA36">
        <f t="shared" si="18"/>
        <v>0</v>
      </c>
      <c r="DB36">
        <f t="shared" si="18"/>
        <v>0</v>
      </c>
      <c r="DC36">
        <f t="shared" si="18"/>
        <v>0</v>
      </c>
      <c r="DD36">
        <f t="shared" si="18"/>
        <v>0</v>
      </c>
      <c r="DE36">
        <f t="shared" si="18"/>
        <v>0</v>
      </c>
      <c r="DF36">
        <f t="shared" si="18"/>
        <v>0</v>
      </c>
      <c r="DG36">
        <f t="shared" si="18"/>
        <v>0</v>
      </c>
      <c r="DH36">
        <f t="shared" si="19"/>
        <v>0</v>
      </c>
      <c r="DI36">
        <f t="shared" si="19"/>
        <v>0</v>
      </c>
      <c r="DJ36">
        <f t="shared" si="19"/>
        <v>0</v>
      </c>
      <c r="DK36">
        <f t="shared" si="19"/>
        <v>0</v>
      </c>
      <c r="DL36">
        <f t="shared" si="19"/>
        <v>0</v>
      </c>
      <c r="DM36">
        <f t="shared" si="19"/>
        <v>0</v>
      </c>
      <c r="DN36">
        <f t="shared" si="19"/>
        <v>0</v>
      </c>
      <c r="DO36">
        <f t="shared" si="19"/>
        <v>0</v>
      </c>
      <c r="DP36">
        <f t="shared" si="19"/>
        <v>0</v>
      </c>
      <c r="DQ36">
        <f t="shared" si="19"/>
        <v>0</v>
      </c>
      <c r="DR36">
        <f t="shared" si="19"/>
        <v>0</v>
      </c>
      <c r="DS36">
        <f t="shared" si="19"/>
        <v>0</v>
      </c>
      <c r="DT36">
        <f>SUMIFS($DT$3:$DT$29, $AC$3:$AC$29, AC36)</f>
        <v>62</v>
      </c>
    </row>
    <row r="37" spans="2:124" ht="15.75" customHeight="1">
      <c r="B37" s="312" t="s">
        <v>370</v>
      </c>
      <c r="C37" s="313" t="s">
        <v>371</v>
      </c>
      <c r="E37" s="313" t="s">
        <v>372</v>
      </c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395"/>
      <c r="Z37" s="112"/>
      <c r="AA37" s="112"/>
      <c r="AB37" s="112"/>
      <c r="AC37" s="187" t="s">
        <v>335</v>
      </c>
      <c r="AF37">
        <f>SUM(AF32:AF36)</f>
        <v>0</v>
      </c>
      <c r="AG37">
        <f t="shared" ref="AG37:CR37" si="20">SUM(AG32:AG36)</f>
        <v>0</v>
      </c>
      <c r="AH37">
        <f t="shared" si="20"/>
        <v>0</v>
      </c>
      <c r="AI37">
        <f t="shared" si="20"/>
        <v>2</v>
      </c>
      <c r="AJ37">
        <f t="shared" si="20"/>
        <v>3</v>
      </c>
      <c r="AK37">
        <f t="shared" si="20"/>
        <v>3</v>
      </c>
      <c r="AL37">
        <f t="shared" si="20"/>
        <v>4</v>
      </c>
      <c r="AM37">
        <f t="shared" si="20"/>
        <v>3</v>
      </c>
      <c r="AN37">
        <f t="shared" si="20"/>
        <v>0</v>
      </c>
      <c r="AO37">
        <f t="shared" si="20"/>
        <v>0</v>
      </c>
      <c r="AP37">
        <f t="shared" si="20"/>
        <v>4</v>
      </c>
      <c r="AQ37">
        <f t="shared" si="20"/>
        <v>4</v>
      </c>
      <c r="AR37">
        <f t="shared" si="20"/>
        <v>4</v>
      </c>
      <c r="AS37">
        <f t="shared" si="20"/>
        <v>4</v>
      </c>
      <c r="AT37">
        <f t="shared" si="20"/>
        <v>7</v>
      </c>
      <c r="AU37">
        <f t="shared" si="20"/>
        <v>0</v>
      </c>
      <c r="AV37">
        <f t="shared" si="20"/>
        <v>0</v>
      </c>
      <c r="AW37">
        <f t="shared" si="20"/>
        <v>7</v>
      </c>
      <c r="AX37">
        <f t="shared" si="20"/>
        <v>7</v>
      </c>
      <c r="AY37">
        <f t="shared" si="20"/>
        <v>7</v>
      </c>
      <c r="AZ37">
        <f t="shared" si="20"/>
        <v>7</v>
      </c>
      <c r="BA37">
        <f t="shared" si="20"/>
        <v>7</v>
      </c>
      <c r="BB37">
        <f t="shared" si="20"/>
        <v>0</v>
      </c>
      <c r="BC37">
        <f t="shared" si="20"/>
        <v>0</v>
      </c>
      <c r="BD37">
        <f t="shared" si="20"/>
        <v>7</v>
      </c>
      <c r="BE37">
        <f t="shared" si="20"/>
        <v>7</v>
      </c>
      <c r="BF37">
        <f t="shared" si="20"/>
        <v>7</v>
      </c>
      <c r="BG37">
        <f t="shared" si="20"/>
        <v>8</v>
      </c>
      <c r="BH37">
        <f t="shared" si="20"/>
        <v>13</v>
      </c>
      <c r="BI37">
        <f t="shared" si="20"/>
        <v>0</v>
      </c>
      <c r="BJ37">
        <f t="shared" si="20"/>
        <v>0</v>
      </c>
      <c r="BK37">
        <f t="shared" si="20"/>
        <v>8</v>
      </c>
      <c r="BL37">
        <f t="shared" si="20"/>
        <v>8</v>
      </c>
      <c r="BM37">
        <f t="shared" si="20"/>
        <v>8</v>
      </c>
      <c r="BN37">
        <f t="shared" si="20"/>
        <v>8</v>
      </c>
      <c r="BO37">
        <f t="shared" si="20"/>
        <v>8</v>
      </c>
      <c r="BP37">
        <f t="shared" si="20"/>
        <v>0</v>
      </c>
      <c r="BQ37">
        <f t="shared" si="20"/>
        <v>0</v>
      </c>
      <c r="BR37">
        <f t="shared" si="20"/>
        <v>8</v>
      </c>
      <c r="BS37">
        <f t="shared" si="20"/>
        <v>8</v>
      </c>
      <c r="BT37">
        <f t="shared" si="20"/>
        <v>8</v>
      </c>
      <c r="BU37">
        <f t="shared" si="20"/>
        <v>8</v>
      </c>
      <c r="BV37">
        <f t="shared" si="20"/>
        <v>14</v>
      </c>
      <c r="BW37">
        <f t="shared" si="20"/>
        <v>0</v>
      </c>
      <c r="BX37">
        <f t="shared" si="20"/>
        <v>0</v>
      </c>
      <c r="BY37">
        <f t="shared" si="20"/>
        <v>8</v>
      </c>
      <c r="BZ37">
        <f t="shared" si="20"/>
        <v>8</v>
      </c>
      <c r="CA37">
        <f t="shared" si="20"/>
        <v>8</v>
      </c>
      <c r="CB37">
        <f t="shared" si="20"/>
        <v>8</v>
      </c>
      <c r="CC37">
        <f t="shared" si="20"/>
        <v>8</v>
      </c>
      <c r="CD37">
        <f t="shared" si="20"/>
        <v>0</v>
      </c>
      <c r="CE37">
        <f t="shared" si="20"/>
        <v>0</v>
      </c>
      <c r="CF37">
        <f t="shared" si="20"/>
        <v>8</v>
      </c>
      <c r="CG37">
        <f t="shared" si="20"/>
        <v>8</v>
      </c>
      <c r="CH37">
        <f t="shared" si="20"/>
        <v>7</v>
      </c>
      <c r="CI37">
        <f t="shared" si="20"/>
        <v>7</v>
      </c>
      <c r="CJ37">
        <f t="shared" si="20"/>
        <v>9</v>
      </c>
      <c r="CK37">
        <f t="shared" si="20"/>
        <v>0</v>
      </c>
      <c r="CL37">
        <f t="shared" si="20"/>
        <v>0</v>
      </c>
      <c r="CM37">
        <f t="shared" si="20"/>
        <v>4</v>
      </c>
      <c r="CN37">
        <f t="shared" si="20"/>
        <v>4</v>
      </c>
      <c r="CO37">
        <f t="shared" si="20"/>
        <v>4</v>
      </c>
      <c r="CP37">
        <f t="shared" si="20"/>
        <v>3</v>
      </c>
      <c r="CQ37">
        <f t="shared" si="20"/>
        <v>3</v>
      </c>
      <c r="CR37">
        <f t="shared" si="20"/>
        <v>0</v>
      </c>
      <c r="CS37">
        <f t="shared" ref="CS37:DS37" si="21">SUM(CS32:CS36)</f>
        <v>0</v>
      </c>
      <c r="CT37">
        <f t="shared" si="21"/>
        <v>3</v>
      </c>
      <c r="CU37">
        <f t="shared" si="21"/>
        <v>3</v>
      </c>
      <c r="CV37">
        <f t="shared" si="21"/>
        <v>3</v>
      </c>
      <c r="CW37">
        <f t="shared" si="21"/>
        <v>3</v>
      </c>
      <c r="CX37">
        <f t="shared" si="21"/>
        <v>0</v>
      </c>
      <c r="CY37">
        <f t="shared" si="21"/>
        <v>0</v>
      </c>
      <c r="CZ37">
        <f t="shared" si="21"/>
        <v>0</v>
      </c>
      <c r="DA37">
        <f t="shared" si="21"/>
        <v>0</v>
      </c>
      <c r="DB37">
        <f t="shared" si="21"/>
        <v>0</v>
      </c>
      <c r="DC37">
        <f t="shared" si="21"/>
        <v>0</v>
      </c>
      <c r="DD37">
        <f t="shared" si="21"/>
        <v>0</v>
      </c>
      <c r="DE37">
        <f t="shared" si="21"/>
        <v>0</v>
      </c>
      <c r="DF37">
        <f t="shared" si="21"/>
        <v>0</v>
      </c>
      <c r="DG37">
        <f t="shared" si="21"/>
        <v>0</v>
      </c>
      <c r="DH37">
        <f t="shared" si="21"/>
        <v>0</v>
      </c>
      <c r="DI37">
        <f t="shared" si="21"/>
        <v>0</v>
      </c>
      <c r="DJ37">
        <f t="shared" si="21"/>
        <v>0</v>
      </c>
      <c r="DK37">
        <f t="shared" si="21"/>
        <v>0</v>
      </c>
      <c r="DL37">
        <f t="shared" si="21"/>
        <v>0</v>
      </c>
      <c r="DM37">
        <f t="shared" si="21"/>
        <v>0</v>
      </c>
      <c r="DN37">
        <f t="shared" si="21"/>
        <v>0</v>
      </c>
      <c r="DO37">
        <f t="shared" si="21"/>
        <v>0</v>
      </c>
      <c r="DP37">
        <f t="shared" si="21"/>
        <v>0</v>
      </c>
      <c r="DQ37">
        <f t="shared" si="21"/>
        <v>0</v>
      </c>
      <c r="DR37">
        <f t="shared" si="21"/>
        <v>0</v>
      </c>
      <c r="DS37">
        <f t="shared" si="21"/>
        <v>0</v>
      </c>
    </row>
    <row r="38" spans="2:124" ht="15.75" customHeight="1">
      <c r="B38" s="311" t="s">
        <v>222</v>
      </c>
      <c r="C38" s="398" t="s">
        <v>373</v>
      </c>
      <c r="E38" s="398" t="s">
        <v>374</v>
      </c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395"/>
      <c r="Z38" s="112"/>
      <c r="AA38" s="112"/>
      <c r="AB38" s="112"/>
    </row>
    <row r="39" spans="2:124" ht="15.75" customHeight="1">
      <c r="B39" s="311" t="s">
        <v>224</v>
      </c>
      <c r="C39" s="398" t="s">
        <v>374</v>
      </c>
      <c r="E39" s="398" t="s">
        <v>375</v>
      </c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395"/>
      <c r="Z39" s="112"/>
      <c r="AA39" s="112"/>
      <c r="AB39" s="112"/>
      <c r="AC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2"/>
      <c r="BO39" s="112"/>
      <c r="BP39" s="112"/>
      <c r="BQ39" s="112"/>
      <c r="BR39" s="112"/>
      <c r="BS39" s="112"/>
      <c r="BT39" s="112"/>
      <c r="BU39" s="112"/>
      <c r="BV39" s="112"/>
      <c r="BW39" s="112"/>
      <c r="BX39" s="112"/>
      <c r="BY39" s="112"/>
      <c r="BZ39" s="112"/>
      <c r="CA39" s="112"/>
      <c r="CB39" s="112"/>
      <c r="CC39" s="112"/>
      <c r="CD39" s="112"/>
      <c r="CE39" s="112"/>
      <c r="CF39" s="112"/>
      <c r="CG39" s="112"/>
      <c r="CH39" s="112"/>
      <c r="CI39" s="112"/>
      <c r="CJ39" s="112"/>
      <c r="CK39" s="112"/>
      <c r="CL39" s="112"/>
      <c r="CM39" s="112"/>
      <c r="CN39" s="112"/>
      <c r="CO39" s="112"/>
      <c r="CP39" s="112"/>
      <c r="CQ39" s="112"/>
      <c r="CR39" s="112"/>
      <c r="CS39" s="112"/>
      <c r="CT39" s="112"/>
      <c r="CU39" s="112"/>
      <c r="CV39" s="112"/>
      <c r="CW39" s="112"/>
      <c r="CX39" s="112"/>
      <c r="CY39" s="112"/>
      <c r="CZ39" s="112"/>
      <c r="DA39" s="112"/>
      <c r="DB39" s="112"/>
      <c r="DC39" s="112"/>
      <c r="DD39" s="112"/>
      <c r="DE39" s="112"/>
      <c r="DF39" s="112"/>
      <c r="DG39" s="112"/>
      <c r="DH39" s="112"/>
      <c r="DI39" s="112"/>
      <c r="DJ39" s="112"/>
      <c r="DK39" s="112"/>
      <c r="DL39" s="112"/>
      <c r="DM39" s="112"/>
      <c r="DN39" s="112"/>
      <c r="DO39" s="112"/>
      <c r="DP39" s="112"/>
      <c r="DQ39" s="112"/>
      <c r="DR39" s="112"/>
      <c r="DS39" s="112"/>
      <c r="DT39" s="112"/>
    </row>
    <row r="40" spans="2:124" ht="15.75" customHeight="1">
      <c r="B40" s="311" t="s">
        <v>344</v>
      </c>
      <c r="C40" s="398" t="s">
        <v>375</v>
      </c>
      <c r="E40" s="398" t="s">
        <v>376</v>
      </c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395"/>
      <c r="Z40" s="112"/>
      <c r="AA40" s="112"/>
      <c r="AB40" s="112"/>
      <c r="AC40" s="112"/>
      <c r="AF40" s="112"/>
      <c r="AG40" s="112"/>
      <c r="AH40" s="112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  <c r="BM40" s="112"/>
      <c r="BN40" s="112"/>
      <c r="BO40" s="112"/>
      <c r="BP40" s="112"/>
      <c r="BQ40" s="112"/>
      <c r="BR40" s="112"/>
      <c r="BS40" s="112"/>
      <c r="BT40" s="112"/>
      <c r="BU40" s="112"/>
      <c r="BV40" s="112"/>
      <c r="BW40" s="112"/>
      <c r="BX40" s="112"/>
      <c r="BY40" s="112"/>
      <c r="BZ40" s="112"/>
      <c r="CA40" s="112"/>
      <c r="CB40" s="112"/>
      <c r="CC40" s="112"/>
      <c r="CD40" s="112"/>
      <c r="CE40" s="112"/>
      <c r="CF40" s="112"/>
      <c r="CG40" s="112"/>
      <c r="CH40" s="112"/>
      <c r="CI40" s="112"/>
      <c r="CJ40" s="112"/>
      <c r="CK40" s="112"/>
      <c r="CL40" s="112"/>
      <c r="CM40" s="112"/>
      <c r="CN40" s="112"/>
      <c r="CO40" s="112"/>
      <c r="CP40" s="112"/>
      <c r="CQ40" s="112"/>
      <c r="CR40" s="112"/>
      <c r="CS40" s="112"/>
      <c r="CT40" s="112"/>
      <c r="CU40" s="112"/>
      <c r="CV40" s="112"/>
      <c r="CW40" s="112"/>
      <c r="CX40" s="112"/>
      <c r="CY40" s="112"/>
      <c r="CZ40" s="112"/>
      <c r="DA40" s="112"/>
      <c r="DB40" s="112"/>
      <c r="DC40" s="112"/>
      <c r="DD40" s="112"/>
      <c r="DE40" s="112"/>
      <c r="DF40" s="112"/>
      <c r="DG40" s="112"/>
      <c r="DH40" s="112"/>
      <c r="DI40" s="112"/>
      <c r="DJ40" s="112"/>
      <c r="DK40" s="112"/>
      <c r="DL40" s="112"/>
      <c r="DM40" s="112"/>
      <c r="DN40" s="112"/>
      <c r="DO40" s="112"/>
      <c r="DP40" s="112"/>
      <c r="DQ40" s="112"/>
      <c r="DR40" s="112"/>
      <c r="DS40" s="112"/>
      <c r="DT40" s="112"/>
    </row>
    <row r="41" spans="2:124" ht="15.75" customHeight="1">
      <c r="B41" s="311" t="s">
        <v>225</v>
      </c>
      <c r="C41" s="398" t="s">
        <v>376</v>
      </c>
      <c r="E41" s="398" t="s">
        <v>377</v>
      </c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395"/>
      <c r="Z41" s="112"/>
      <c r="AA41" s="112"/>
      <c r="AB41" s="112"/>
      <c r="AC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12"/>
      <c r="CD41" s="112"/>
      <c r="CE41" s="112"/>
      <c r="CF41" s="112"/>
      <c r="CG41" s="112"/>
      <c r="CH41" s="112"/>
      <c r="CI41" s="112"/>
      <c r="CJ41" s="112"/>
      <c r="CK41" s="112"/>
      <c r="CL41" s="112"/>
      <c r="CM41" s="112"/>
      <c r="CN41" s="112"/>
      <c r="CO41" s="112"/>
      <c r="CP41" s="112"/>
      <c r="CQ41" s="112"/>
      <c r="CR41" s="112"/>
      <c r="CS41" s="112"/>
      <c r="CT41" s="112"/>
      <c r="CU41" s="112"/>
      <c r="CV41" s="112"/>
      <c r="CW41" s="112"/>
      <c r="CX41" s="112"/>
      <c r="CY41" s="112"/>
      <c r="CZ41" s="112"/>
      <c r="DA41" s="112"/>
      <c r="DB41" s="112"/>
      <c r="DC41" s="112"/>
      <c r="DD41" s="112"/>
      <c r="DE41" s="112"/>
      <c r="DF41" s="112"/>
      <c r="DG41" s="112"/>
      <c r="DH41" s="112"/>
      <c r="DI41" s="112"/>
      <c r="DJ41" s="112"/>
      <c r="DK41" s="112"/>
      <c r="DL41" s="112"/>
      <c r="DM41" s="112"/>
      <c r="DN41" s="112"/>
      <c r="DO41" s="112"/>
      <c r="DP41" s="112"/>
      <c r="DQ41" s="112"/>
      <c r="DR41" s="112"/>
      <c r="DS41" s="112"/>
      <c r="DT41" s="112"/>
    </row>
    <row r="42" spans="2:124" ht="15.75" customHeight="1">
      <c r="B42" s="311" t="s">
        <v>227</v>
      </c>
      <c r="C42" s="398" t="s">
        <v>377</v>
      </c>
      <c r="E42" s="398" t="s">
        <v>378</v>
      </c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395"/>
      <c r="Z42" s="112"/>
      <c r="AA42" s="112"/>
      <c r="AB42" s="112"/>
      <c r="AC42" s="112"/>
      <c r="AF42" s="112"/>
      <c r="AG42" s="112"/>
      <c r="AH42" s="112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2"/>
      <c r="CD42" s="112"/>
      <c r="CE42" s="112"/>
      <c r="CF42" s="112"/>
      <c r="CG42" s="112"/>
      <c r="CH42" s="112"/>
      <c r="CI42" s="112"/>
      <c r="CJ42" s="112"/>
      <c r="CK42" s="112"/>
      <c r="CL42" s="112"/>
      <c r="CM42" s="112"/>
      <c r="CN42" s="112"/>
      <c r="CO42" s="112"/>
      <c r="CP42" s="112"/>
      <c r="CQ42" s="112"/>
      <c r="CR42" s="112"/>
      <c r="CS42" s="112"/>
      <c r="CT42" s="112"/>
      <c r="CU42" s="112"/>
      <c r="CV42" s="112"/>
      <c r="CW42" s="112"/>
      <c r="CX42" s="112"/>
      <c r="CY42" s="112"/>
      <c r="CZ42" s="112"/>
      <c r="DA42" s="112"/>
      <c r="DB42" s="112"/>
      <c r="DC42" s="112"/>
      <c r="DD42" s="112"/>
      <c r="DE42" s="112"/>
      <c r="DF42" s="112"/>
      <c r="DG42" s="112"/>
      <c r="DH42" s="112"/>
      <c r="DI42" s="112"/>
      <c r="DJ42" s="112"/>
      <c r="DK42" s="112"/>
      <c r="DL42" s="112"/>
      <c r="DM42" s="112"/>
      <c r="DN42" s="112"/>
      <c r="DO42" s="112"/>
      <c r="DP42" s="112"/>
      <c r="DQ42" s="112"/>
      <c r="DR42" s="112"/>
      <c r="DS42" s="112"/>
      <c r="DT42" s="112"/>
    </row>
    <row r="43" spans="2:124" ht="15.75" customHeight="1">
      <c r="B43" s="395"/>
      <c r="C43" s="411"/>
      <c r="D43" s="1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395"/>
      <c r="Z43" s="112"/>
      <c r="AA43" s="112"/>
      <c r="AB43" s="112"/>
      <c r="AC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12"/>
      <c r="CG43" s="112"/>
      <c r="CH43" s="112"/>
      <c r="CI43" s="112"/>
      <c r="CJ43" s="112"/>
      <c r="CK43" s="112"/>
      <c r="CL43" s="112"/>
      <c r="CM43" s="112"/>
      <c r="CN43" s="112"/>
      <c r="CO43" s="112"/>
      <c r="CP43" s="112"/>
      <c r="CQ43" s="112"/>
      <c r="CR43" s="112"/>
      <c r="CS43" s="112"/>
      <c r="CT43" s="112"/>
      <c r="CU43" s="112"/>
      <c r="CV43" s="112"/>
      <c r="CW43" s="112"/>
      <c r="CX43" s="112"/>
      <c r="CY43" s="112"/>
      <c r="CZ43" s="112"/>
      <c r="DA43" s="112"/>
      <c r="DB43" s="112"/>
      <c r="DC43" s="112"/>
      <c r="DD43" s="112"/>
      <c r="DE43" s="112"/>
      <c r="DF43" s="112"/>
      <c r="DG43" s="112"/>
      <c r="DH43" s="112"/>
      <c r="DI43" s="112"/>
      <c r="DJ43" s="112"/>
      <c r="DK43" s="112"/>
      <c r="DL43" s="112"/>
      <c r="DM43" s="112"/>
      <c r="DN43" s="112"/>
      <c r="DO43" s="112"/>
      <c r="DP43" s="112"/>
      <c r="DQ43" s="112"/>
      <c r="DR43" s="112"/>
      <c r="DS43" s="112"/>
      <c r="DT43" s="112"/>
    </row>
    <row r="44" spans="2:124" ht="15.75" customHeight="1">
      <c r="B44" s="395"/>
      <c r="C44" s="411"/>
      <c r="D44" s="1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395"/>
      <c r="Z44" s="112"/>
      <c r="AA44" s="112"/>
      <c r="AB44" s="112"/>
      <c r="AC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  <c r="BZ44" s="112"/>
      <c r="CA44" s="112"/>
      <c r="CB44" s="112"/>
      <c r="CC44" s="112"/>
      <c r="CD44" s="112"/>
      <c r="CE44" s="112"/>
      <c r="CF44" s="112"/>
      <c r="CG44" s="112"/>
      <c r="CH44" s="112"/>
      <c r="CI44" s="112"/>
      <c r="CJ44" s="112"/>
      <c r="CK44" s="112"/>
      <c r="CL44" s="112"/>
      <c r="CM44" s="112"/>
      <c r="CN44" s="112"/>
      <c r="CO44" s="112"/>
      <c r="CP44" s="112"/>
      <c r="CQ44" s="112"/>
      <c r="CR44" s="112"/>
      <c r="CS44" s="112"/>
      <c r="CT44" s="112"/>
      <c r="CU44" s="112"/>
      <c r="CV44" s="112"/>
      <c r="CW44" s="112"/>
      <c r="CX44" s="112"/>
      <c r="CY44" s="112"/>
      <c r="CZ44" s="112"/>
      <c r="DA44" s="112"/>
      <c r="DB44" s="112"/>
      <c r="DC44" s="112"/>
      <c r="DD44" s="112"/>
      <c r="DE44" s="112"/>
      <c r="DF44" s="112"/>
      <c r="DG44" s="112"/>
      <c r="DH44" s="112"/>
      <c r="DI44" s="112"/>
      <c r="DJ44" s="112"/>
      <c r="DK44" s="112"/>
      <c r="DL44" s="112"/>
      <c r="DM44" s="112"/>
      <c r="DN44" s="112"/>
      <c r="DO44" s="112"/>
      <c r="DP44" s="112"/>
      <c r="DQ44" s="112"/>
      <c r="DR44" s="112"/>
      <c r="DS44" s="112"/>
      <c r="DT44" s="112"/>
    </row>
    <row r="45" spans="2:124" ht="15.75" customHeight="1">
      <c r="B45" s="395"/>
      <c r="C45" s="411"/>
      <c r="D45" s="1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395"/>
      <c r="Z45" s="112"/>
      <c r="AA45" s="112"/>
      <c r="AB45" s="112"/>
      <c r="AC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  <c r="CT45" s="112"/>
      <c r="CU45" s="112"/>
      <c r="CV45" s="112"/>
      <c r="CW45" s="112"/>
      <c r="CX45" s="112"/>
      <c r="CY45" s="112"/>
      <c r="CZ45" s="112"/>
      <c r="DA45" s="112"/>
      <c r="DB45" s="112"/>
      <c r="DC45" s="112"/>
      <c r="DD45" s="112"/>
      <c r="DE45" s="112"/>
      <c r="DF45" s="112"/>
      <c r="DG45" s="112"/>
      <c r="DH45" s="112"/>
      <c r="DI45" s="112"/>
      <c r="DJ45" s="112"/>
      <c r="DK45" s="112"/>
      <c r="DL45" s="112"/>
      <c r="DM45" s="112"/>
      <c r="DN45" s="112"/>
      <c r="DO45" s="112"/>
      <c r="DP45" s="112"/>
      <c r="DQ45" s="112"/>
      <c r="DR45" s="112"/>
      <c r="DS45" s="112"/>
      <c r="DT45" s="112"/>
    </row>
    <row r="46" spans="2:124" ht="15.75" customHeight="1">
      <c r="B46" s="395"/>
      <c r="C46" s="411"/>
      <c r="D46" s="1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395"/>
      <c r="Z46" s="112"/>
      <c r="AA46" s="112"/>
      <c r="AB46" s="112"/>
      <c r="AC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  <c r="BY46" s="112"/>
      <c r="BZ46" s="112"/>
      <c r="CA46" s="112"/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  <c r="CT46" s="112"/>
      <c r="CU46" s="112"/>
      <c r="CV46" s="112"/>
      <c r="CW46" s="112"/>
      <c r="CX46" s="112"/>
      <c r="CY46" s="112"/>
      <c r="CZ46" s="112"/>
      <c r="DA46" s="112"/>
      <c r="DB46" s="112"/>
      <c r="DC46" s="112"/>
      <c r="DD46" s="112"/>
      <c r="DE46" s="112"/>
      <c r="DF46" s="112"/>
      <c r="DG46" s="112"/>
      <c r="DH46" s="112"/>
      <c r="DI46" s="112"/>
      <c r="DJ46" s="112"/>
      <c r="DK46" s="112"/>
      <c r="DL46" s="112"/>
      <c r="DM46" s="112"/>
      <c r="DN46" s="112"/>
      <c r="DO46" s="112"/>
      <c r="DP46" s="112"/>
      <c r="DQ46" s="112"/>
      <c r="DR46" s="112"/>
      <c r="DS46" s="112"/>
      <c r="DT46" s="112"/>
    </row>
    <row r="47" spans="2:124" ht="15.75" customHeight="1">
      <c r="B47" s="395"/>
      <c r="C47" s="411"/>
      <c r="D47" s="1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395"/>
      <c r="Z47" s="112"/>
      <c r="AA47" s="112"/>
      <c r="AB47" s="112"/>
      <c r="AC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  <c r="BO47" s="112"/>
      <c r="BP47" s="112"/>
      <c r="BQ47" s="112"/>
      <c r="BR47" s="112"/>
      <c r="BS47" s="112"/>
      <c r="BT47" s="112"/>
      <c r="BU47" s="112"/>
      <c r="BV47" s="112"/>
      <c r="BW47" s="112"/>
      <c r="BX47" s="112"/>
      <c r="BY47" s="112"/>
      <c r="BZ47" s="112"/>
      <c r="CA47" s="112"/>
      <c r="CB47" s="112"/>
      <c r="CC47" s="112"/>
      <c r="CD47" s="112"/>
      <c r="CE47" s="112"/>
      <c r="CF47" s="112"/>
      <c r="CG47" s="112"/>
      <c r="CH47" s="112"/>
      <c r="CI47" s="112"/>
      <c r="CJ47" s="112"/>
      <c r="CK47" s="112"/>
      <c r="CL47" s="112"/>
      <c r="CM47" s="112"/>
      <c r="CN47" s="112"/>
      <c r="CO47" s="112"/>
      <c r="CP47" s="112"/>
      <c r="CQ47" s="112"/>
      <c r="CR47" s="112"/>
      <c r="CS47" s="112"/>
      <c r="CT47" s="112"/>
      <c r="CU47" s="112"/>
      <c r="CV47" s="112"/>
      <c r="CW47" s="112"/>
      <c r="CX47" s="112"/>
      <c r="CY47" s="112"/>
      <c r="CZ47" s="112"/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112"/>
      <c r="DM47" s="112"/>
      <c r="DN47" s="112"/>
      <c r="DO47" s="112"/>
      <c r="DP47" s="112"/>
      <c r="DQ47" s="112"/>
      <c r="DR47" s="112"/>
      <c r="DS47" s="112"/>
      <c r="DT47" s="112"/>
    </row>
    <row r="48" spans="2:124" ht="15.75" customHeight="1">
      <c r="B48" s="395"/>
      <c r="C48" s="411"/>
      <c r="D48" s="1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395"/>
      <c r="Z48" s="112"/>
      <c r="AA48" s="112"/>
      <c r="AB48" s="112"/>
      <c r="AC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112"/>
      <c r="CE48" s="112"/>
      <c r="CF48" s="112"/>
      <c r="CG48" s="112"/>
      <c r="CH48" s="112"/>
      <c r="CI48" s="112"/>
      <c r="CJ48" s="112"/>
      <c r="CK48" s="112"/>
      <c r="CL48" s="112"/>
      <c r="CM48" s="112"/>
      <c r="CN48" s="112"/>
      <c r="CO48" s="112"/>
      <c r="CP48" s="112"/>
      <c r="CQ48" s="112"/>
      <c r="CR48" s="112"/>
      <c r="CS48" s="112"/>
      <c r="CT48" s="112"/>
      <c r="CU48" s="112"/>
      <c r="CV48" s="112"/>
      <c r="CW48" s="112"/>
      <c r="CX48" s="112"/>
      <c r="CY48" s="112"/>
      <c r="CZ48" s="112"/>
      <c r="DA48" s="112"/>
      <c r="DB48" s="112"/>
      <c r="DC48" s="112"/>
      <c r="DD48" s="112"/>
      <c r="DE48" s="112"/>
      <c r="DF48" s="112"/>
      <c r="DG48" s="112"/>
      <c r="DH48" s="112"/>
      <c r="DI48" s="112"/>
      <c r="DJ48" s="112"/>
      <c r="DK48" s="112"/>
      <c r="DL48" s="112"/>
      <c r="DM48" s="112"/>
      <c r="DN48" s="112"/>
      <c r="DO48" s="112"/>
      <c r="DP48" s="112"/>
      <c r="DQ48" s="112"/>
      <c r="DR48" s="112"/>
      <c r="DS48" s="112"/>
      <c r="DT48" s="112"/>
    </row>
    <row r="49" spans="2:124" ht="15.75" customHeight="1">
      <c r="B49" s="395"/>
      <c r="C49" s="411"/>
      <c r="D49" s="1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395"/>
      <c r="Z49" s="112"/>
      <c r="AA49" s="112"/>
      <c r="AB49" s="112"/>
      <c r="AC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  <c r="BL49" s="112"/>
      <c r="BM49" s="112"/>
      <c r="BN49" s="112"/>
      <c r="BO49" s="112"/>
      <c r="BP49" s="112"/>
      <c r="BQ49" s="112"/>
      <c r="BR49" s="112"/>
      <c r="BS49" s="112"/>
      <c r="BT49" s="112"/>
      <c r="BU49" s="112"/>
      <c r="BV49" s="112"/>
      <c r="BW49" s="112"/>
      <c r="BX49" s="112"/>
      <c r="BY49" s="112"/>
      <c r="BZ49" s="112"/>
      <c r="CA49" s="112"/>
      <c r="CB49" s="112"/>
      <c r="CC49" s="112"/>
      <c r="CD49" s="112"/>
      <c r="CE49" s="112"/>
      <c r="CF49" s="112"/>
      <c r="CG49" s="112"/>
      <c r="CH49" s="112"/>
      <c r="CI49" s="112"/>
      <c r="CJ49" s="112"/>
      <c r="CK49" s="112"/>
      <c r="CL49" s="112"/>
      <c r="CM49" s="112"/>
      <c r="CN49" s="112"/>
      <c r="CO49" s="112"/>
      <c r="CP49" s="112"/>
      <c r="CQ49" s="112"/>
      <c r="CR49" s="112"/>
      <c r="CS49" s="112"/>
      <c r="CT49" s="112"/>
      <c r="CU49" s="112"/>
      <c r="CV49" s="112"/>
      <c r="CW49" s="112"/>
      <c r="CX49" s="112"/>
      <c r="CY49" s="112"/>
      <c r="CZ49" s="112"/>
      <c r="DA49" s="112"/>
      <c r="DB49" s="112"/>
      <c r="DC49" s="112"/>
      <c r="DD49" s="112"/>
      <c r="DE49" s="112"/>
      <c r="DF49" s="112"/>
      <c r="DG49" s="112"/>
      <c r="DH49" s="112"/>
      <c r="DI49" s="112"/>
      <c r="DJ49" s="112"/>
      <c r="DK49" s="112"/>
      <c r="DL49" s="112"/>
      <c r="DM49" s="112"/>
      <c r="DN49" s="112"/>
      <c r="DO49" s="112"/>
      <c r="DP49" s="112"/>
      <c r="DQ49" s="112"/>
      <c r="DR49" s="112"/>
      <c r="DS49" s="112"/>
      <c r="DT49" s="112"/>
    </row>
    <row r="50" spans="2:124" ht="15.75" customHeight="1">
      <c r="B50" s="395"/>
      <c r="C50" s="411"/>
      <c r="D50" s="1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395"/>
      <c r="Z50" s="112"/>
      <c r="AA50" s="112"/>
      <c r="AB50" s="112"/>
      <c r="AC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  <c r="BQ50" s="112"/>
      <c r="BR50" s="112"/>
      <c r="BS50" s="112"/>
      <c r="BT50" s="112"/>
      <c r="BU50" s="112"/>
      <c r="BV50" s="112"/>
      <c r="BW50" s="112"/>
      <c r="BX50" s="112"/>
      <c r="BY50" s="112"/>
      <c r="BZ50" s="112"/>
      <c r="CA50" s="112"/>
      <c r="CB50" s="112"/>
      <c r="CC50" s="112"/>
      <c r="CD50" s="112"/>
      <c r="CE50" s="112"/>
      <c r="CF50" s="112"/>
      <c r="CG50" s="112"/>
      <c r="CH50" s="112"/>
      <c r="CI50" s="112"/>
      <c r="CJ50" s="112"/>
      <c r="CK50" s="112"/>
      <c r="CL50" s="112"/>
      <c r="CM50" s="112"/>
      <c r="CN50" s="112"/>
      <c r="CO50" s="112"/>
      <c r="CP50" s="112"/>
      <c r="CQ50" s="112"/>
      <c r="CR50" s="112"/>
      <c r="CS50" s="112"/>
      <c r="CT50" s="112"/>
      <c r="CU50" s="112"/>
      <c r="CV50" s="112"/>
      <c r="CW50" s="112"/>
      <c r="CX50" s="112"/>
      <c r="CY50" s="112"/>
      <c r="CZ50" s="112"/>
      <c r="DA50" s="112"/>
      <c r="DB50" s="112"/>
      <c r="DC50" s="112"/>
      <c r="DD50" s="112"/>
      <c r="DE50" s="112"/>
      <c r="DF50" s="112"/>
      <c r="DG50" s="112"/>
      <c r="DH50" s="112"/>
      <c r="DI50" s="112"/>
      <c r="DJ50" s="112"/>
      <c r="DK50" s="112"/>
      <c r="DL50" s="112"/>
      <c r="DM50" s="112"/>
      <c r="DN50" s="112"/>
      <c r="DO50" s="112"/>
      <c r="DP50" s="112"/>
      <c r="DQ50" s="112"/>
      <c r="DR50" s="112"/>
      <c r="DS50" s="112"/>
      <c r="DT50" s="112"/>
    </row>
    <row r="51" spans="2:124" ht="15.75" customHeight="1">
      <c r="B51" s="395"/>
      <c r="C51" s="411"/>
      <c r="D51" s="1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395"/>
      <c r="Z51" s="112"/>
      <c r="AA51" s="112"/>
      <c r="AB51" s="112"/>
      <c r="AC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  <c r="BQ51" s="112"/>
      <c r="BR51" s="112"/>
      <c r="BS51" s="112"/>
      <c r="BT51" s="112"/>
      <c r="BU51" s="112"/>
      <c r="BV51" s="112"/>
      <c r="BW51" s="112"/>
      <c r="BX51" s="112"/>
      <c r="BY51" s="112"/>
      <c r="BZ51" s="112"/>
      <c r="CA51" s="112"/>
      <c r="CB51" s="112"/>
      <c r="CC51" s="112"/>
      <c r="CD51" s="112"/>
      <c r="CE51" s="112"/>
      <c r="CF51" s="112"/>
      <c r="CG51" s="112"/>
      <c r="CH51" s="112"/>
      <c r="CI51" s="112"/>
      <c r="CJ51" s="112"/>
      <c r="CK51" s="112"/>
      <c r="CL51" s="112"/>
      <c r="CM51" s="112"/>
      <c r="CN51" s="112"/>
      <c r="CO51" s="112"/>
      <c r="CP51" s="112"/>
      <c r="CQ51" s="112"/>
      <c r="CR51" s="112"/>
      <c r="CS51" s="112"/>
      <c r="CT51" s="112"/>
      <c r="CU51" s="112"/>
      <c r="CV51" s="112"/>
      <c r="CW51" s="112"/>
      <c r="CX51" s="112"/>
      <c r="CY51" s="112"/>
      <c r="CZ51" s="112"/>
      <c r="DA51" s="112"/>
      <c r="DB51" s="112"/>
      <c r="DC51" s="112"/>
      <c r="DD51" s="112"/>
      <c r="DE51" s="112"/>
      <c r="DF51" s="112"/>
      <c r="DG51" s="112"/>
      <c r="DH51" s="112"/>
      <c r="DI51" s="112"/>
      <c r="DJ51" s="112"/>
      <c r="DK51" s="112"/>
      <c r="DL51" s="112"/>
      <c r="DM51" s="112"/>
      <c r="DN51" s="112"/>
      <c r="DO51" s="112"/>
      <c r="DP51" s="112"/>
      <c r="DQ51" s="112"/>
      <c r="DR51" s="112"/>
      <c r="DS51" s="112"/>
      <c r="DT51" s="112"/>
    </row>
    <row r="52" spans="2:124" ht="15.75" customHeight="1">
      <c r="B52" s="395"/>
      <c r="C52" s="411"/>
      <c r="D52" s="1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395"/>
      <c r="Z52" s="112"/>
      <c r="AA52" s="112"/>
      <c r="AB52" s="112"/>
      <c r="AC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2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  <c r="CE52" s="112"/>
      <c r="CF52" s="112"/>
      <c r="CG52" s="112"/>
      <c r="CH52" s="112"/>
      <c r="CI52" s="112"/>
      <c r="CJ52" s="112"/>
      <c r="CK52" s="112"/>
      <c r="CL52" s="112"/>
      <c r="CM52" s="112"/>
      <c r="CN52" s="112"/>
      <c r="CO52" s="112"/>
      <c r="CP52" s="112"/>
      <c r="CQ52" s="112"/>
      <c r="CR52" s="112"/>
      <c r="CS52" s="112"/>
      <c r="CT52" s="112"/>
      <c r="CU52" s="112"/>
      <c r="CV52" s="112"/>
      <c r="CW52" s="112"/>
      <c r="CX52" s="112"/>
      <c r="CY52" s="112"/>
      <c r="CZ52" s="112"/>
      <c r="DA52" s="112"/>
      <c r="DB52" s="112"/>
      <c r="DC52" s="112"/>
      <c r="DD52" s="112"/>
      <c r="DE52" s="112"/>
      <c r="DF52" s="112"/>
      <c r="DG52" s="112"/>
      <c r="DH52" s="112"/>
      <c r="DI52" s="112"/>
      <c r="DJ52" s="112"/>
      <c r="DK52" s="112"/>
      <c r="DL52" s="112"/>
      <c r="DM52" s="112"/>
      <c r="DN52" s="112"/>
      <c r="DO52" s="112"/>
      <c r="DP52" s="112"/>
      <c r="DQ52" s="112"/>
      <c r="DR52" s="112"/>
      <c r="DS52" s="112"/>
      <c r="DT52" s="112"/>
    </row>
    <row r="53" spans="2:124" ht="15.75" customHeight="1">
      <c r="B53" s="395"/>
      <c r="C53" s="411"/>
      <c r="D53" s="1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395"/>
      <c r="Z53" s="112"/>
      <c r="AA53" s="112"/>
      <c r="AB53" s="112"/>
      <c r="AC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2"/>
      <c r="BO53" s="112"/>
      <c r="BP53" s="112"/>
      <c r="BQ53" s="112"/>
      <c r="BR53" s="112"/>
      <c r="BS53" s="112"/>
      <c r="BT53" s="112"/>
      <c r="BU53" s="112"/>
      <c r="BV53" s="112"/>
      <c r="BW53" s="112"/>
      <c r="BX53" s="112"/>
      <c r="BY53" s="112"/>
      <c r="BZ53" s="112"/>
      <c r="CA53" s="112"/>
      <c r="CB53" s="112"/>
      <c r="CC53" s="112"/>
      <c r="CD53" s="112"/>
      <c r="CE53" s="112"/>
      <c r="CF53" s="112"/>
      <c r="CG53" s="112"/>
      <c r="CH53" s="112"/>
      <c r="CI53" s="112"/>
      <c r="CJ53" s="112"/>
      <c r="CK53" s="112"/>
      <c r="CL53" s="112"/>
      <c r="CM53" s="112"/>
      <c r="CN53" s="112"/>
      <c r="CO53" s="112"/>
      <c r="CP53" s="112"/>
      <c r="CQ53" s="112"/>
      <c r="CR53" s="112"/>
      <c r="CS53" s="112"/>
      <c r="CT53" s="112"/>
      <c r="CU53" s="112"/>
      <c r="CV53" s="112"/>
      <c r="CW53" s="112"/>
      <c r="CX53" s="112"/>
      <c r="CY53" s="112"/>
      <c r="CZ53" s="112"/>
      <c r="DA53" s="112"/>
      <c r="DB53" s="112"/>
      <c r="DC53" s="112"/>
      <c r="DD53" s="112"/>
      <c r="DE53" s="112"/>
      <c r="DF53" s="112"/>
      <c r="DG53" s="112"/>
      <c r="DH53" s="112"/>
      <c r="DI53" s="112"/>
      <c r="DJ53" s="112"/>
      <c r="DK53" s="112"/>
      <c r="DL53" s="112"/>
      <c r="DM53" s="112"/>
      <c r="DN53" s="112"/>
      <c r="DO53" s="112"/>
      <c r="DP53" s="112"/>
      <c r="DQ53" s="112"/>
      <c r="DR53" s="112"/>
      <c r="DS53" s="112"/>
      <c r="DT53" s="112"/>
    </row>
    <row r="54" spans="2:124" ht="15.75" customHeight="1">
      <c r="B54" s="395"/>
      <c r="C54" s="411"/>
      <c r="D54" s="1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395"/>
      <c r="Z54" s="112"/>
      <c r="AA54" s="112"/>
      <c r="AB54" s="112"/>
      <c r="AC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2"/>
      <c r="BM54" s="112"/>
      <c r="BN54" s="112"/>
      <c r="BO54" s="112"/>
      <c r="BP54" s="112"/>
      <c r="BQ54" s="112"/>
      <c r="BR54" s="112"/>
      <c r="BS54" s="112"/>
      <c r="BT54" s="112"/>
      <c r="BU54" s="112"/>
      <c r="BV54" s="112"/>
      <c r="BW54" s="112"/>
      <c r="BX54" s="112"/>
      <c r="BY54" s="112"/>
      <c r="BZ54" s="112"/>
      <c r="CA54" s="112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P54" s="112"/>
      <c r="CQ54" s="112"/>
      <c r="CR54" s="112"/>
      <c r="CS54" s="112"/>
      <c r="CT54" s="112"/>
      <c r="CU54" s="112"/>
      <c r="CV54" s="112"/>
      <c r="CW54" s="112"/>
      <c r="CX54" s="112"/>
      <c r="CY54" s="112"/>
      <c r="CZ54" s="112"/>
      <c r="DA54" s="112"/>
      <c r="DB54" s="112"/>
      <c r="DC54" s="112"/>
      <c r="DD54" s="112"/>
      <c r="DE54" s="112"/>
      <c r="DF54" s="112"/>
      <c r="DG54" s="112"/>
      <c r="DH54" s="112"/>
      <c r="DI54" s="112"/>
      <c r="DJ54" s="112"/>
      <c r="DK54" s="112"/>
      <c r="DL54" s="112"/>
      <c r="DM54" s="112"/>
      <c r="DN54" s="112"/>
      <c r="DO54" s="112"/>
      <c r="DP54" s="112"/>
      <c r="DQ54" s="112"/>
      <c r="DR54" s="112"/>
      <c r="DS54" s="112"/>
      <c r="DT54" s="112"/>
    </row>
    <row r="55" spans="2:124" ht="15.75" customHeight="1">
      <c r="B55" s="395"/>
      <c r="C55" s="411"/>
      <c r="D55" s="1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395"/>
      <c r="Z55" s="112"/>
      <c r="AA55" s="112"/>
      <c r="AB55" s="112"/>
      <c r="AC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  <c r="BO55" s="112"/>
      <c r="BP55" s="112"/>
      <c r="BQ55" s="112"/>
      <c r="BR55" s="112"/>
      <c r="BS55" s="112"/>
      <c r="BT55" s="112"/>
      <c r="BU55" s="112"/>
      <c r="BV55" s="112"/>
      <c r="BW55" s="112"/>
      <c r="BX55" s="112"/>
      <c r="BY55" s="112"/>
      <c r="BZ55" s="112"/>
      <c r="CA55" s="112"/>
      <c r="CB55" s="112"/>
      <c r="CC55" s="112"/>
      <c r="CD55" s="112"/>
      <c r="CE55" s="112"/>
      <c r="CF55" s="112"/>
      <c r="CG55" s="112"/>
      <c r="CH55" s="112"/>
      <c r="CI55" s="112"/>
      <c r="CJ55" s="112"/>
      <c r="CK55" s="112"/>
      <c r="CL55" s="112"/>
      <c r="CM55" s="112"/>
      <c r="CN55" s="112"/>
      <c r="CO55" s="112"/>
      <c r="CP55" s="112"/>
      <c r="CQ55" s="112"/>
      <c r="CR55" s="112"/>
      <c r="CS55" s="112"/>
      <c r="CT55" s="112"/>
      <c r="CU55" s="112"/>
      <c r="CV55" s="112"/>
      <c r="CW55" s="112"/>
      <c r="CX55" s="112"/>
      <c r="CY55" s="112"/>
      <c r="CZ55" s="112"/>
      <c r="DA55" s="112"/>
      <c r="DB55" s="112"/>
      <c r="DC55" s="112"/>
      <c r="DD55" s="112"/>
      <c r="DE55" s="112"/>
      <c r="DF55" s="112"/>
      <c r="DG55" s="112"/>
      <c r="DH55" s="112"/>
      <c r="DI55" s="112"/>
      <c r="DJ55" s="112"/>
      <c r="DK55" s="112"/>
      <c r="DL55" s="112"/>
      <c r="DM55" s="112"/>
      <c r="DN55" s="112"/>
      <c r="DO55" s="112"/>
      <c r="DP55" s="112"/>
      <c r="DQ55" s="112"/>
      <c r="DR55" s="112"/>
      <c r="DS55" s="112"/>
      <c r="DT55" s="112"/>
    </row>
    <row r="56" spans="2:124" ht="15.75" customHeight="1">
      <c r="B56" s="395"/>
      <c r="C56" s="411"/>
      <c r="D56" s="1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395"/>
      <c r="Z56" s="112"/>
      <c r="AA56" s="112"/>
      <c r="AB56" s="112"/>
      <c r="AC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2"/>
      <c r="BM56" s="112"/>
      <c r="BN56" s="112"/>
      <c r="BO56" s="112"/>
      <c r="BP56" s="112"/>
      <c r="BQ56" s="112"/>
      <c r="BR56" s="112"/>
      <c r="BS56" s="112"/>
      <c r="BT56" s="112"/>
      <c r="BU56" s="112"/>
      <c r="BV56" s="112"/>
      <c r="BW56" s="112"/>
      <c r="BX56" s="112"/>
      <c r="BY56" s="112"/>
      <c r="BZ56" s="112"/>
      <c r="CA56" s="112"/>
      <c r="CB56" s="112"/>
      <c r="CC56" s="112"/>
      <c r="CD56" s="112"/>
      <c r="CE56" s="112"/>
      <c r="CF56" s="112"/>
      <c r="CG56" s="112"/>
      <c r="CH56" s="112"/>
      <c r="CI56" s="112"/>
      <c r="CJ56" s="112"/>
      <c r="CK56" s="112"/>
      <c r="CL56" s="112"/>
      <c r="CM56" s="112"/>
      <c r="CN56" s="112"/>
      <c r="CO56" s="112"/>
      <c r="CP56" s="112"/>
      <c r="CQ56" s="112"/>
      <c r="CR56" s="112"/>
      <c r="CS56" s="112"/>
      <c r="CT56" s="112"/>
      <c r="CU56" s="112"/>
      <c r="CV56" s="112"/>
      <c r="CW56" s="112"/>
      <c r="CX56" s="112"/>
      <c r="CY56" s="112"/>
      <c r="CZ56" s="112"/>
      <c r="DA56" s="112"/>
      <c r="DB56" s="112"/>
      <c r="DC56" s="112"/>
      <c r="DD56" s="112"/>
      <c r="DE56" s="112"/>
      <c r="DF56" s="112"/>
      <c r="DG56" s="112"/>
      <c r="DH56" s="112"/>
      <c r="DI56" s="112"/>
      <c r="DJ56" s="112"/>
      <c r="DK56" s="112"/>
      <c r="DL56" s="112"/>
      <c r="DM56" s="112"/>
      <c r="DN56" s="112"/>
      <c r="DO56" s="112"/>
      <c r="DP56" s="112"/>
      <c r="DQ56" s="112"/>
      <c r="DR56" s="112"/>
      <c r="DS56" s="112"/>
      <c r="DT56" s="112"/>
    </row>
    <row r="57" spans="2:124" ht="15.75" customHeight="1">
      <c r="B57" s="395"/>
      <c r="C57" s="411"/>
      <c r="D57" s="1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395"/>
      <c r="Z57" s="112"/>
      <c r="AA57" s="112"/>
      <c r="AB57" s="112"/>
      <c r="AC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2"/>
      <c r="BN57" s="112"/>
      <c r="BO57" s="112"/>
      <c r="BP57" s="112"/>
      <c r="BQ57" s="112"/>
      <c r="BR57" s="112"/>
      <c r="BS57" s="112"/>
      <c r="BT57" s="112"/>
      <c r="BU57" s="112"/>
      <c r="BV57" s="112"/>
      <c r="BW57" s="112"/>
      <c r="BX57" s="112"/>
      <c r="BY57" s="112"/>
      <c r="BZ57" s="112"/>
      <c r="CA57" s="112"/>
      <c r="CB57" s="112"/>
      <c r="CC57" s="112"/>
      <c r="CD57" s="112"/>
      <c r="CE57" s="112"/>
      <c r="CF57" s="112"/>
      <c r="CG57" s="112"/>
      <c r="CH57" s="112"/>
      <c r="CI57" s="112"/>
      <c r="CJ57" s="112"/>
      <c r="CK57" s="112"/>
      <c r="CL57" s="112"/>
      <c r="CM57" s="112"/>
      <c r="CN57" s="112"/>
      <c r="CO57" s="112"/>
      <c r="CP57" s="112"/>
      <c r="CQ57" s="112"/>
      <c r="CR57" s="112"/>
      <c r="CS57" s="112"/>
      <c r="CT57" s="112"/>
      <c r="CU57" s="112"/>
      <c r="CV57" s="112"/>
      <c r="CW57" s="112"/>
      <c r="CX57" s="112"/>
      <c r="CY57" s="112"/>
      <c r="CZ57" s="112"/>
      <c r="DA57" s="112"/>
      <c r="DB57" s="112"/>
      <c r="DC57" s="112"/>
      <c r="DD57" s="112"/>
      <c r="DE57" s="112"/>
      <c r="DF57" s="112"/>
      <c r="DG57" s="112"/>
      <c r="DH57" s="112"/>
      <c r="DI57" s="112"/>
      <c r="DJ57" s="112"/>
      <c r="DK57" s="112"/>
      <c r="DL57" s="112"/>
      <c r="DM57" s="112"/>
      <c r="DN57" s="112"/>
      <c r="DO57" s="112"/>
      <c r="DP57" s="112"/>
      <c r="DQ57" s="112"/>
      <c r="DR57" s="112"/>
      <c r="DS57" s="112"/>
      <c r="DT57" s="112"/>
    </row>
    <row r="58" spans="2:124" ht="15.75" customHeight="1">
      <c r="B58" s="395"/>
      <c r="C58" s="411"/>
      <c r="D58" s="1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395"/>
      <c r="Z58" s="112"/>
      <c r="AA58" s="112"/>
      <c r="AB58" s="112"/>
      <c r="AC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2"/>
      <c r="BN58" s="112"/>
      <c r="BO58" s="112"/>
      <c r="BP58" s="112"/>
      <c r="BQ58" s="112"/>
      <c r="BR58" s="112"/>
      <c r="BS58" s="112"/>
      <c r="BT58" s="112"/>
      <c r="BU58" s="112"/>
      <c r="BV58" s="112"/>
      <c r="BW58" s="112"/>
      <c r="BX58" s="112"/>
      <c r="BY58" s="112"/>
      <c r="BZ58" s="112"/>
      <c r="CA58" s="112"/>
      <c r="CB58" s="112"/>
      <c r="CC58" s="112"/>
      <c r="CD58" s="112"/>
      <c r="CE58" s="112"/>
      <c r="CF58" s="112"/>
      <c r="CG58" s="112"/>
      <c r="CH58" s="112"/>
      <c r="CI58" s="112"/>
      <c r="CJ58" s="112"/>
      <c r="CK58" s="112"/>
      <c r="CL58" s="112"/>
      <c r="CM58" s="112"/>
      <c r="CN58" s="112"/>
      <c r="CO58" s="112"/>
      <c r="CP58" s="112"/>
      <c r="CQ58" s="112"/>
      <c r="CR58" s="112"/>
      <c r="CS58" s="112"/>
      <c r="CT58" s="112"/>
      <c r="CU58" s="112"/>
      <c r="CV58" s="112"/>
      <c r="CW58" s="112"/>
      <c r="CX58" s="112"/>
      <c r="CY58" s="112"/>
      <c r="CZ58" s="112"/>
      <c r="DA58" s="112"/>
      <c r="DB58" s="112"/>
      <c r="DC58" s="112"/>
      <c r="DD58" s="112"/>
      <c r="DE58" s="112"/>
      <c r="DF58" s="112"/>
      <c r="DG58" s="112"/>
      <c r="DH58" s="112"/>
      <c r="DI58" s="112"/>
      <c r="DJ58" s="112"/>
      <c r="DK58" s="112"/>
      <c r="DL58" s="112"/>
      <c r="DM58" s="112"/>
      <c r="DN58" s="112"/>
      <c r="DO58" s="112"/>
      <c r="DP58" s="112"/>
      <c r="DQ58" s="112"/>
      <c r="DR58" s="112"/>
      <c r="DS58" s="112"/>
      <c r="DT58" s="112"/>
    </row>
    <row r="59" spans="2:124" ht="15.75" customHeight="1">
      <c r="B59" s="395"/>
      <c r="C59" s="411"/>
      <c r="D59" s="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395"/>
      <c r="Z59" s="112"/>
      <c r="AA59" s="112"/>
      <c r="AB59" s="112"/>
      <c r="AC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  <c r="CE59" s="112"/>
      <c r="CF59" s="112"/>
      <c r="CG59" s="112"/>
      <c r="CH59" s="112"/>
      <c r="CI59" s="112"/>
      <c r="CJ59" s="112"/>
      <c r="CK59" s="112"/>
      <c r="CL59" s="112"/>
      <c r="CM59" s="112"/>
      <c r="CN59" s="112"/>
      <c r="CO59" s="112"/>
      <c r="CP59" s="112"/>
      <c r="CQ59" s="112"/>
      <c r="CR59" s="112"/>
      <c r="CS59" s="112"/>
      <c r="CT59" s="112"/>
      <c r="CU59" s="112"/>
      <c r="CV59" s="112"/>
      <c r="CW59" s="112"/>
      <c r="CX59" s="112"/>
      <c r="CY59" s="112"/>
      <c r="CZ59" s="112"/>
      <c r="DA59" s="112"/>
      <c r="DB59" s="112"/>
      <c r="DC59" s="112"/>
      <c r="DD59" s="112"/>
      <c r="DE59" s="112"/>
      <c r="DF59" s="112"/>
      <c r="DG59" s="112"/>
      <c r="DH59" s="112"/>
      <c r="DI59" s="112"/>
      <c r="DJ59" s="112"/>
      <c r="DK59" s="112"/>
      <c r="DL59" s="112"/>
      <c r="DM59" s="112"/>
      <c r="DN59" s="112"/>
      <c r="DO59" s="112"/>
      <c r="DP59" s="112"/>
      <c r="DQ59" s="112"/>
      <c r="DR59" s="112"/>
      <c r="DS59" s="112"/>
      <c r="DT59" s="112"/>
    </row>
    <row r="60" spans="2:124" ht="15.75" customHeight="1">
      <c r="B60" s="395"/>
      <c r="C60" s="411"/>
      <c r="D60" s="1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395"/>
      <c r="Z60" s="112"/>
      <c r="AA60" s="112"/>
      <c r="AB60" s="112"/>
      <c r="AC60" s="112"/>
      <c r="AF60" s="112"/>
      <c r="AG60" s="112"/>
      <c r="AH60" s="112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2"/>
      <c r="BE60" s="112"/>
      <c r="BF60" s="112"/>
      <c r="BG60" s="112"/>
      <c r="BH60" s="112"/>
      <c r="BI60" s="112"/>
      <c r="BJ60" s="112"/>
      <c r="BK60" s="112"/>
      <c r="BL60" s="112"/>
      <c r="BM60" s="112"/>
      <c r="BN60" s="112"/>
      <c r="BO60" s="112"/>
      <c r="BP60" s="112"/>
      <c r="BQ60" s="112"/>
      <c r="BR60" s="112"/>
      <c r="BS60" s="112"/>
      <c r="BT60" s="112"/>
      <c r="BU60" s="112"/>
      <c r="BV60" s="112"/>
      <c r="BW60" s="112"/>
      <c r="BX60" s="112"/>
      <c r="BY60" s="112"/>
      <c r="BZ60" s="112"/>
      <c r="CA60" s="112"/>
      <c r="CB60" s="112"/>
      <c r="CC60" s="112"/>
      <c r="CD60" s="112"/>
      <c r="CE60" s="112"/>
      <c r="CF60" s="112"/>
      <c r="CG60" s="112"/>
      <c r="CH60" s="112"/>
      <c r="CI60" s="112"/>
      <c r="CJ60" s="112"/>
      <c r="CK60" s="112"/>
      <c r="CL60" s="112"/>
      <c r="CM60" s="112"/>
      <c r="CN60" s="112"/>
      <c r="CO60" s="112"/>
      <c r="CP60" s="112"/>
      <c r="CQ60" s="112"/>
      <c r="CR60" s="112"/>
      <c r="CS60" s="112"/>
      <c r="CT60" s="112"/>
      <c r="CU60" s="112"/>
      <c r="CV60" s="112"/>
      <c r="CW60" s="112"/>
      <c r="CX60" s="112"/>
      <c r="CY60" s="112"/>
      <c r="CZ60" s="112"/>
      <c r="DA60" s="112"/>
      <c r="DB60" s="112"/>
      <c r="DC60" s="112"/>
      <c r="DD60" s="112"/>
      <c r="DE60" s="112"/>
      <c r="DF60" s="112"/>
      <c r="DG60" s="112"/>
      <c r="DH60" s="112"/>
      <c r="DI60" s="112"/>
      <c r="DJ60" s="112"/>
      <c r="DK60" s="112"/>
      <c r="DL60" s="112"/>
      <c r="DM60" s="112"/>
      <c r="DN60" s="112"/>
      <c r="DO60" s="112"/>
      <c r="DP60" s="112"/>
      <c r="DQ60" s="112"/>
      <c r="DR60" s="112"/>
      <c r="DS60" s="112"/>
      <c r="DT60" s="112"/>
    </row>
    <row r="61" spans="2:124" ht="15.75" customHeight="1">
      <c r="B61" s="395"/>
      <c r="C61" s="411"/>
      <c r="D61" s="1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395"/>
      <c r="Z61" s="112"/>
      <c r="AA61" s="112"/>
      <c r="AB61" s="112"/>
      <c r="AC61" s="112"/>
      <c r="AF61" s="112"/>
      <c r="AG61" s="112"/>
      <c r="AH61" s="112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  <c r="BK61" s="112"/>
      <c r="BL61" s="112"/>
      <c r="BM61" s="112"/>
      <c r="BN61" s="112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  <c r="CE61" s="112"/>
      <c r="CF61" s="112"/>
      <c r="CG61" s="112"/>
      <c r="CH61" s="112"/>
      <c r="CI61" s="112"/>
      <c r="CJ61" s="112"/>
      <c r="CK61" s="112"/>
      <c r="CL61" s="112"/>
      <c r="CM61" s="112"/>
      <c r="CN61" s="112"/>
      <c r="CO61" s="112"/>
      <c r="CP61" s="112"/>
      <c r="CQ61" s="112"/>
      <c r="CR61" s="112"/>
      <c r="CS61" s="112"/>
      <c r="CT61" s="112"/>
      <c r="CU61" s="112"/>
      <c r="CV61" s="112"/>
      <c r="CW61" s="112"/>
      <c r="CX61" s="112"/>
      <c r="CY61" s="112"/>
      <c r="CZ61" s="112"/>
      <c r="DA61" s="112"/>
      <c r="DB61" s="112"/>
      <c r="DC61" s="112"/>
      <c r="DD61" s="112"/>
      <c r="DE61" s="112"/>
      <c r="DF61" s="112"/>
      <c r="DG61" s="112"/>
      <c r="DH61" s="112"/>
      <c r="DI61" s="112"/>
      <c r="DJ61" s="112"/>
      <c r="DK61" s="112"/>
      <c r="DL61" s="112"/>
      <c r="DM61" s="112"/>
      <c r="DN61" s="112"/>
      <c r="DO61" s="112"/>
      <c r="DP61" s="112"/>
      <c r="DQ61" s="112"/>
      <c r="DR61" s="112"/>
      <c r="DS61" s="112"/>
      <c r="DT61" s="112"/>
    </row>
    <row r="62" spans="2:124" ht="15.75" customHeight="1">
      <c r="B62" s="395"/>
      <c r="C62" s="411"/>
      <c r="D62" s="1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395"/>
      <c r="Z62" s="112"/>
      <c r="AA62" s="112"/>
      <c r="AB62" s="112"/>
      <c r="AC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2"/>
      <c r="BM62" s="112"/>
      <c r="BN62" s="112"/>
      <c r="BO62" s="112"/>
      <c r="BP62" s="112"/>
      <c r="BQ62" s="112"/>
      <c r="BR62" s="112"/>
      <c r="BS62" s="112"/>
      <c r="BT62" s="112"/>
      <c r="BU62" s="112"/>
      <c r="BV62" s="112"/>
      <c r="BW62" s="112"/>
      <c r="BX62" s="112"/>
      <c r="BY62" s="112"/>
      <c r="BZ62" s="112"/>
      <c r="CA62" s="112"/>
      <c r="CB62" s="112"/>
      <c r="CC62" s="112"/>
      <c r="CD62" s="112"/>
      <c r="CE62" s="112"/>
      <c r="CF62" s="112"/>
      <c r="CG62" s="112"/>
      <c r="CH62" s="112"/>
      <c r="CI62" s="112"/>
      <c r="CJ62" s="112"/>
      <c r="CK62" s="112"/>
      <c r="CL62" s="112"/>
      <c r="CM62" s="112"/>
      <c r="CN62" s="112"/>
      <c r="CO62" s="112"/>
      <c r="CP62" s="112"/>
      <c r="CQ62" s="112"/>
      <c r="CR62" s="112"/>
      <c r="CS62" s="112"/>
      <c r="CT62" s="112"/>
      <c r="CU62" s="112"/>
      <c r="CV62" s="112"/>
      <c r="CW62" s="112"/>
      <c r="CX62" s="112"/>
      <c r="CY62" s="112"/>
      <c r="CZ62" s="112"/>
      <c r="DA62" s="112"/>
      <c r="DB62" s="112"/>
      <c r="DC62" s="112"/>
      <c r="DD62" s="112"/>
      <c r="DE62" s="112"/>
      <c r="DF62" s="112"/>
      <c r="DG62" s="112"/>
      <c r="DH62" s="112"/>
      <c r="DI62" s="112"/>
      <c r="DJ62" s="112"/>
      <c r="DK62" s="112"/>
      <c r="DL62" s="112"/>
      <c r="DM62" s="112"/>
      <c r="DN62" s="112"/>
      <c r="DO62" s="112"/>
      <c r="DP62" s="112"/>
      <c r="DQ62" s="112"/>
      <c r="DR62" s="112"/>
      <c r="DS62" s="112"/>
      <c r="DT62" s="112"/>
    </row>
    <row r="63" spans="2:124" ht="15.75" customHeight="1">
      <c r="B63" s="395"/>
      <c r="C63" s="411"/>
      <c r="D63" s="1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395"/>
      <c r="Z63" s="112"/>
      <c r="AA63" s="112"/>
      <c r="AB63" s="112"/>
      <c r="AC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  <c r="BM63" s="112"/>
      <c r="BN63" s="112"/>
      <c r="BO63" s="112"/>
      <c r="BP63" s="112"/>
      <c r="BQ63" s="112"/>
      <c r="BR63" s="112"/>
      <c r="BS63" s="112"/>
      <c r="BT63" s="112"/>
      <c r="BU63" s="112"/>
      <c r="BV63" s="112"/>
      <c r="BW63" s="112"/>
      <c r="BX63" s="112"/>
      <c r="BY63" s="112"/>
      <c r="BZ63" s="112"/>
      <c r="CA63" s="112"/>
      <c r="CB63" s="112"/>
      <c r="CC63" s="112"/>
      <c r="CD63" s="112"/>
      <c r="CE63" s="112"/>
      <c r="CF63" s="112"/>
      <c r="CG63" s="112"/>
      <c r="CH63" s="112"/>
      <c r="CI63" s="112"/>
      <c r="CJ63" s="112"/>
      <c r="CK63" s="112"/>
      <c r="CL63" s="112"/>
      <c r="CM63" s="112"/>
      <c r="CN63" s="112"/>
      <c r="CO63" s="112"/>
      <c r="CP63" s="112"/>
      <c r="CQ63" s="112"/>
      <c r="CR63" s="112"/>
      <c r="CS63" s="112"/>
      <c r="CT63" s="112"/>
      <c r="CU63" s="112"/>
      <c r="CV63" s="112"/>
      <c r="CW63" s="112"/>
      <c r="CX63" s="112"/>
      <c r="CY63" s="112"/>
      <c r="CZ63" s="112"/>
      <c r="DA63" s="112"/>
      <c r="DB63" s="112"/>
      <c r="DC63" s="112"/>
      <c r="DD63" s="112"/>
      <c r="DE63" s="112"/>
      <c r="DF63" s="112"/>
      <c r="DG63" s="112"/>
      <c r="DH63" s="112"/>
      <c r="DI63" s="112"/>
      <c r="DJ63" s="112"/>
      <c r="DK63" s="112"/>
      <c r="DL63" s="112"/>
      <c r="DM63" s="112"/>
      <c r="DN63" s="112"/>
      <c r="DO63" s="112"/>
      <c r="DP63" s="112"/>
      <c r="DQ63" s="112"/>
      <c r="DR63" s="112"/>
      <c r="DS63" s="112"/>
      <c r="DT63" s="112"/>
    </row>
    <row r="64" spans="2:124" ht="15.75" customHeight="1">
      <c r="B64" s="395"/>
      <c r="C64" s="411"/>
      <c r="D64" s="1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395"/>
      <c r="Z64" s="112"/>
      <c r="AA64" s="112"/>
      <c r="AB64" s="112"/>
      <c r="AC64" s="112"/>
      <c r="AF64" s="112"/>
      <c r="AG64" s="112"/>
      <c r="AH64" s="112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2"/>
      <c r="BE64" s="112"/>
      <c r="BF64" s="112"/>
      <c r="BG64" s="112"/>
      <c r="BH64" s="112"/>
      <c r="BI64" s="112"/>
      <c r="BJ64" s="112"/>
      <c r="BK64" s="112"/>
      <c r="BL64" s="112"/>
      <c r="BM64" s="112"/>
      <c r="BN64" s="112"/>
      <c r="BO64" s="112"/>
      <c r="BP64" s="112"/>
      <c r="BQ64" s="112"/>
      <c r="BR64" s="112"/>
      <c r="BS64" s="112"/>
      <c r="BT64" s="112"/>
      <c r="BU64" s="112"/>
      <c r="BV64" s="112"/>
      <c r="BW64" s="112"/>
      <c r="BX64" s="112"/>
      <c r="BY64" s="112"/>
      <c r="BZ64" s="112"/>
      <c r="CA64" s="112"/>
      <c r="CB64" s="112"/>
      <c r="CC64" s="112"/>
      <c r="CD64" s="112"/>
      <c r="CE64" s="112"/>
      <c r="CF64" s="112"/>
      <c r="CG64" s="112"/>
      <c r="CH64" s="112"/>
      <c r="CI64" s="112"/>
      <c r="CJ64" s="112"/>
      <c r="CK64" s="112"/>
      <c r="CL64" s="112"/>
      <c r="CM64" s="112"/>
      <c r="CN64" s="112"/>
      <c r="CO64" s="112"/>
      <c r="CP64" s="112"/>
      <c r="CQ64" s="112"/>
      <c r="CR64" s="112"/>
      <c r="CS64" s="112"/>
      <c r="CT64" s="112"/>
      <c r="CU64" s="112"/>
      <c r="CV64" s="112"/>
      <c r="CW64" s="112"/>
      <c r="CX64" s="112"/>
      <c r="CY64" s="112"/>
      <c r="CZ64" s="112"/>
      <c r="DA64" s="112"/>
      <c r="DB64" s="112"/>
      <c r="DC64" s="112"/>
      <c r="DD64" s="112"/>
      <c r="DE64" s="112"/>
      <c r="DF64" s="112"/>
      <c r="DG64" s="112"/>
      <c r="DH64" s="112"/>
      <c r="DI64" s="112"/>
      <c r="DJ64" s="112"/>
      <c r="DK64" s="112"/>
      <c r="DL64" s="112"/>
      <c r="DM64" s="112"/>
      <c r="DN64" s="112"/>
      <c r="DO64" s="112"/>
      <c r="DP64" s="112"/>
      <c r="DQ64" s="112"/>
      <c r="DR64" s="112"/>
      <c r="DS64" s="112"/>
      <c r="DT64" s="112"/>
    </row>
    <row r="65" spans="2:124" ht="15.75" customHeight="1">
      <c r="B65" s="395"/>
      <c r="C65" s="411"/>
      <c r="D65" s="1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395"/>
      <c r="Z65" s="112"/>
      <c r="AA65" s="112"/>
      <c r="AB65" s="112"/>
      <c r="AC65" s="112"/>
      <c r="AF65" s="112"/>
      <c r="AG65" s="112"/>
      <c r="AH65" s="112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12"/>
      <c r="CG65" s="112"/>
      <c r="CH65" s="112"/>
      <c r="CI65" s="112"/>
      <c r="CJ65" s="112"/>
      <c r="CK65" s="112"/>
      <c r="CL65" s="112"/>
      <c r="CM65" s="112"/>
      <c r="CN65" s="112"/>
      <c r="CO65" s="112"/>
      <c r="CP65" s="112"/>
      <c r="CQ65" s="112"/>
      <c r="CR65" s="112"/>
      <c r="CS65" s="112"/>
      <c r="CT65" s="112"/>
      <c r="CU65" s="112"/>
      <c r="CV65" s="112"/>
      <c r="CW65" s="112"/>
      <c r="CX65" s="112"/>
      <c r="CY65" s="112"/>
      <c r="CZ65" s="112"/>
      <c r="DA65" s="112"/>
      <c r="DB65" s="112"/>
      <c r="DC65" s="112"/>
      <c r="DD65" s="112"/>
      <c r="DE65" s="112"/>
      <c r="DF65" s="112"/>
      <c r="DG65" s="112"/>
      <c r="DH65" s="112"/>
      <c r="DI65" s="112"/>
      <c r="DJ65" s="112"/>
      <c r="DK65" s="112"/>
      <c r="DL65" s="112"/>
      <c r="DM65" s="112"/>
      <c r="DN65" s="112"/>
      <c r="DO65" s="112"/>
      <c r="DP65" s="112"/>
      <c r="DQ65" s="112"/>
      <c r="DR65" s="112"/>
      <c r="DS65" s="112"/>
      <c r="DT65" s="112"/>
    </row>
    <row r="66" spans="2:124" ht="15.75" customHeight="1">
      <c r="B66" s="395"/>
      <c r="C66" s="411"/>
      <c r="D66" s="1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395"/>
      <c r="Z66" s="112"/>
      <c r="AA66" s="112"/>
      <c r="AB66" s="112"/>
      <c r="AC66" s="112"/>
      <c r="AF66" s="112"/>
      <c r="AG66" s="112"/>
      <c r="AH66" s="112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2"/>
      <c r="BE66" s="112"/>
      <c r="BF66" s="112"/>
      <c r="BG66" s="112"/>
      <c r="BH66" s="112"/>
      <c r="BI66" s="112"/>
      <c r="BJ66" s="112"/>
      <c r="BK66" s="112"/>
      <c r="BL66" s="112"/>
      <c r="BM66" s="112"/>
      <c r="BN66" s="112"/>
      <c r="BO66" s="112"/>
      <c r="BP66" s="112"/>
      <c r="BQ66" s="112"/>
      <c r="BR66" s="112"/>
      <c r="BS66" s="112"/>
      <c r="BT66" s="112"/>
      <c r="BU66" s="112"/>
      <c r="BV66" s="112"/>
      <c r="BW66" s="112"/>
      <c r="BX66" s="112"/>
      <c r="BY66" s="112"/>
      <c r="BZ66" s="112"/>
      <c r="CA66" s="112"/>
      <c r="CB66" s="112"/>
      <c r="CC66" s="112"/>
      <c r="CD66" s="112"/>
      <c r="CE66" s="112"/>
      <c r="CF66" s="112"/>
      <c r="CG66" s="112"/>
      <c r="CH66" s="112"/>
      <c r="CI66" s="112"/>
      <c r="CJ66" s="112"/>
      <c r="CK66" s="112"/>
      <c r="CL66" s="112"/>
      <c r="CM66" s="112"/>
      <c r="CN66" s="112"/>
      <c r="CO66" s="112"/>
      <c r="CP66" s="112"/>
      <c r="CQ66" s="112"/>
      <c r="CR66" s="112"/>
      <c r="CS66" s="112"/>
      <c r="CT66" s="112"/>
      <c r="CU66" s="112"/>
      <c r="CV66" s="112"/>
      <c r="CW66" s="112"/>
      <c r="CX66" s="112"/>
      <c r="CY66" s="112"/>
      <c r="CZ66" s="112"/>
      <c r="DA66" s="112"/>
      <c r="DB66" s="112"/>
      <c r="DC66" s="112"/>
      <c r="DD66" s="112"/>
      <c r="DE66" s="112"/>
      <c r="DF66" s="112"/>
      <c r="DG66" s="112"/>
      <c r="DH66" s="112"/>
      <c r="DI66" s="112"/>
      <c r="DJ66" s="112"/>
      <c r="DK66" s="112"/>
      <c r="DL66" s="112"/>
      <c r="DM66" s="112"/>
      <c r="DN66" s="112"/>
      <c r="DO66" s="112"/>
      <c r="DP66" s="112"/>
      <c r="DQ66" s="112"/>
      <c r="DR66" s="112"/>
      <c r="DS66" s="112"/>
      <c r="DT66" s="112"/>
    </row>
    <row r="67" spans="2:124" ht="15.75" customHeight="1">
      <c r="B67" s="395"/>
      <c r="C67" s="411"/>
      <c r="D67" s="1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395"/>
      <c r="Z67" s="112"/>
      <c r="AA67" s="112"/>
      <c r="AB67" s="112"/>
      <c r="AC67" s="112"/>
      <c r="AF67" s="112"/>
      <c r="AG67" s="112"/>
      <c r="AH67" s="112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  <c r="BO67" s="112"/>
      <c r="BP67" s="112"/>
      <c r="BQ67" s="112"/>
      <c r="BR67" s="112"/>
      <c r="BS67" s="112"/>
      <c r="BT67" s="112"/>
      <c r="BU67" s="112"/>
      <c r="BV67" s="112"/>
      <c r="BW67" s="112"/>
      <c r="BX67" s="112"/>
      <c r="BY67" s="112"/>
      <c r="BZ67" s="112"/>
      <c r="CA67" s="112"/>
      <c r="CB67" s="112"/>
      <c r="CC67" s="112"/>
      <c r="CD67" s="112"/>
      <c r="CE67" s="112"/>
      <c r="CF67" s="112"/>
      <c r="CG67" s="112"/>
      <c r="CH67" s="112"/>
      <c r="CI67" s="112"/>
      <c r="CJ67" s="112"/>
      <c r="CK67" s="112"/>
      <c r="CL67" s="112"/>
      <c r="CM67" s="112"/>
      <c r="CN67" s="112"/>
      <c r="CO67" s="112"/>
      <c r="CP67" s="112"/>
      <c r="CQ67" s="112"/>
      <c r="CR67" s="112"/>
      <c r="CS67" s="112"/>
      <c r="CT67" s="112"/>
      <c r="CU67" s="112"/>
      <c r="CV67" s="112"/>
      <c r="CW67" s="112"/>
      <c r="CX67" s="112"/>
      <c r="CY67" s="112"/>
      <c r="CZ67" s="112"/>
      <c r="DA67" s="112"/>
      <c r="DB67" s="112"/>
      <c r="DC67" s="112"/>
      <c r="DD67" s="112"/>
      <c r="DE67" s="112"/>
      <c r="DF67" s="112"/>
      <c r="DG67" s="112"/>
      <c r="DH67" s="112"/>
      <c r="DI67" s="112"/>
      <c r="DJ67" s="112"/>
      <c r="DK67" s="112"/>
      <c r="DL67" s="112"/>
      <c r="DM67" s="112"/>
      <c r="DN67" s="112"/>
      <c r="DO67" s="112"/>
      <c r="DP67" s="112"/>
      <c r="DQ67" s="112"/>
      <c r="DR67" s="112"/>
      <c r="DS67" s="112"/>
      <c r="DT67" s="112"/>
    </row>
    <row r="68" spans="2:124" ht="15.75" customHeight="1">
      <c r="B68" s="395"/>
      <c r="C68" s="411"/>
      <c r="D68" s="1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395"/>
      <c r="Z68" s="112"/>
      <c r="AA68" s="112"/>
      <c r="AB68" s="112"/>
      <c r="AC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  <c r="BR68" s="112"/>
      <c r="BS68" s="112"/>
      <c r="BT68" s="112"/>
      <c r="BU68" s="112"/>
      <c r="BV68" s="112"/>
      <c r="BW68" s="112"/>
      <c r="BX68" s="112"/>
      <c r="BY68" s="112"/>
      <c r="BZ68" s="112"/>
      <c r="CA68" s="112"/>
      <c r="CB68" s="112"/>
      <c r="CC68" s="112"/>
      <c r="CD68" s="112"/>
      <c r="CE68" s="112"/>
      <c r="CF68" s="112"/>
      <c r="CG68" s="112"/>
      <c r="CH68" s="112"/>
      <c r="CI68" s="112"/>
      <c r="CJ68" s="112"/>
      <c r="CK68" s="112"/>
      <c r="CL68" s="112"/>
      <c r="CM68" s="112"/>
      <c r="CN68" s="112"/>
      <c r="CO68" s="112"/>
      <c r="CP68" s="112"/>
      <c r="CQ68" s="112"/>
      <c r="CR68" s="112"/>
      <c r="CS68" s="112"/>
      <c r="CT68" s="112"/>
      <c r="CU68" s="112"/>
      <c r="CV68" s="112"/>
      <c r="CW68" s="112"/>
      <c r="CX68" s="112"/>
      <c r="CY68" s="112"/>
      <c r="CZ68" s="112"/>
      <c r="DA68" s="112"/>
      <c r="DB68" s="112"/>
      <c r="DC68" s="112"/>
      <c r="DD68" s="112"/>
      <c r="DE68" s="112"/>
      <c r="DF68" s="112"/>
      <c r="DG68" s="112"/>
      <c r="DH68" s="112"/>
      <c r="DI68" s="112"/>
      <c r="DJ68" s="112"/>
      <c r="DK68" s="112"/>
      <c r="DL68" s="112"/>
      <c r="DM68" s="112"/>
      <c r="DN68" s="112"/>
      <c r="DO68" s="112"/>
      <c r="DP68" s="112"/>
      <c r="DQ68" s="112"/>
      <c r="DR68" s="112"/>
      <c r="DS68" s="112"/>
      <c r="DT68" s="112"/>
    </row>
    <row r="69" spans="2:124" ht="15.75" customHeight="1">
      <c r="B69" s="395"/>
      <c r="C69" s="411"/>
      <c r="D69" s="1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395"/>
      <c r="Z69" s="112"/>
      <c r="AA69" s="112"/>
      <c r="AB69" s="112"/>
      <c r="AC69" s="112"/>
      <c r="AF69" s="112"/>
      <c r="AG69" s="112"/>
      <c r="AH69" s="112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  <c r="BO69" s="112"/>
      <c r="BP69" s="112"/>
      <c r="BQ69" s="112"/>
      <c r="BR69" s="112"/>
      <c r="BS69" s="112"/>
      <c r="BT69" s="112"/>
      <c r="BU69" s="112"/>
      <c r="BV69" s="112"/>
      <c r="BW69" s="112"/>
      <c r="BX69" s="112"/>
      <c r="BY69" s="112"/>
      <c r="BZ69" s="112"/>
      <c r="CA69" s="112"/>
      <c r="CB69" s="112"/>
      <c r="CC69" s="112"/>
      <c r="CD69" s="112"/>
      <c r="CE69" s="112"/>
      <c r="CF69" s="112"/>
      <c r="CG69" s="112"/>
      <c r="CH69" s="112"/>
      <c r="CI69" s="112"/>
      <c r="CJ69" s="112"/>
      <c r="CK69" s="112"/>
      <c r="CL69" s="112"/>
      <c r="CM69" s="112"/>
      <c r="CN69" s="112"/>
      <c r="CO69" s="112"/>
      <c r="CP69" s="112"/>
      <c r="CQ69" s="112"/>
      <c r="CR69" s="112"/>
      <c r="CS69" s="112"/>
      <c r="CT69" s="112"/>
      <c r="CU69" s="112"/>
      <c r="CV69" s="112"/>
      <c r="CW69" s="112"/>
      <c r="CX69" s="112"/>
      <c r="CY69" s="112"/>
      <c r="CZ69" s="112"/>
      <c r="DA69" s="112"/>
      <c r="DB69" s="112"/>
      <c r="DC69" s="112"/>
      <c r="DD69" s="112"/>
      <c r="DE69" s="112"/>
      <c r="DF69" s="112"/>
      <c r="DG69" s="112"/>
      <c r="DH69" s="112"/>
      <c r="DI69" s="112"/>
      <c r="DJ69" s="112"/>
      <c r="DK69" s="112"/>
      <c r="DL69" s="112"/>
      <c r="DM69" s="112"/>
      <c r="DN69" s="112"/>
      <c r="DO69" s="112"/>
      <c r="DP69" s="112"/>
      <c r="DQ69" s="112"/>
      <c r="DR69" s="112"/>
      <c r="DS69" s="112"/>
      <c r="DT69" s="112"/>
    </row>
    <row r="70" spans="2:124" ht="15.75" customHeight="1">
      <c r="B70" s="395"/>
      <c r="C70" s="411"/>
      <c r="D70" s="1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395"/>
      <c r="Z70" s="112"/>
      <c r="AA70" s="112"/>
      <c r="AB70" s="112"/>
      <c r="AC70" s="112"/>
      <c r="AF70" s="112"/>
      <c r="AG70" s="112"/>
      <c r="AH70" s="112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  <c r="BO70" s="112"/>
      <c r="BP70" s="112"/>
      <c r="BQ70" s="112"/>
      <c r="BR70" s="112"/>
      <c r="BS70" s="112"/>
      <c r="BT70" s="112"/>
      <c r="BU70" s="112"/>
      <c r="BV70" s="112"/>
      <c r="BW70" s="112"/>
      <c r="BX70" s="112"/>
      <c r="BY70" s="112"/>
      <c r="BZ70" s="112"/>
      <c r="CA70" s="112"/>
      <c r="CB70" s="112"/>
      <c r="CC70" s="112"/>
      <c r="CD70" s="112"/>
      <c r="CE70" s="112"/>
      <c r="CF70" s="112"/>
      <c r="CG70" s="112"/>
      <c r="CH70" s="112"/>
      <c r="CI70" s="112"/>
      <c r="CJ70" s="112"/>
      <c r="CK70" s="112"/>
      <c r="CL70" s="112"/>
      <c r="CM70" s="112"/>
      <c r="CN70" s="112"/>
      <c r="CO70" s="112"/>
      <c r="CP70" s="112"/>
      <c r="CQ70" s="112"/>
      <c r="CR70" s="112"/>
      <c r="CS70" s="112"/>
      <c r="CT70" s="112"/>
      <c r="CU70" s="112"/>
      <c r="CV70" s="112"/>
      <c r="CW70" s="112"/>
      <c r="CX70" s="112"/>
      <c r="CY70" s="112"/>
      <c r="CZ70" s="112"/>
      <c r="DA70" s="112"/>
      <c r="DB70" s="112"/>
      <c r="DC70" s="112"/>
      <c r="DD70" s="112"/>
      <c r="DE70" s="112"/>
      <c r="DF70" s="112"/>
      <c r="DG70" s="112"/>
      <c r="DH70" s="112"/>
      <c r="DI70" s="112"/>
      <c r="DJ70" s="112"/>
      <c r="DK70" s="112"/>
      <c r="DL70" s="112"/>
      <c r="DM70" s="112"/>
      <c r="DN70" s="112"/>
      <c r="DO70" s="112"/>
      <c r="DP70" s="112"/>
      <c r="DQ70" s="112"/>
      <c r="DR70" s="112"/>
      <c r="DS70" s="112"/>
      <c r="DT70" s="112"/>
    </row>
    <row r="71" spans="2:124" ht="15.75" customHeight="1">
      <c r="B71" s="395"/>
      <c r="C71" s="411"/>
      <c r="D71" s="1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395"/>
      <c r="Z71" s="112"/>
      <c r="AA71" s="112"/>
      <c r="AB71" s="112"/>
      <c r="AC71" s="112"/>
      <c r="AF71" s="112"/>
      <c r="AG71" s="112"/>
      <c r="AH71" s="112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  <c r="BR71" s="112"/>
      <c r="BS71" s="112"/>
      <c r="BT71" s="112"/>
      <c r="BU71" s="112"/>
      <c r="BV71" s="112"/>
      <c r="BW71" s="112"/>
      <c r="BX71" s="112"/>
      <c r="BY71" s="112"/>
      <c r="BZ71" s="112"/>
      <c r="CA71" s="112"/>
      <c r="CB71" s="112"/>
      <c r="CC71" s="112"/>
      <c r="CD71" s="112"/>
      <c r="CE71" s="112"/>
      <c r="CF71" s="112"/>
      <c r="CG71" s="112"/>
      <c r="CH71" s="112"/>
      <c r="CI71" s="112"/>
      <c r="CJ71" s="112"/>
      <c r="CK71" s="112"/>
      <c r="CL71" s="112"/>
      <c r="CM71" s="112"/>
      <c r="CN71" s="112"/>
      <c r="CO71" s="112"/>
      <c r="CP71" s="112"/>
      <c r="CQ71" s="112"/>
      <c r="CR71" s="112"/>
      <c r="CS71" s="112"/>
      <c r="CT71" s="112"/>
      <c r="CU71" s="112"/>
      <c r="CV71" s="112"/>
      <c r="CW71" s="112"/>
      <c r="CX71" s="112"/>
      <c r="CY71" s="112"/>
      <c r="CZ71" s="112"/>
      <c r="DA71" s="112"/>
      <c r="DB71" s="112"/>
      <c r="DC71" s="112"/>
      <c r="DD71" s="112"/>
      <c r="DE71" s="112"/>
      <c r="DF71" s="112"/>
      <c r="DG71" s="112"/>
      <c r="DH71" s="112"/>
      <c r="DI71" s="112"/>
      <c r="DJ71" s="112"/>
      <c r="DK71" s="112"/>
      <c r="DL71" s="112"/>
      <c r="DM71" s="112"/>
      <c r="DN71" s="112"/>
      <c r="DO71" s="112"/>
      <c r="DP71" s="112"/>
      <c r="DQ71" s="112"/>
      <c r="DR71" s="112"/>
      <c r="DS71" s="112"/>
      <c r="DT71" s="112"/>
    </row>
    <row r="72" spans="2:124" ht="15.75" customHeight="1">
      <c r="B72" s="395"/>
      <c r="C72" s="411"/>
      <c r="D72" s="1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395"/>
      <c r="Z72" s="112"/>
      <c r="AA72" s="112"/>
      <c r="AB72" s="112"/>
      <c r="AC72" s="112"/>
      <c r="AF72" s="112"/>
      <c r="AG72" s="112"/>
      <c r="AH72" s="112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  <c r="BG72" s="112"/>
      <c r="BH72" s="112"/>
      <c r="BI72" s="112"/>
      <c r="BJ72" s="112"/>
      <c r="BK72" s="112"/>
      <c r="BL72" s="112"/>
      <c r="BM72" s="112"/>
      <c r="BN72" s="112"/>
      <c r="BO72" s="112"/>
      <c r="BP72" s="112"/>
      <c r="BQ72" s="112"/>
      <c r="BR72" s="112"/>
      <c r="BS72" s="112"/>
      <c r="BT72" s="112"/>
      <c r="BU72" s="112"/>
      <c r="BV72" s="112"/>
      <c r="BW72" s="112"/>
      <c r="BX72" s="112"/>
      <c r="BY72" s="112"/>
      <c r="BZ72" s="112"/>
      <c r="CA72" s="112"/>
      <c r="CB72" s="112"/>
      <c r="CC72" s="112"/>
      <c r="CD72" s="112"/>
      <c r="CE72" s="112"/>
      <c r="CF72" s="112"/>
      <c r="CG72" s="112"/>
      <c r="CH72" s="112"/>
      <c r="CI72" s="112"/>
      <c r="CJ72" s="112"/>
      <c r="CK72" s="112"/>
      <c r="CL72" s="112"/>
      <c r="CM72" s="112"/>
      <c r="CN72" s="112"/>
      <c r="CO72" s="112"/>
      <c r="CP72" s="112"/>
      <c r="CQ72" s="112"/>
      <c r="CR72" s="112"/>
      <c r="CS72" s="112"/>
      <c r="CT72" s="112"/>
      <c r="CU72" s="112"/>
      <c r="CV72" s="112"/>
      <c r="CW72" s="112"/>
      <c r="CX72" s="112"/>
      <c r="CY72" s="112"/>
      <c r="CZ72" s="112"/>
      <c r="DA72" s="112"/>
      <c r="DB72" s="112"/>
      <c r="DC72" s="112"/>
      <c r="DD72" s="112"/>
      <c r="DE72" s="112"/>
      <c r="DF72" s="112"/>
      <c r="DG72" s="112"/>
      <c r="DH72" s="112"/>
      <c r="DI72" s="112"/>
      <c r="DJ72" s="112"/>
      <c r="DK72" s="112"/>
      <c r="DL72" s="112"/>
      <c r="DM72" s="112"/>
      <c r="DN72" s="112"/>
      <c r="DO72" s="112"/>
      <c r="DP72" s="112"/>
      <c r="DQ72" s="112"/>
      <c r="DR72" s="112"/>
      <c r="DS72" s="112"/>
      <c r="DT72" s="112"/>
    </row>
    <row r="73" spans="2:124" ht="15.75" customHeight="1">
      <c r="B73" s="395"/>
      <c r="C73" s="411"/>
      <c r="D73" s="1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395"/>
      <c r="Z73" s="112"/>
      <c r="AA73" s="112"/>
      <c r="AB73" s="112"/>
      <c r="AC73" s="112"/>
      <c r="AF73" s="112"/>
      <c r="AG73" s="112"/>
      <c r="AH73" s="112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2"/>
      <c r="BE73" s="112"/>
      <c r="BF73" s="112"/>
      <c r="BG73" s="112"/>
      <c r="BH73" s="112"/>
      <c r="BI73" s="112"/>
      <c r="BJ73" s="112"/>
      <c r="BK73" s="112"/>
      <c r="BL73" s="112"/>
      <c r="BM73" s="112"/>
      <c r="BN73" s="112"/>
      <c r="BO73" s="112"/>
      <c r="BP73" s="112"/>
      <c r="BQ73" s="112"/>
      <c r="BR73" s="112"/>
      <c r="BS73" s="112"/>
      <c r="BT73" s="112"/>
      <c r="BU73" s="112"/>
      <c r="BV73" s="112"/>
      <c r="BW73" s="112"/>
      <c r="BX73" s="112"/>
      <c r="BY73" s="112"/>
      <c r="BZ73" s="112"/>
      <c r="CA73" s="112"/>
      <c r="CB73" s="112"/>
      <c r="CC73" s="112"/>
      <c r="CD73" s="112"/>
      <c r="CE73" s="112"/>
      <c r="CF73" s="112"/>
      <c r="CG73" s="112"/>
      <c r="CH73" s="112"/>
      <c r="CI73" s="112"/>
      <c r="CJ73" s="112"/>
      <c r="CK73" s="112"/>
      <c r="CL73" s="112"/>
      <c r="CM73" s="112"/>
      <c r="CN73" s="112"/>
      <c r="CO73" s="112"/>
      <c r="CP73" s="112"/>
      <c r="CQ73" s="112"/>
      <c r="CR73" s="112"/>
      <c r="CS73" s="112"/>
      <c r="CT73" s="112"/>
      <c r="CU73" s="112"/>
      <c r="CV73" s="112"/>
      <c r="CW73" s="112"/>
      <c r="CX73" s="112"/>
      <c r="CY73" s="112"/>
      <c r="CZ73" s="112"/>
      <c r="DA73" s="112"/>
      <c r="DB73" s="112"/>
      <c r="DC73" s="112"/>
      <c r="DD73" s="112"/>
      <c r="DE73" s="112"/>
      <c r="DF73" s="112"/>
      <c r="DG73" s="112"/>
      <c r="DH73" s="112"/>
      <c r="DI73" s="112"/>
      <c r="DJ73" s="112"/>
      <c r="DK73" s="112"/>
      <c r="DL73" s="112"/>
      <c r="DM73" s="112"/>
      <c r="DN73" s="112"/>
      <c r="DO73" s="112"/>
      <c r="DP73" s="112"/>
      <c r="DQ73" s="112"/>
      <c r="DR73" s="112"/>
      <c r="DS73" s="112"/>
      <c r="DT73" s="112"/>
    </row>
    <row r="74" spans="2:124" ht="15.75" customHeight="1">
      <c r="B74" s="395"/>
      <c r="C74" s="411"/>
      <c r="D74" s="1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395"/>
      <c r="Z74" s="112"/>
      <c r="AA74" s="112"/>
      <c r="AB74" s="112"/>
      <c r="AC74" s="112"/>
      <c r="AF74" s="112"/>
      <c r="AG74" s="112"/>
      <c r="AH74" s="112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2"/>
      <c r="BE74" s="112"/>
      <c r="BF74" s="112"/>
      <c r="BG74" s="112"/>
      <c r="BH74" s="112"/>
      <c r="BI74" s="112"/>
      <c r="BJ74" s="112"/>
      <c r="BK74" s="112"/>
      <c r="BL74" s="112"/>
      <c r="BM74" s="112"/>
      <c r="BN74" s="112"/>
      <c r="BO74" s="112"/>
      <c r="BP74" s="112"/>
      <c r="BQ74" s="112"/>
      <c r="BR74" s="112"/>
      <c r="BS74" s="112"/>
      <c r="BT74" s="112"/>
      <c r="BU74" s="112"/>
      <c r="BV74" s="112"/>
      <c r="BW74" s="112"/>
      <c r="BX74" s="112"/>
      <c r="BY74" s="112"/>
      <c r="BZ74" s="112"/>
      <c r="CA74" s="112"/>
      <c r="CB74" s="112"/>
      <c r="CC74" s="112"/>
      <c r="CD74" s="112"/>
      <c r="CE74" s="112"/>
      <c r="CF74" s="112"/>
      <c r="CG74" s="112"/>
      <c r="CH74" s="112"/>
      <c r="CI74" s="112"/>
      <c r="CJ74" s="112"/>
      <c r="CK74" s="112"/>
      <c r="CL74" s="112"/>
      <c r="CM74" s="112"/>
      <c r="CN74" s="112"/>
      <c r="CO74" s="112"/>
      <c r="CP74" s="112"/>
      <c r="CQ74" s="112"/>
      <c r="CR74" s="112"/>
      <c r="CS74" s="112"/>
      <c r="CT74" s="112"/>
      <c r="CU74" s="112"/>
      <c r="CV74" s="112"/>
      <c r="CW74" s="112"/>
      <c r="CX74" s="112"/>
      <c r="CY74" s="112"/>
      <c r="CZ74" s="112"/>
      <c r="DA74" s="112"/>
      <c r="DB74" s="112"/>
      <c r="DC74" s="112"/>
      <c r="DD74" s="112"/>
      <c r="DE74" s="112"/>
      <c r="DF74" s="112"/>
      <c r="DG74" s="112"/>
      <c r="DH74" s="112"/>
      <c r="DI74" s="112"/>
      <c r="DJ74" s="112"/>
      <c r="DK74" s="112"/>
      <c r="DL74" s="112"/>
      <c r="DM74" s="112"/>
      <c r="DN74" s="112"/>
      <c r="DO74" s="112"/>
      <c r="DP74" s="112"/>
      <c r="DQ74" s="112"/>
      <c r="DR74" s="112"/>
      <c r="DS74" s="112"/>
      <c r="DT74" s="112"/>
    </row>
    <row r="75" spans="2:124" ht="15.75" customHeight="1">
      <c r="B75" s="395"/>
      <c r="C75" s="411"/>
      <c r="D75" s="1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395"/>
      <c r="Z75" s="112"/>
      <c r="AA75" s="112"/>
      <c r="AB75" s="112"/>
      <c r="AC75" s="112"/>
      <c r="AF75" s="112"/>
      <c r="AG75" s="112"/>
      <c r="AH75" s="112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2"/>
      <c r="BE75" s="112"/>
      <c r="BF75" s="112"/>
      <c r="BG75" s="112"/>
      <c r="BH75" s="112"/>
      <c r="BI75" s="112"/>
      <c r="BJ75" s="112"/>
      <c r="BK75" s="112"/>
      <c r="BL75" s="112"/>
      <c r="BM75" s="112"/>
      <c r="BN75" s="112"/>
      <c r="BO75" s="112"/>
      <c r="BP75" s="112"/>
      <c r="BQ75" s="112"/>
      <c r="BR75" s="112"/>
      <c r="BS75" s="112"/>
      <c r="BT75" s="112"/>
      <c r="BU75" s="112"/>
      <c r="BV75" s="112"/>
      <c r="BW75" s="112"/>
      <c r="BX75" s="112"/>
      <c r="BY75" s="112"/>
      <c r="BZ75" s="112"/>
      <c r="CA75" s="112"/>
      <c r="CB75" s="112"/>
      <c r="CC75" s="112"/>
      <c r="CD75" s="112"/>
      <c r="CE75" s="112"/>
      <c r="CF75" s="112"/>
      <c r="CG75" s="112"/>
      <c r="CH75" s="112"/>
      <c r="CI75" s="112"/>
      <c r="CJ75" s="112"/>
      <c r="CK75" s="112"/>
      <c r="CL75" s="112"/>
      <c r="CM75" s="112"/>
      <c r="CN75" s="112"/>
      <c r="CO75" s="112"/>
      <c r="CP75" s="112"/>
      <c r="CQ75" s="112"/>
      <c r="CR75" s="112"/>
      <c r="CS75" s="112"/>
      <c r="CT75" s="112"/>
      <c r="CU75" s="112"/>
      <c r="CV75" s="112"/>
      <c r="CW75" s="112"/>
      <c r="CX75" s="112"/>
      <c r="CY75" s="112"/>
      <c r="CZ75" s="112"/>
      <c r="DA75" s="112"/>
      <c r="DB75" s="112"/>
      <c r="DC75" s="112"/>
      <c r="DD75" s="112"/>
      <c r="DE75" s="112"/>
      <c r="DF75" s="112"/>
      <c r="DG75" s="112"/>
      <c r="DH75" s="112"/>
      <c r="DI75" s="112"/>
      <c r="DJ75" s="112"/>
      <c r="DK75" s="112"/>
      <c r="DL75" s="112"/>
      <c r="DM75" s="112"/>
      <c r="DN75" s="112"/>
      <c r="DO75" s="112"/>
      <c r="DP75" s="112"/>
      <c r="DQ75" s="112"/>
      <c r="DR75" s="112"/>
      <c r="DS75" s="112"/>
      <c r="DT75" s="112"/>
    </row>
    <row r="76" spans="2:124" ht="15.75" customHeight="1">
      <c r="B76" s="395"/>
      <c r="C76" s="411"/>
      <c r="D76" s="1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395"/>
      <c r="Z76" s="112"/>
      <c r="AA76" s="112"/>
      <c r="AB76" s="112"/>
      <c r="AC76" s="112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2"/>
      <c r="BE76" s="112"/>
      <c r="BF76" s="112"/>
      <c r="BG76" s="112"/>
      <c r="BH76" s="112"/>
      <c r="BI76" s="112"/>
      <c r="BJ76" s="112"/>
      <c r="BK76" s="112"/>
      <c r="BL76" s="112"/>
      <c r="BM76" s="112"/>
      <c r="BN76" s="112"/>
      <c r="BO76" s="112"/>
      <c r="BP76" s="112"/>
      <c r="BQ76" s="112"/>
      <c r="BR76" s="112"/>
      <c r="BS76" s="112"/>
      <c r="BT76" s="112"/>
      <c r="BU76" s="112"/>
      <c r="BV76" s="112"/>
      <c r="BW76" s="112"/>
      <c r="BX76" s="112"/>
      <c r="BY76" s="112"/>
      <c r="BZ76" s="112"/>
      <c r="CA76" s="112"/>
      <c r="CB76" s="112"/>
      <c r="CC76" s="112"/>
      <c r="CD76" s="112"/>
      <c r="CE76" s="112"/>
      <c r="CF76" s="112"/>
      <c r="CG76" s="112"/>
      <c r="CH76" s="112"/>
      <c r="CI76" s="112"/>
      <c r="CJ76" s="112"/>
      <c r="CK76" s="112"/>
      <c r="CL76" s="112"/>
      <c r="CM76" s="112"/>
      <c r="CN76" s="112"/>
      <c r="CO76" s="112"/>
      <c r="CP76" s="112"/>
      <c r="CQ76" s="112"/>
      <c r="CR76" s="112"/>
      <c r="CS76" s="112"/>
      <c r="CT76" s="112"/>
      <c r="CU76" s="112"/>
      <c r="CV76" s="112"/>
      <c r="CW76" s="112"/>
      <c r="CX76" s="112"/>
      <c r="CY76" s="112"/>
      <c r="CZ76" s="112"/>
      <c r="DA76" s="112"/>
      <c r="DB76" s="112"/>
      <c r="DC76" s="112"/>
      <c r="DD76" s="112"/>
      <c r="DE76" s="112"/>
      <c r="DF76" s="112"/>
      <c r="DG76" s="112"/>
      <c r="DH76" s="112"/>
      <c r="DI76" s="112"/>
      <c r="DJ76" s="112"/>
      <c r="DK76" s="112"/>
      <c r="DL76" s="112"/>
      <c r="DM76" s="112"/>
      <c r="DN76" s="112"/>
      <c r="DO76" s="112"/>
      <c r="DP76" s="112"/>
      <c r="DQ76" s="112"/>
      <c r="DR76" s="112"/>
      <c r="DS76" s="112"/>
      <c r="DT76" s="112"/>
    </row>
    <row r="77" spans="2:124" ht="15.75" customHeight="1">
      <c r="B77" s="395"/>
      <c r="C77" s="411"/>
      <c r="D77" s="1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395"/>
      <c r="Z77" s="112"/>
      <c r="AA77" s="112"/>
      <c r="AB77" s="112"/>
      <c r="AC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2"/>
      <c r="BE77" s="112"/>
      <c r="BF77" s="112"/>
      <c r="BG77" s="112"/>
      <c r="BH77" s="112"/>
      <c r="BI77" s="112"/>
      <c r="BJ77" s="112"/>
      <c r="BK77" s="112"/>
      <c r="BL77" s="112"/>
      <c r="BM77" s="112"/>
      <c r="BN77" s="112"/>
      <c r="BO77" s="112"/>
      <c r="BP77" s="112"/>
      <c r="BQ77" s="112"/>
      <c r="BR77" s="112"/>
      <c r="BS77" s="112"/>
      <c r="BT77" s="112"/>
      <c r="BU77" s="112"/>
      <c r="BV77" s="112"/>
      <c r="BW77" s="112"/>
      <c r="BX77" s="112"/>
      <c r="BY77" s="112"/>
      <c r="BZ77" s="112"/>
      <c r="CA77" s="112"/>
      <c r="CB77" s="112"/>
      <c r="CC77" s="112"/>
      <c r="CD77" s="112"/>
      <c r="CE77" s="112"/>
      <c r="CF77" s="112"/>
      <c r="CG77" s="112"/>
      <c r="CH77" s="112"/>
      <c r="CI77" s="112"/>
      <c r="CJ77" s="112"/>
      <c r="CK77" s="112"/>
      <c r="CL77" s="112"/>
      <c r="CM77" s="112"/>
      <c r="CN77" s="112"/>
      <c r="CO77" s="112"/>
      <c r="CP77" s="112"/>
      <c r="CQ77" s="112"/>
      <c r="CR77" s="112"/>
      <c r="CS77" s="112"/>
      <c r="CT77" s="112"/>
      <c r="CU77" s="112"/>
      <c r="CV77" s="112"/>
      <c r="CW77" s="112"/>
      <c r="CX77" s="112"/>
      <c r="CY77" s="112"/>
      <c r="CZ77" s="112"/>
      <c r="DA77" s="112"/>
      <c r="DB77" s="112"/>
      <c r="DC77" s="112"/>
      <c r="DD77" s="112"/>
      <c r="DE77" s="112"/>
      <c r="DF77" s="112"/>
      <c r="DG77" s="112"/>
      <c r="DH77" s="112"/>
      <c r="DI77" s="112"/>
      <c r="DJ77" s="112"/>
      <c r="DK77" s="112"/>
      <c r="DL77" s="112"/>
      <c r="DM77" s="112"/>
      <c r="DN77" s="112"/>
      <c r="DO77" s="112"/>
      <c r="DP77" s="112"/>
      <c r="DQ77" s="112"/>
      <c r="DR77" s="112"/>
      <c r="DS77" s="112"/>
      <c r="DT77" s="112"/>
    </row>
    <row r="78" spans="2:124" ht="15.75" customHeight="1">
      <c r="B78" s="395"/>
      <c r="C78" s="411"/>
      <c r="D78" s="1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395"/>
      <c r="Z78" s="112"/>
      <c r="AA78" s="112"/>
      <c r="AB78" s="112"/>
      <c r="AC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2"/>
      <c r="BE78" s="112"/>
      <c r="BF78" s="112"/>
      <c r="BG78" s="112"/>
      <c r="BH78" s="112"/>
      <c r="BI78" s="112"/>
      <c r="BJ78" s="112"/>
      <c r="BK78" s="112"/>
      <c r="BL78" s="112"/>
      <c r="BM78" s="112"/>
      <c r="BN78" s="112"/>
      <c r="BO78" s="112"/>
      <c r="BP78" s="112"/>
      <c r="BQ78" s="112"/>
      <c r="BR78" s="112"/>
      <c r="BS78" s="112"/>
      <c r="BT78" s="112"/>
      <c r="BU78" s="112"/>
      <c r="BV78" s="112"/>
      <c r="BW78" s="112"/>
      <c r="BX78" s="112"/>
      <c r="BY78" s="112"/>
      <c r="BZ78" s="112"/>
      <c r="CA78" s="112"/>
      <c r="CB78" s="112"/>
      <c r="CC78" s="112"/>
      <c r="CD78" s="112"/>
      <c r="CE78" s="112"/>
      <c r="CF78" s="112"/>
      <c r="CG78" s="112"/>
      <c r="CH78" s="112"/>
      <c r="CI78" s="112"/>
      <c r="CJ78" s="112"/>
      <c r="CK78" s="112"/>
      <c r="CL78" s="112"/>
      <c r="CM78" s="112"/>
      <c r="CN78" s="112"/>
      <c r="CO78" s="112"/>
      <c r="CP78" s="112"/>
      <c r="CQ78" s="112"/>
      <c r="CR78" s="112"/>
      <c r="CS78" s="112"/>
      <c r="CT78" s="112"/>
      <c r="CU78" s="112"/>
      <c r="CV78" s="112"/>
      <c r="CW78" s="112"/>
      <c r="CX78" s="112"/>
      <c r="CY78" s="112"/>
      <c r="CZ78" s="112"/>
      <c r="DA78" s="112"/>
      <c r="DB78" s="112"/>
      <c r="DC78" s="112"/>
      <c r="DD78" s="112"/>
      <c r="DE78" s="112"/>
      <c r="DF78" s="112"/>
      <c r="DG78" s="112"/>
      <c r="DH78" s="112"/>
      <c r="DI78" s="112"/>
      <c r="DJ78" s="112"/>
      <c r="DK78" s="112"/>
      <c r="DL78" s="112"/>
      <c r="DM78" s="112"/>
      <c r="DN78" s="112"/>
      <c r="DO78" s="112"/>
      <c r="DP78" s="112"/>
      <c r="DQ78" s="112"/>
      <c r="DR78" s="112"/>
      <c r="DS78" s="112"/>
      <c r="DT78" s="112"/>
    </row>
    <row r="79" spans="2:124" ht="15.75" customHeight="1">
      <c r="B79" s="395"/>
      <c r="C79" s="411"/>
      <c r="D79" s="1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395"/>
      <c r="Z79" s="112"/>
      <c r="AA79" s="112"/>
      <c r="AB79" s="112"/>
      <c r="AC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2"/>
      <c r="BE79" s="112"/>
      <c r="BF79" s="112"/>
      <c r="BG79" s="112"/>
      <c r="BH79" s="112"/>
      <c r="BI79" s="112"/>
      <c r="BJ79" s="112"/>
      <c r="BK79" s="112"/>
      <c r="BL79" s="112"/>
      <c r="BM79" s="112"/>
      <c r="BN79" s="112"/>
      <c r="BO79" s="112"/>
      <c r="BP79" s="112"/>
      <c r="BQ79" s="112"/>
      <c r="BR79" s="112"/>
      <c r="BS79" s="112"/>
      <c r="BT79" s="112"/>
      <c r="BU79" s="112"/>
      <c r="BV79" s="112"/>
      <c r="BW79" s="112"/>
      <c r="BX79" s="112"/>
      <c r="BY79" s="112"/>
      <c r="BZ79" s="112"/>
      <c r="CA79" s="112"/>
      <c r="CB79" s="112"/>
      <c r="CC79" s="112"/>
      <c r="CD79" s="112"/>
      <c r="CE79" s="112"/>
      <c r="CF79" s="112"/>
      <c r="CG79" s="112"/>
      <c r="CH79" s="112"/>
      <c r="CI79" s="112"/>
      <c r="CJ79" s="112"/>
      <c r="CK79" s="112"/>
      <c r="CL79" s="112"/>
      <c r="CM79" s="112"/>
      <c r="CN79" s="112"/>
      <c r="CO79" s="112"/>
      <c r="CP79" s="112"/>
      <c r="CQ79" s="112"/>
      <c r="CR79" s="112"/>
      <c r="CS79" s="112"/>
      <c r="CT79" s="112"/>
      <c r="CU79" s="112"/>
      <c r="CV79" s="112"/>
      <c r="CW79" s="112"/>
      <c r="CX79" s="112"/>
      <c r="CY79" s="112"/>
      <c r="CZ79" s="112"/>
      <c r="DA79" s="112"/>
      <c r="DB79" s="112"/>
      <c r="DC79" s="112"/>
      <c r="DD79" s="112"/>
      <c r="DE79" s="112"/>
      <c r="DF79" s="112"/>
      <c r="DG79" s="112"/>
      <c r="DH79" s="112"/>
      <c r="DI79" s="112"/>
      <c r="DJ79" s="112"/>
      <c r="DK79" s="112"/>
      <c r="DL79" s="112"/>
      <c r="DM79" s="112"/>
      <c r="DN79" s="112"/>
      <c r="DO79" s="112"/>
      <c r="DP79" s="112"/>
      <c r="DQ79" s="112"/>
      <c r="DR79" s="112"/>
      <c r="DS79" s="112"/>
      <c r="DT79" s="112"/>
    </row>
    <row r="80" spans="2:124" ht="15.75" customHeight="1">
      <c r="B80" s="395"/>
      <c r="C80" s="411"/>
      <c r="D80" s="1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395"/>
      <c r="Z80" s="112"/>
      <c r="AA80" s="112"/>
      <c r="AB80" s="112"/>
      <c r="AC80" s="112"/>
      <c r="AF80" s="112"/>
      <c r="AG80" s="112"/>
      <c r="AH80" s="112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2"/>
      <c r="BE80" s="112"/>
      <c r="BF80" s="112"/>
      <c r="BG80" s="112"/>
      <c r="BH80" s="112"/>
      <c r="BI80" s="112"/>
      <c r="BJ80" s="112"/>
      <c r="BK80" s="112"/>
      <c r="BL80" s="112"/>
      <c r="BM80" s="112"/>
      <c r="BN80" s="112"/>
      <c r="BO80" s="112"/>
      <c r="BP80" s="112"/>
      <c r="BQ80" s="112"/>
      <c r="BR80" s="112"/>
      <c r="BS80" s="112"/>
      <c r="BT80" s="112"/>
      <c r="BU80" s="112"/>
      <c r="BV80" s="112"/>
      <c r="BW80" s="112"/>
      <c r="BX80" s="112"/>
      <c r="BY80" s="112"/>
      <c r="BZ80" s="112"/>
      <c r="CA80" s="112"/>
      <c r="CB80" s="112"/>
      <c r="CC80" s="112"/>
      <c r="CD80" s="112"/>
      <c r="CE80" s="112"/>
      <c r="CF80" s="112"/>
      <c r="CG80" s="112"/>
      <c r="CH80" s="112"/>
      <c r="CI80" s="112"/>
      <c r="CJ80" s="112"/>
      <c r="CK80" s="112"/>
      <c r="CL80" s="112"/>
      <c r="CM80" s="112"/>
      <c r="CN80" s="112"/>
      <c r="CO80" s="112"/>
      <c r="CP80" s="112"/>
      <c r="CQ80" s="112"/>
      <c r="CR80" s="112"/>
      <c r="CS80" s="112"/>
      <c r="CT80" s="112"/>
      <c r="CU80" s="112"/>
      <c r="CV80" s="112"/>
      <c r="CW80" s="112"/>
      <c r="CX80" s="112"/>
      <c r="CY80" s="112"/>
      <c r="CZ80" s="112"/>
      <c r="DA80" s="112"/>
      <c r="DB80" s="112"/>
      <c r="DC80" s="112"/>
      <c r="DD80" s="112"/>
      <c r="DE80" s="112"/>
      <c r="DF80" s="112"/>
      <c r="DG80" s="112"/>
      <c r="DH80" s="112"/>
      <c r="DI80" s="112"/>
      <c r="DJ80" s="112"/>
      <c r="DK80" s="112"/>
      <c r="DL80" s="112"/>
      <c r="DM80" s="112"/>
      <c r="DN80" s="112"/>
      <c r="DO80" s="112"/>
      <c r="DP80" s="112"/>
      <c r="DQ80" s="112"/>
      <c r="DR80" s="112"/>
      <c r="DS80" s="112"/>
      <c r="DT80" s="112"/>
    </row>
    <row r="81" spans="2:124" ht="15.75" customHeight="1">
      <c r="B81" s="395"/>
      <c r="C81" s="411"/>
      <c r="D81" s="1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395"/>
      <c r="Z81" s="112"/>
      <c r="AA81" s="112"/>
      <c r="AB81" s="112"/>
      <c r="AC81" s="112"/>
      <c r="AF81" s="112"/>
      <c r="AG81" s="112"/>
      <c r="AH81" s="112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2"/>
      <c r="BE81" s="112"/>
      <c r="BF81" s="112"/>
      <c r="BG81" s="112"/>
      <c r="BH81" s="112"/>
      <c r="BI81" s="112"/>
      <c r="BJ81" s="112"/>
      <c r="BK81" s="112"/>
      <c r="BL81" s="112"/>
      <c r="BM81" s="112"/>
      <c r="BN81" s="112"/>
      <c r="BO81" s="112"/>
      <c r="BP81" s="112"/>
      <c r="BQ81" s="112"/>
      <c r="BR81" s="112"/>
      <c r="BS81" s="112"/>
      <c r="BT81" s="112"/>
      <c r="BU81" s="112"/>
      <c r="BV81" s="112"/>
      <c r="BW81" s="112"/>
      <c r="BX81" s="112"/>
      <c r="BY81" s="112"/>
      <c r="BZ81" s="112"/>
      <c r="CA81" s="112"/>
      <c r="CB81" s="112"/>
      <c r="CC81" s="112"/>
      <c r="CD81" s="112"/>
      <c r="CE81" s="112"/>
      <c r="CF81" s="112"/>
      <c r="CG81" s="112"/>
      <c r="CH81" s="112"/>
      <c r="CI81" s="112"/>
      <c r="CJ81" s="112"/>
      <c r="CK81" s="112"/>
      <c r="CL81" s="112"/>
      <c r="CM81" s="112"/>
      <c r="CN81" s="112"/>
      <c r="CO81" s="112"/>
      <c r="CP81" s="112"/>
      <c r="CQ81" s="112"/>
      <c r="CR81" s="112"/>
      <c r="CS81" s="112"/>
      <c r="CT81" s="112"/>
      <c r="CU81" s="112"/>
      <c r="CV81" s="112"/>
      <c r="CW81" s="112"/>
      <c r="CX81" s="112"/>
      <c r="CY81" s="112"/>
      <c r="CZ81" s="112"/>
      <c r="DA81" s="112"/>
      <c r="DB81" s="112"/>
      <c r="DC81" s="112"/>
      <c r="DD81" s="112"/>
      <c r="DE81" s="112"/>
      <c r="DF81" s="112"/>
      <c r="DG81" s="112"/>
      <c r="DH81" s="112"/>
      <c r="DI81" s="112"/>
      <c r="DJ81" s="112"/>
      <c r="DK81" s="112"/>
      <c r="DL81" s="112"/>
      <c r="DM81" s="112"/>
      <c r="DN81" s="112"/>
      <c r="DO81" s="112"/>
      <c r="DP81" s="112"/>
      <c r="DQ81" s="112"/>
      <c r="DR81" s="112"/>
      <c r="DS81" s="112"/>
      <c r="DT81" s="112"/>
    </row>
    <row r="82" spans="2:124" ht="15.75" customHeight="1">
      <c r="B82" s="395"/>
      <c r="C82" s="411"/>
      <c r="D82" s="1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395"/>
      <c r="Z82" s="112"/>
      <c r="AA82" s="112"/>
      <c r="AB82" s="112"/>
      <c r="AC82" s="112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2"/>
      <c r="BE82" s="112"/>
      <c r="BF82" s="112"/>
      <c r="BG82" s="112"/>
      <c r="BH82" s="112"/>
      <c r="BI82" s="112"/>
      <c r="BJ82" s="112"/>
      <c r="BK82" s="112"/>
      <c r="BL82" s="112"/>
      <c r="BM82" s="112"/>
      <c r="BN82" s="112"/>
      <c r="BO82" s="112"/>
      <c r="BP82" s="112"/>
      <c r="BQ82" s="112"/>
      <c r="BR82" s="112"/>
      <c r="BS82" s="112"/>
      <c r="BT82" s="112"/>
      <c r="BU82" s="112"/>
      <c r="BV82" s="112"/>
      <c r="BW82" s="112"/>
      <c r="BX82" s="112"/>
      <c r="BY82" s="112"/>
      <c r="BZ82" s="112"/>
      <c r="CA82" s="112"/>
      <c r="CB82" s="112"/>
      <c r="CC82" s="112"/>
      <c r="CD82" s="112"/>
      <c r="CE82" s="112"/>
      <c r="CF82" s="112"/>
      <c r="CG82" s="112"/>
      <c r="CH82" s="112"/>
      <c r="CI82" s="112"/>
      <c r="CJ82" s="112"/>
      <c r="CK82" s="112"/>
      <c r="CL82" s="112"/>
      <c r="CM82" s="112"/>
      <c r="CN82" s="112"/>
      <c r="CO82" s="112"/>
      <c r="CP82" s="112"/>
      <c r="CQ82" s="112"/>
      <c r="CR82" s="112"/>
      <c r="CS82" s="112"/>
      <c r="CT82" s="112"/>
      <c r="CU82" s="112"/>
      <c r="CV82" s="112"/>
      <c r="CW82" s="112"/>
      <c r="CX82" s="112"/>
      <c r="CY82" s="112"/>
      <c r="CZ82" s="112"/>
      <c r="DA82" s="112"/>
      <c r="DB82" s="112"/>
      <c r="DC82" s="112"/>
      <c r="DD82" s="112"/>
      <c r="DE82" s="112"/>
      <c r="DF82" s="112"/>
      <c r="DG82" s="112"/>
      <c r="DH82" s="112"/>
      <c r="DI82" s="112"/>
      <c r="DJ82" s="112"/>
      <c r="DK82" s="112"/>
      <c r="DL82" s="112"/>
      <c r="DM82" s="112"/>
      <c r="DN82" s="112"/>
      <c r="DO82" s="112"/>
      <c r="DP82" s="112"/>
      <c r="DQ82" s="112"/>
      <c r="DR82" s="112"/>
      <c r="DS82" s="112"/>
      <c r="DT82" s="112"/>
    </row>
    <row r="83" spans="2:124" ht="15.75" customHeight="1">
      <c r="B83" s="395"/>
      <c r="C83" s="411"/>
      <c r="D83" s="1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395"/>
      <c r="Z83" s="112"/>
      <c r="AA83" s="112"/>
      <c r="AB83" s="112"/>
      <c r="AC83" s="112"/>
      <c r="AF83" s="112"/>
      <c r="AG83" s="112"/>
      <c r="AH83" s="112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2"/>
      <c r="BE83" s="112"/>
      <c r="BF83" s="112"/>
      <c r="BG83" s="112"/>
      <c r="BH83" s="112"/>
      <c r="BI83" s="112"/>
      <c r="BJ83" s="112"/>
      <c r="BK83" s="112"/>
      <c r="BL83" s="112"/>
      <c r="BM83" s="112"/>
      <c r="BN83" s="112"/>
      <c r="BO83" s="112"/>
      <c r="BP83" s="112"/>
      <c r="BQ83" s="112"/>
      <c r="BR83" s="112"/>
      <c r="BS83" s="112"/>
      <c r="BT83" s="112"/>
      <c r="BU83" s="112"/>
      <c r="BV83" s="112"/>
      <c r="BW83" s="112"/>
      <c r="BX83" s="112"/>
      <c r="BY83" s="112"/>
      <c r="BZ83" s="112"/>
      <c r="CA83" s="112"/>
      <c r="CB83" s="112"/>
      <c r="CC83" s="112"/>
      <c r="CD83" s="112"/>
      <c r="CE83" s="112"/>
      <c r="CF83" s="112"/>
      <c r="CG83" s="112"/>
      <c r="CH83" s="112"/>
      <c r="CI83" s="112"/>
      <c r="CJ83" s="112"/>
      <c r="CK83" s="112"/>
      <c r="CL83" s="112"/>
      <c r="CM83" s="112"/>
      <c r="CN83" s="112"/>
      <c r="CO83" s="112"/>
      <c r="CP83" s="112"/>
      <c r="CQ83" s="112"/>
      <c r="CR83" s="112"/>
      <c r="CS83" s="112"/>
      <c r="CT83" s="112"/>
      <c r="CU83" s="112"/>
      <c r="CV83" s="112"/>
      <c r="CW83" s="112"/>
      <c r="CX83" s="112"/>
      <c r="CY83" s="112"/>
      <c r="CZ83" s="112"/>
      <c r="DA83" s="112"/>
      <c r="DB83" s="112"/>
      <c r="DC83" s="112"/>
      <c r="DD83" s="112"/>
      <c r="DE83" s="112"/>
      <c r="DF83" s="112"/>
      <c r="DG83" s="112"/>
      <c r="DH83" s="112"/>
      <c r="DI83" s="112"/>
      <c r="DJ83" s="112"/>
      <c r="DK83" s="112"/>
      <c r="DL83" s="112"/>
      <c r="DM83" s="112"/>
      <c r="DN83" s="112"/>
      <c r="DO83" s="112"/>
      <c r="DP83" s="112"/>
      <c r="DQ83" s="112"/>
      <c r="DR83" s="112"/>
      <c r="DS83" s="112"/>
      <c r="DT83" s="112"/>
    </row>
    <row r="84" spans="2:124" ht="15.75" customHeight="1">
      <c r="B84" s="395"/>
      <c r="C84" s="411"/>
      <c r="D84" s="1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395"/>
      <c r="Z84" s="112"/>
      <c r="AA84" s="112"/>
      <c r="AB84" s="112"/>
      <c r="AC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2"/>
      <c r="BE84" s="112"/>
      <c r="BF84" s="112"/>
      <c r="BG84" s="112"/>
      <c r="BH84" s="112"/>
      <c r="BI84" s="112"/>
      <c r="BJ84" s="112"/>
      <c r="BK84" s="112"/>
      <c r="BL84" s="112"/>
      <c r="BM84" s="112"/>
      <c r="BN84" s="112"/>
      <c r="BO84" s="112"/>
      <c r="BP84" s="112"/>
      <c r="BQ84" s="112"/>
      <c r="BR84" s="112"/>
      <c r="BS84" s="112"/>
      <c r="BT84" s="112"/>
      <c r="BU84" s="112"/>
      <c r="BV84" s="112"/>
      <c r="BW84" s="112"/>
      <c r="BX84" s="112"/>
      <c r="BY84" s="112"/>
      <c r="BZ84" s="112"/>
      <c r="CA84" s="112"/>
      <c r="CB84" s="112"/>
      <c r="CC84" s="112"/>
      <c r="CD84" s="112"/>
      <c r="CE84" s="112"/>
      <c r="CF84" s="112"/>
      <c r="CG84" s="112"/>
      <c r="CH84" s="112"/>
      <c r="CI84" s="112"/>
      <c r="CJ84" s="112"/>
      <c r="CK84" s="112"/>
      <c r="CL84" s="112"/>
      <c r="CM84" s="112"/>
      <c r="CN84" s="112"/>
      <c r="CO84" s="112"/>
      <c r="CP84" s="112"/>
      <c r="CQ84" s="112"/>
      <c r="CR84" s="112"/>
      <c r="CS84" s="112"/>
      <c r="CT84" s="112"/>
      <c r="CU84" s="112"/>
      <c r="CV84" s="112"/>
      <c r="CW84" s="112"/>
      <c r="CX84" s="112"/>
      <c r="CY84" s="112"/>
      <c r="CZ84" s="112"/>
      <c r="DA84" s="112"/>
      <c r="DB84" s="112"/>
      <c r="DC84" s="112"/>
      <c r="DD84" s="112"/>
      <c r="DE84" s="112"/>
      <c r="DF84" s="112"/>
      <c r="DG84" s="112"/>
      <c r="DH84" s="112"/>
      <c r="DI84" s="112"/>
      <c r="DJ84" s="112"/>
      <c r="DK84" s="112"/>
      <c r="DL84" s="112"/>
      <c r="DM84" s="112"/>
      <c r="DN84" s="112"/>
      <c r="DO84" s="112"/>
      <c r="DP84" s="112"/>
      <c r="DQ84" s="112"/>
      <c r="DR84" s="112"/>
      <c r="DS84" s="112"/>
      <c r="DT84" s="112"/>
    </row>
    <row r="85" spans="2:124" ht="15.75" customHeight="1">
      <c r="B85" s="395"/>
      <c r="C85" s="411"/>
      <c r="D85" s="1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395"/>
      <c r="Z85" s="112"/>
      <c r="AA85" s="112"/>
      <c r="AB85" s="112"/>
      <c r="AC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2"/>
      <c r="BE85" s="112"/>
      <c r="BF85" s="112"/>
      <c r="BG85" s="112"/>
      <c r="BH85" s="112"/>
      <c r="BI85" s="112"/>
      <c r="BJ85" s="112"/>
      <c r="BK85" s="112"/>
      <c r="BL85" s="112"/>
      <c r="BM85" s="112"/>
      <c r="BN85" s="112"/>
      <c r="BO85" s="112"/>
      <c r="BP85" s="112"/>
      <c r="BQ85" s="112"/>
      <c r="BR85" s="112"/>
      <c r="BS85" s="112"/>
      <c r="BT85" s="112"/>
      <c r="BU85" s="112"/>
      <c r="BV85" s="112"/>
      <c r="BW85" s="112"/>
      <c r="BX85" s="112"/>
      <c r="BY85" s="112"/>
      <c r="BZ85" s="112"/>
      <c r="CA85" s="112"/>
      <c r="CB85" s="112"/>
      <c r="CC85" s="112"/>
      <c r="CD85" s="112"/>
      <c r="CE85" s="112"/>
      <c r="CF85" s="112"/>
      <c r="CG85" s="112"/>
      <c r="CH85" s="112"/>
      <c r="CI85" s="112"/>
      <c r="CJ85" s="112"/>
      <c r="CK85" s="112"/>
      <c r="CL85" s="112"/>
      <c r="CM85" s="112"/>
      <c r="CN85" s="112"/>
      <c r="CO85" s="112"/>
      <c r="CP85" s="112"/>
      <c r="CQ85" s="112"/>
      <c r="CR85" s="112"/>
      <c r="CS85" s="112"/>
      <c r="CT85" s="112"/>
      <c r="CU85" s="112"/>
      <c r="CV85" s="112"/>
      <c r="CW85" s="112"/>
      <c r="CX85" s="112"/>
      <c r="CY85" s="112"/>
      <c r="CZ85" s="112"/>
      <c r="DA85" s="112"/>
      <c r="DB85" s="112"/>
      <c r="DC85" s="112"/>
      <c r="DD85" s="112"/>
      <c r="DE85" s="112"/>
      <c r="DF85" s="112"/>
      <c r="DG85" s="112"/>
      <c r="DH85" s="112"/>
      <c r="DI85" s="112"/>
      <c r="DJ85" s="112"/>
      <c r="DK85" s="112"/>
      <c r="DL85" s="112"/>
      <c r="DM85" s="112"/>
      <c r="DN85" s="112"/>
      <c r="DO85" s="112"/>
      <c r="DP85" s="112"/>
      <c r="DQ85" s="112"/>
      <c r="DR85" s="112"/>
      <c r="DS85" s="112"/>
      <c r="DT85" s="112"/>
    </row>
    <row r="86" spans="2:124" ht="15.75" customHeight="1">
      <c r="B86" s="395"/>
      <c r="C86" s="411"/>
      <c r="D86" s="1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395"/>
      <c r="Z86" s="112"/>
      <c r="AA86" s="112"/>
      <c r="AB86" s="112"/>
      <c r="AC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2"/>
      <c r="BE86" s="112"/>
      <c r="BF86" s="112"/>
      <c r="BG86" s="112"/>
      <c r="BH86" s="112"/>
      <c r="BI86" s="112"/>
      <c r="BJ86" s="112"/>
      <c r="BK86" s="112"/>
      <c r="BL86" s="112"/>
      <c r="BM86" s="112"/>
      <c r="BN86" s="112"/>
      <c r="BO86" s="112"/>
      <c r="BP86" s="112"/>
      <c r="BQ86" s="112"/>
      <c r="BR86" s="112"/>
      <c r="BS86" s="112"/>
      <c r="BT86" s="112"/>
      <c r="BU86" s="112"/>
      <c r="BV86" s="112"/>
      <c r="BW86" s="112"/>
      <c r="BX86" s="112"/>
      <c r="BY86" s="112"/>
      <c r="BZ86" s="112"/>
      <c r="CA86" s="112"/>
      <c r="CB86" s="112"/>
      <c r="CC86" s="112"/>
      <c r="CD86" s="112"/>
      <c r="CE86" s="112"/>
      <c r="CF86" s="112"/>
      <c r="CG86" s="112"/>
      <c r="CH86" s="112"/>
      <c r="CI86" s="112"/>
      <c r="CJ86" s="112"/>
      <c r="CK86" s="112"/>
      <c r="CL86" s="112"/>
      <c r="CM86" s="112"/>
      <c r="CN86" s="112"/>
      <c r="CO86" s="112"/>
      <c r="CP86" s="112"/>
      <c r="CQ86" s="112"/>
      <c r="CR86" s="112"/>
      <c r="CS86" s="112"/>
      <c r="CT86" s="112"/>
      <c r="CU86" s="112"/>
      <c r="CV86" s="112"/>
      <c r="CW86" s="112"/>
      <c r="CX86" s="112"/>
      <c r="CY86" s="112"/>
      <c r="CZ86" s="112"/>
      <c r="DA86" s="112"/>
      <c r="DB86" s="112"/>
      <c r="DC86" s="112"/>
      <c r="DD86" s="112"/>
      <c r="DE86" s="112"/>
      <c r="DF86" s="112"/>
      <c r="DG86" s="112"/>
      <c r="DH86" s="112"/>
      <c r="DI86" s="112"/>
      <c r="DJ86" s="112"/>
      <c r="DK86" s="112"/>
      <c r="DL86" s="112"/>
      <c r="DM86" s="112"/>
      <c r="DN86" s="112"/>
      <c r="DO86" s="112"/>
      <c r="DP86" s="112"/>
      <c r="DQ86" s="112"/>
      <c r="DR86" s="112"/>
      <c r="DS86" s="112"/>
      <c r="DT86" s="112"/>
    </row>
    <row r="87" spans="2:124" ht="15.75" customHeight="1">
      <c r="B87" s="395"/>
      <c r="C87" s="411"/>
      <c r="D87" s="1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395"/>
      <c r="Z87" s="112"/>
      <c r="AA87" s="112"/>
      <c r="AB87" s="112"/>
      <c r="AC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2"/>
      <c r="BE87" s="112"/>
      <c r="BF87" s="112"/>
      <c r="BG87" s="112"/>
      <c r="BH87" s="112"/>
      <c r="BI87" s="112"/>
      <c r="BJ87" s="112"/>
      <c r="BK87" s="112"/>
      <c r="BL87" s="112"/>
      <c r="BM87" s="112"/>
      <c r="BN87" s="112"/>
      <c r="BO87" s="112"/>
      <c r="BP87" s="112"/>
      <c r="BQ87" s="112"/>
      <c r="BR87" s="112"/>
      <c r="BS87" s="112"/>
      <c r="BT87" s="112"/>
      <c r="BU87" s="112"/>
      <c r="BV87" s="112"/>
      <c r="BW87" s="112"/>
      <c r="BX87" s="112"/>
      <c r="BY87" s="112"/>
      <c r="BZ87" s="112"/>
      <c r="CA87" s="112"/>
      <c r="CB87" s="112"/>
      <c r="CC87" s="112"/>
      <c r="CD87" s="112"/>
      <c r="CE87" s="112"/>
      <c r="CF87" s="112"/>
      <c r="CG87" s="112"/>
      <c r="CH87" s="112"/>
      <c r="CI87" s="112"/>
      <c r="CJ87" s="112"/>
      <c r="CK87" s="112"/>
      <c r="CL87" s="112"/>
      <c r="CM87" s="112"/>
      <c r="CN87" s="112"/>
      <c r="CO87" s="112"/>
      <c r="CP87" s="112"/>
      <c r="CQ87" s="112"/>
      <c r="CR87" s="112"/>
      <c r="CS87" s="112"/>
      <c r="CT87" s="112"/>
      <c r="CU87" s="112"/>
      <c r="CV87" s="112"/>
      <c r="CW87" s="112"/>
      <c r="CX87" s="112"/>
      <c r="CY87" s="112"/>
      <c r="CZ87" s="112"/>
      <c r="DA87" s="112"/>
      <c r="DB87" s="112"/>
      <c r="DC87" s="112"/>
      <c r="DD87" s="112"/>
      <c r="DE87" s="112"/>
      <c r="DF87" s="112"/>
      <c r="DG87" s="112"/>
      <c r="DH87" s="112"/>
      <c r="DI87" s="112"/>
      <c r="DJ87" s="112"/>
      <c r="DK87" s="112"/>
      <c r="DL87" s="112"/>
      <c r="DM87" s="112"/>
      <c r="DN87" s="112"/>
      <c r="DO87" s="112"/>
      <c r="DP87" s="112"/>
      <c r="DQ87" s="112"/>
      <c r="DR87" s="112"/>
      <c r="DS87" s="112"/>
      <c r="DT87" s="112"/>
    </row>
    <row r="88" spans="2:124" ht="15.75" customHeight="1">
      <c r="B88" s="395"/>
      <c r="C88" s="411"/>
      <c r="D88" s="1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395"/>
      <c r="Z88" s="112"/>
      <c r="AA88" s="112"/>
      <c r="AB88" s="112"/>
      <c r="AC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2"/>
      <c r="BE88" s="112"/>
      <c r="BF88" s="112"/>
      <c r="BG88" s="112"/>
      <c r="BH88" s="112"/>
      <c r="BI88" s="112"/>
      <c r="BJ88" s="112"/>
      <c r="BK88" s="112"/>
      <c r="BL88" s="112"/>
      <c r="BM88" s="112"/>
      <c r="BN88" s="112"/>
      <c r="BO88" s="112"/>
      <c r="BP88" s="112"/>
      <c r="BQ88" s="112"/>
      <c r="BR88" s="112"/>
      <c r="BS88" s="112"/>
      <c r="BT88" s="112"/>
      <c r="BU88" s="112"/>
      <c r="BV88" s="112"/>
      <c r="BW88" s="112"/>
      <c r="BX88" s="112"/>
      <c r="BY88" s="112"/>
      <c r="BZ88" s="112"/>
      <c r="CA88" s="112"/>
      <c r="CB88" s="112"/>
      <c r="CC88" s="112"/>
      <c r="CD88" s="112"/>
      <c r="CE88" s="112"/>
      <c r="CF88" s="112"/>
      <c r="CG88" s="112"/>
      <c r="CH88" s="112"/>
      <c r="CI88" s="112"/>
      <c r="CJ88" s="112"/>
      <c r="CK88" s="112"/>
      <c r="CL88" s="112"/>
      <c r="CM88" s="112"/>
      <c r="CN88" s="112"/>
      <c r="CO88" s="112"/>
      <c r="CP88" s="112"/>
      <c r="CQ88" s="112"/>
      <c r="CR88" s="112"/>
      <c r="CS88" s="112"/>
      <c r="CT88" s="112"/>
      <c r="CU88" s="112"/>
      <c r="CV88" s="112"/>
      <c r="CW88" s="112"/>
      <c r="CX88" s="112"/>
      <c r="CY88" s="112"/>
      <c r="CZ88" s="112"/>
      <c r="DA88" s="112"/>
      <c r="DB88" s="112"/>
      <c r="DC88" s="112"/>
      <c r="DD88" s="112"/>
      <c r="DE88" s="112"/>
      <c r="DF88" s="112"/>
      <c r="DG88" s="112"/>
      <c r="DH88" s="112"/>
      <c r="DI88" s="112"/>
      <c r="DJ88" s="112"/>
      <c r="DK88" s="112"/>
      <c r="DL88" s="112"/>
      <c r="DM88" s="112"/>
      <c r="DN88" s="112"/>
      <c r="DO88" s="112"/>
      <c r="DP88" s="112"/>
      <c r="DQ88" s="112"/>
      <c r="DR88" s="112"/>
      <c r="DS88" s="112"/>
      <c r="DT88" s="112"/>
    </row>
    <row r="89" spans="2:124" ht="15.75" customHeight="1">
      <c r="B89" s="395"/>
      <c r="C89" s="411"/>
      <c r="D89" s="1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395"/>
      <c r="Z89" s="112"/>
      <c r="AA89" s="112"/>
      <c r="AB89" s="112"/>
      <c r="AC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2"/>
      <c r="BE89" s="112"/>
      <c r="BF89" s="112"/>
      <c r="BG89" s="112"/>
      <c r="BH89" s="112"/>
      <c r="BI89" s="112"/>
      <c r="BJ89" s="112"/>
      <c r="BK89" s="112"/>
      <c r="BL89" s="112"/>
      <c r="BM89" s="112"/>
      <c r="BN89" s="112"/>
      <c r="BO89" s="112"/>
      <c r="BP89" s="112"/>
      <c r="BQ89" s="112"/>
      <c r="BR89" s="112"/>
      <c r="BS89" s="112"/>
      <c r="BT89" s="112"/>
      <c r="BU89" s="112"/>
      <c r="BV89" s="112"/>
      <c r="BW89" s="112"/>
      <c r="BX89" s="112"/>
      <c r="BY89" s="112"/>
      <c r="BZ89" s="112"/>
      <c r="CA89" s="112"/>
      <c r="CB89" s="112"/>
      <c r="CC89" s="112"/>
      <c r="CD89" s="112"/>
      <c r="CE89" s="112"/>
      <c r="CF89" s="112"/>
      <c r="CG89" s="112"/>
      <c r="CH89" s="112"/>
      <c r="CI89" s="112"/>
      <c r="CJ89" s="112"/>
      <c r="CK89" s="112"/>
      <c r="CL89" s="112"/>
      <c r="CM89" s="112"/>
      <c r="CN89" s="112"/>
      <c r="CO89" s="112"/>
      <c r="CP89" s="112"/>
      <c r="CQ89" s="112"/>
      <c r="CR89" s="112"/>
      <c r="CS89" s="112"/>
      <c r="CT89" s="112"/>
      <c r="CU89" s="112"/>
      <c r="CV89" s="112"/>
      <c r="CW89" s="112"/>
      <c r="CX89" s="112"/>
      <c r="CY89" s="112"/>
      <c r="CZ89" s="112"/>
      <c r="DA89" s="112"/>
      <c r="DB89" s="112"/>
      <c r="DC89" s="112"/>
      <c r="DD89" s="112"/>
      <c r="DE89" s="112"/>
      <c r="DF89" s="112"/>
      <c r="DG89" s="112"/>
      <c r="DH89" s="112"/>
      <c r="DI89" s="112"/>
      <c r="DJ89" s="112"/>
      <c r="DK89" s="112"/>
      <c r="DL89" s="112"/>
      <c r="DM89" s="112"/>
      <c r="DN89" s="112"/>
      <c r="DO89" s="112"/>
      <c r="DP89" s="112"/>
      <c r="DQ89" s="112"/>
      <c r="DR89" s="112"/>
      <c r="DS89" s="112"/>
      <c r="DT89" s="112"/>
    </row>
    <row r="90" spans="2:124" ht="15.75" customHeight="1">
      <c r="B90" s="395"/>
      <c r="C90" s="411"/>
      <c r="D90" s="1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395"/>
      <c r="Z90" s="112"/>
      <c r="AA90" s="112"/>
      <c r="AB90" s="112"/>
      <c r="AC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2"/>
      <c r="BI90" s="112"/>
      <c r="BJ90" s="112"/>
      <c r="BK90" s="112"/>
      <c r="BL90" s="112"/>
      <c r="BM90" s="112"/>
      <c r="BN90" s="112"/>
      <c r="BO90" s="112"/>
      <c r="BP90" s="112"/>
      <c r="BQ90" s="112"/>
      <c r="BR90" s="112"/>
      <c r="BS90" s="112"/>
      <c r="BT90" s="112"/>
      <c r="BU90" s="112"/>
      <c r="BV90" s="112"/>
      <c r="BW90" s="112"/>
      <c r="BX90" s="112"/>
      <c r="BY90" s="112"/>
      <c r="BZ90" s="112"/>
      <c r="CA90" s="112"/>
      <c r="CB90" s="112"/>
      <c r="CC90" s="112"/>
      <c r="CD90" s="112"/>
      <c r="CE90" s="112"/>
      <c r="CF90" s="112"/>
      <c r="CG90" s="112"/>
      <c r="CH90" s="112"/>
      <c r="CI90" s="112"/>
      <c r="CJ90" s="112"/>
      <c r="CK90" s="112"/>
      <c r="CL90" s="112"/>
      <c r="CM90" s="112"/>
      <c r="CN90" s="112"/>
      <c r="CO90" s="112"/>
      <c r="CP90" s="112"/>
      <c r="CQ90" s="112"/>
      <c r="CR90" s="112"/>
      <c r="CS90" s="112"/>
      <c r="CT90" s="112"/>
      <c r="CU90" s="112"/>
      <c r="CV90" s="112"/>
      <c r="CW90" s="112"/>
      <c r="CX90" s="112"/>
      <c r="CY90" s="112"/>
      <c r="CZ90" s="112"/>
      <c r="DA90" s="112"/>
      <c r="DB90" s="112"/>
      <c r="DC90" s="112"/>
      <c r="DD90" s="112"/>
      <c r="DE90" s="112"/>
      <c r="DF90" s="112"/>
      <c r="DG90" s="112"/>
      <c r="DH90" s="112"/>
      <c r="DI90" s="112"/>
      <c r="DJ90" s="112"/>
      <c r="DK90" s="112"/>
      <c r="DL90" s="112"/>
      <c r="DM90" s="112"/>
      <c r="DN90" s="112"/>
      <c r="DO90" s="112"/>
      <c r="DP90" s="112"/>
      <c r="DQ90" s="112"/>
      <c r="DR90" s="112"/>
      <c r="DS90" s="112"/>
      <c r="DT90" s="112"/>
    </row>
    <row r="91" spans="2:124" ht="15.75" customHeight="1">
      <c r="B91" s="395"/>
      <c r="C91" s="411"/>
      <c r="D91" s="1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395"/>
      <c r="Z91" s="112"/>
      <c r="AA91" s="112"/>
      <c r="AB91" s="112"/>
      <c r="AC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2"/>
      <c r="BE91" s="112"/>
      <c r="BF91" s="112"/>
      <c r="BG91" s="112"/>
      <c r="BH91" s="112"/>
      <c r="BI91" s="112"/>
      <c r="BJ91" s="112"/>
      <c r="BK91" s="112"/>
      <c r="BL91" s="112"/>
      <c r="BM91" s="112"/>
      <c r="BN91" s="112"/>
      <c r="BO91" s="112"/>
      <c r="BP91" s="112"/>
      <c r="BQ91" s="112"/>
      <c r="BR91" s="112"/>
      <c r="BS91" s="112"/>
      <c r="BT91" s="112"/>
      <c r="BU91" s="112"/>
      <c r="BV91" s="112"/>
      <c r="BW91" s="112"/>
      <c r="BX91" s="112"/>
      <c r="BY91" s="112"/>
      <c r="BZ91" s="112"/>
      <c r="CA91" s="112"/>
      <c r="CB91" s="112"/>
      <c r="CC91" s="112"/>
      <c r="CD91" s="112"/>
      <c r="CE91" s="112"/>
      <c r="CF91" s="112"/>
      <c r="CG91" s="112"/>
      <c r="CH91" s="112"/>
      <c r="CI91" s="112"/>
      <c r="CJ91" s="112"/>
      <c r="CK91" s="112"/>
      <c r="CL91" s="112"/>
      <c r="CM91" s="112"/>
      <c r="CN91" s="112"/>
      <c r="CO91" s="112"/>
      <c r="CP91" s="112"/>
      <c r="CQ91" s="112"/>
      <c r="CR91" s="112"/>
      <c r="CS91" s="112"/>
      <c r="CT91" s="112"/>
      <c r="CU91" s="112"/>
      <c r="CV91" s="112"/>
      <c r="CW91" s="112"/>
      <c r="CX91" s="112"/>
      <c r="CY91" s="112"/>
      <c r="CZ91" s="112"/>
      <c r="DA91" s="112"/>
      <c r="DB91" s="112"/>
      <c r="DC91" s="112"/>
      <c r="DD91" s="112"/>
      <c r="DE91" s="112"/>
      <c r="DF91" s="112"/>
      <c r="DG91" s="112"/>
      <c r="DH91" s="112"/>
      <c r="DI91" s="112"/>
      <c r="DJ91" s="112"/>
      <c r="DK91" s="112"/>
      <c r="DL91" s="112"/>
      <c r="DM91" s="112"/>
      <c r="DN91" s="112"/>
      <c r="DO91" s="112"/>
      <c r="DP91" s="112"/>
      <c r="DQ91" s="112"/>
      <c r="DR91" s="112"/>
      <c r="DS91" s="112"/>
      <c r="DT91" s="112"/>
    </row>
    <row r="92" spans="2:124" ht="15.75" customHeight="1">
      <c r="B92" s="395"/>
      <c r="C92" s="411"/>
      <c r="D92" s="1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395"/>
      <c r="Z92" s="112"/>
      <c r="AA92" s="112"/>
      <c r="AB92" s="112"/>
      <c r="AC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112"/>
      <c r="CA92" s="112"/>
      <c r="CB92" s="112"/>
      <c r="CC92" s="112"/>
      <c r="CD92" s="112"/>
      <c r="CE92" s="112"/>
      <c r="CF92" s="112"/>
      <c r="CG92" s="112"/>
      <c r="CH92" s="112"/>
      <c r="CI92" s="112"/>
      <c r="CJ92" s="112"/>
      <c r="CK92" s="112"/>
      <c r="CL92" s="112"/>
      <c r="CM92" s="112"/>
      <c r="CN92" s="112"/>
      <c r="CO92" s="112"/>
      <c r="CP92" s="112"/>
      <c r="CQ92" s="112"/>
      <c r="CR92" s="112"/>
      <c r="CS92" s="112"/>
      <c r="CT92" s="112"/>
      <c r="CU92" s="112"/>
      <c r="CV92" s="112"/>
      <c r="CW92" s="112"/>
      <c r="CX92" s="112"/>
      <c r="CY92" s="112"/>
      <c r="CZ92" s="112"/>
      <c r="DA92" s="112"/>
      <c r="DB92" s="112"/>
      <c r="DC92" s="112"/>
      <c r="DD92" s="112"/>
      <c r="DE92" s="112"/>
      <c r="DF92" s="112"/>
      <c r="DG92" s="112"/>
      <c r="DH92" s="112"/>
      <c r="DI92" s="112"/>
      <c r="DJ92" s="112"/>
      <c r="DK92" s="112"/>
      <c r="DL92" s="112"/>
      <c r="DM92" s="112"/>
      <c r="DN92" s="112"/>
      <c r="DO92" s="112"/>
      <c r="DP92" s="112"/>
      <c r="DQ92" s="112"/>
      <c r="DR92" s="112"/>
      <c r="DS92" s="112"/>
      <c r="DT92" s="112"/>
    </row>
    <row r="93" spans="2:124" ht="15.75" customHeight="1">
      <c r="B93" s="395"/>
      <c r="C93" s="411"/>
      <c r="D93" s="1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395"/>
      <c r="Z93" s="112"/>
      <c r="AA93" s="112"/>
      <c r="AB93" s="112"/>
      <c r="AC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112"/>
      <c r="CA93" s="112"/>
      <c r="CB93" s="112"/>
      <c r="CC93" s="112"/>
      <c r="CD93" s="112"/>
      <c r="CE93" s="112"/>
      <c r="CF93" s="112"/>
      <c r="CG93" s="112"/>
      <c r="CH93" s="112"/>
      <c r="CI93" s="112"/>
      <c r="CJ93" s="112"/>
      <c r="CK93" s="112"/>
      <c r="CL93" s="112"/>
      <c r="CM93" s="112"/>
      <c r="CN93" s="112"/>
      <c r="CO93" s="112"/>
      <c r="CP93" s="112"/>
      <c r="CQ93" s="112"/>
      <c r="CR93" s="112"/>
      <c r="CS93" s="112"/>
      <c r="CT93" s="112"/>
      <c r="CU93" s="112"/>
      <c r="CV93" s="112"/>
      <c r="CW93" s="112"/>
      <c r="CX93" s="112"/>
      <c r="CY93" s="112"/>
      <c r="CZ93" s="112"/>
      <c r="DA93" s="112"/>
      <c r="DB93" s="112"/>
      <c r="DC93" s="112"/>
      <c r="DD93" s="112"/>
      <c r="DE93" s="112"/>
      <c r="DF93" s="112"/>
      <c r="DG93" s="112"/>
      <c r="DH93" s="112"/>
      <c r="DI93" s="112"/>
      <c r="DJ93" s="112"/>
      <c r="DK93" s="112"/>
      <c r="DL93" s="112"/>
      <c r="DM93" s="112"/>
      <c r="DN93" s="112"/>
      <c r="DO93" s="112"/>
      <c r="DP93" s="112"/>
      <c r="DQ93" s="112"/>
      <c r="DR93" s="112"/>
      <c r="DS93" s="112"/>
      <c r="DT93" s="112"/>
    </row>
    <row r="94" spans="2:124" ht="15.75" customHeight="1">
      <c r="B94" s="395"/>
      <c r="C94" s="411"/>
      <c r="D94" s="1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395"/>
      <c r="Z94" s="112"/>
      <c r="AA94" s="112"/>
      <c r="AB94" s="112"/>
      <c r="AC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112"/>
      <c r="CA94" s="112"/>
      <c r="CB94" s="112"/>
      <c r="CC94" s="112"/>
      <c r="CD94" s="112"/>
      <c r="CE94" s="112"/>
      <c r="CF94" s="112"/>
      <c r="CG94" s="112"/>
      <c r="CH94" s="112"/>
      <c r="CI94" s="112"/>
      <c r="CJ94" s="112"/>
      <c r="CK94" s="112"/>
      <c r="CL94" s="112"/>
      <c r="CM94" s="112"/>
      <c r="CN94" s="112"/>
      <c r="CO94" s="112"/>
      <c r="CP94" s="112"/>
      <c r="CQ94" s="112"/>
      <c r="CR94" s="112"/>
      <c r="CS94" s="112"/>
      <c r="CT94" s="112"/>
      <c r="CU94" s="112"/>
      <c r="CV94" s="112"/>
      <c r="CW94" s="112"/>
      <c r="CX94" s="112"/>
      <c r="CY94" s="112"/>
      <c r="CZ94" s="112"/>
      <c r="DA94" s="112"/>
      <c r="DB94" s="112"/>
      <c r="DC94" s="112"/>
      <c r="DD94" s="112"/>
      <c r="DE94" s="112"/>
      <c r="DF94" s="112"/>
      <c r="DG94" s="112"/>
      <c r="DH94" s="112"/>
      <c r="DI94" s="112"/>
      <c r="DJ94" s="112"/>
      <c r="DK94" s="112"/>
      <c r="DL94" s="112"/>
      <c r="DM94" s="112"/>
      <c r="DN94" s="112"/>
      <c r="DO94" s="112"/>
      <c r="DP94" s="112"/>
      <c r="DQ94" s="112"/>
      <c r="DR94" s="112"/>
      <c r="DS94" s="112"/>
      <c r="DT94" s="112"/>
    </row>
    <row r="95" spans="2:124" ht="15.75" customHeight="1">
      <c r="B95" s="395"/>
      <c r="C95" s="411"/>
      <c r="D95" s="1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395"/>
      <c r="Z95" s="112"/>
      <c r="AA95" s="112"/>
      <c r="AB95" s="112"/>
      <c r="AC95" s="112"/>
      <c r="AF95" s="112"/>
      <c r="AG95" s="112"/>
      <c r="AH95" s="112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2"/>
      <c r="BE95" s="112"/>
      <c r="BF95" s="112"/>
      <c r="BG95" s="112"/>
      <c r="BH95" s="112"/>
      <c r="BI95" s="112"/>
      <c r="BJ95" s="112"/>
      <c r="BK95" s="112"/>
      <c r="BL95" s="112"/>
      <c r="BM95" s="112"/>
      <c r="BN95" s="112"/>
      <c r="BO95" s="112"/>
      <c r="BP95" s="112"/>
      <c r="BQ95" s="112"/>
      <c r="BR95" s="112"/>
      <c r="BS95" s="112"/>
      <c r="BT95" s="112"/>
      <c r="BU95" s="112"/>
      <c r="BV95" s="112"/>
      <c r="BW95" s="112"/>
      <c r="BX95" s="112"/>
      <c r="BY95" s="112"/>
      <c r="BZ95" s="112"/>
      <c r="CA95" s="112"/>
      <c r="CB95" s="112"/>
      <c r="CC95" s="112"/>
      <c r="CD95" s="112"/>
      <c r="CE95" s="112"/>
      <c r="CF95" s="112"/>
      <c r="CG95" s="112"/>
      <c r="CH95" s="112"/>
      <c r="CI95" s="112"/>
      <c r="CJ95" s="112"/>
      <c r="CK95" s="112"/>
      <c r="CL95" s="112"/>
      <c r="CM95" s="112"/>
      <c r="CN95" s="112"/>
      <c r="CO95" s="112"/>
      <c r="CP95" s="112"/>
      <c r="CQ95" s="112"/>
      <c r="CR95" s="112"/>
      <c r="CS95" s="112"/>
      <c r="CT95" s="112"/>
      <c r="CU95" s="112"/>
      <c r="CV95" s="112"/>
      <c r="CW95" s="112"/>
      <c r="CX95" s="112"/>
      <c r="CY95" s="112"/>
      <c r="CZ95" s="112"/>
      <c r="DA95" s="112"/>
      <c r="DB95" s="112"/>
      <c r="DC95" s="112"/>
      <c r="DD95" s="112"/>
      <c r="DE95" s="112"/>
      <c r="DF95" s="112"/>
      <c r="DG95" s="112"/>
      <c r="DH95" s="112"/>
      <c r="DI95" s="112"/>
      <c r="DJ95" s="112"/>
      <c r="DK95" s="112"/>
      <c r="DL95" s="112"/>
      <c r="DM95" s="112"/>
      <c r="DN95" s="112"/>
      <c r="DO95" s="112"/>
      <c r="DP95" s="112"/>
      <c r="DQ95" s="112"/>
      <c r="DR95" s="112"/>
      <c r="DS95" s="112"/>
      <c r="DT95" s="112"/>
    </row>
    <row r="96" spans="2:124" ht="15.75" customHeight="1">
      <c r="C96" s="1"/>
      <c r="D96" s="1"/>
    </row>
    <row r="97" spans="3:4" ht="15.75" customHeight="1">
      <c r="C97" s="1"/>
      <c r="D97" s="1"/>
    </row>
    <row r="98" spans="3:4" ht="15.75" customHeight="1">
      <c r="C98" s="1"/>
      <c r="D98" s="1"/>
    </row>
    <row r="99" spans="3:4" ht="15.75" customHeight="1">
      <c r="C99" s="1"/>
      <c r="D99" s="1"/>
    </row>
    <row r="100" spans="3:4" ht="15.75" customHeight="1">
      <c r="C100" s="1"/>
      <c r="D100" s="1"/>
    </row>
    <row r="101" spans="3:4" ht="15.75" customHeight="1">
      <c r="C101" s="1"/>
      <c r="D101" s="1"/>
    </row>
    <row r="102" spans="3:4" ht="15.75" customHeight="1">
      <c r="C102" s="1"/>
      <c r="D102" s="1"/>
    </row>
    <row r="103" spans="3:4" ht="15.75" customHeight="1">
      <c r="C103" s="1"/>
      <c r="D103" s="1"/>
    </row>
    <row r="104" spans="3:4" ht="15.75" customHeight="1">
      <c r="C104" s="1"/>
      <c r="D104" s="1"/>
    </row>
    <row r="105" spans="3:4" ht="15.75" customHeight="1">
      <c r="C105" s="1"/>
      <c r="D105" s="1"/>
    </row>
    <row r="106" spans="3:4" ht="15.75" customHeight="1">
      <c r="C106" s="1"/>
      <c r="D106" s="1"/>
    </row>
    <row r="107" spans="3:4" ht="15.75" customHeight="1">
      <c r="C107" s="1"/>
      <c r="D107" s="1"/>
    </row>
    <row r="108" spans="3:4" ht="15.75" customHeight="1">
      <c r="C108" s="1"/>
      <c r="D108" s="1"/>
    </row>
    <row r="109" spans="3:4" ht="15.75" customHeight="1">
      <c r="C109" s="1"/>
      <c r="D109" s="1"/>
    </row>
    <row r="110" spans="3:4" ht="15.75" customHeight="1">
      <c r="C110" s="1"/>
      <c r="D110" s="1"/>
    </row>
    <row r="111" spans="3:4" ht="15.75" customHeight="1">
      <c r="C111" s="1"/>
      <c r="D111" s="1"/>
    </row>
    <row r="112" spans="3:4" ht="15.75" customHeight="1">
      <c r="C112" s="1"/>
      <c r="D112" s="1"/>
    </row>
    <row r="113" spans="3:4" ht="15.75" customHeight="1">
      <c r="C113" s="1"/>
      <c r="D113" s="1"/>
    </row>
    <row r="114" spans="3:4" ht="15.75" customHeight="1">
      <c r="C114" s="1"/>
      <c r="D114" s="1"/>
    </row>
    <row r="115" spans="3:4" ht="15.75" customHeight="1">
      <c r="C115" s="1"/>
      <c r="D115" s="1"/>
    </row>
    <row r="116" spans="3:4" ht="15.75" customHeight="1">
      <c r="C116" s="1"/>
      <c r="D116" s="1"/>
    </row>
    <row r="117" spans="3:4" ht="15.75" customHeight="1">
      <c r="C117" s="1"/>
      <c r="D117" s="1"/>
    </row>
    <row r="118" spans="3:4" ht="15.75" customHeight="1">
      <c r="C118" s="1"/>
      <c r="D118" s="1"/>
    </row>
    <row r="119" spans="3:4" ht="15.75" customHeight="1">
      <c r="C119" s="1"/>
      <c r="D119" s="1"/>
    </row>
    <row r="120" spans="3:4" ht="15.75" customHeight="1">
      <c r="C120" s="1"/>
      <c r="D120" s="1"/>
    </row>
    <row r="121" spans="3:4" ht="15.75" customHeight="1">
      <c r="C121" s="1"/>
      <c r="D121" s="1"/>
    </row>
    <row r="122" spans="3:4" ht="15.75" customHeight="1">
      <c r="C122" s="1"/>
      <c r="D122" s="1"/>
    </row>
    <row r="123" spans="3:4" ht="15.75" customHeight="1">
      <c r="C123" s="1"/>
      <c r="D123" s="1"/>
    </row>
    <row r="124" spans="3:4" ht="15.75" customHeight="1">
      <c r="C124" s="1"/>
      <c r="D124" s="1"/>
    </row>
    <row r="125" spans="3:4" ht="15.75" customHeight="1">
      <c r="C125" s="1"/>
      <c r="D125" s="1"/>
    </row>
    <row r="126" spans="3:4" ht="15.75" customHeight="1">
      <c r="C126" s="1"/>
      <c r="D126" s="1"/>
    </row>
    <row r="127" spans="3:4" ht="15.75" customHeight="1">
      <c r="C127" s="1"/>
      <c r="D127" s="1"/>
    </row>
    <row r="128" spans="3:4" ht="15.75" customHeight="1">
      <c r="C128" s="1"/>
      <c r="D128" s="1"/>
    </row>
    <row r="129" spans="3:4" ht="15.75" customHeight="1">
      <c r="C129" s="1"/>
      <c r="D129" s="1"/>
    </row>
    <row r="130" spans="3:4" ht="15.75" customHeight="1">
      <c r="C130" s="1"/>
      <c r="D130" s="1"/>
    </row>
    <row r="131" spans="3:4" ht="15.75" customHeight="1">
      <c r="C131" s="1"/>
      <c r="D131" s="1"/>
    </row>
    <row r="132" spans="3:4" ht="15.75" customHeight="1">
      <c r="C132" s="1"/>
      <c r="D132" s="1"/>
    </row>
    <row r="133" spans="3:4" ht="15.75" customHeight="1">
      <c r="C133" s="1"/>
      <c r="D133" s="1"/>
    </row>
    <row r="134" spans="3:4" ht="15.75" customHeight="1">
      <c r="C134" s="1"/>
      <c r="D134" s="1"/>
    </row>
    <row r="135" spans="3:4" ht="15.75" customHeight="1">
      <c r="C135" s="1"/>
      <c r="D135" s="1"/>
    </row>
    <row r="136" spans="3:4" ht="15.75" customHeight="1">
      <c r="C136" s="1"/>
      <c r="D136" s="1"/>
    </row>
    <row r="137" spans="3:4" ht="15.75" customHeight="1">
      <c r="C137" s="1"/>
      <c r="D137" s="1"/>
    </row>
    <row r="138" spans="3:4" ht="15.75" customHeight="1">
      <c r="C138" s="1"/>
      <c r="D138" s="1"/>
    </row>
    <row r="139" spans="3:4" ht="15.75" customHeight="1">
      <c r="C139" s="1"/>
      <c r="D139" s="1"/>
    </row>
    <row r="140" spans="3:4" ht="15.75" customHeight="1">
      <c r="C140" s="1"/>
      <c r="D140" s="1"/>
    </row>
    <row r="141" spans="3:4" ht="15.75" customHeight="1">
      <c r="C141" s="1"/>
      <c r="D141" s="1"/>
    </row>
    <row r="142" spans="3:4" ht="15.75" customHeight="1">
      <c r="C142" s="1"/>
      <c r="D142" s="1"/>
    </row>
    <row r="143" spans="3:4" ht="15.75" customHeight="1">
      <c r="C143" s="1"/>
      <c r="D143" s="1"/>
    </row>
    <row r="144" spans="3:4" ht="15.75" customHeight="1">
      <c r="C144" s="1"/>
      <c r="D144" s="1"/>
    </row>
    <row r="145" spans="3:4" ht="15.75" customHeight="1">
      <c r="C145" s="1"/>
      <c r="D145" s="1"/>
    </row>
    <row r="146" spans="3:4" ht="15.75" customHeight="1">
      <c r="C146" s="1"/>
      <c r="D146" s="1"/>
    </row>
    <row r="147" spans="3:4" ht="15.75" customHeight="1">
      <c r="C147" s="1"/>
      <c r="D147" s="1"/>
    </row>
    <row r="148" spans="3:4" ht="15.75" customHeight="1">
      <c r="C148" s="1"/>
      <c r="D148" s="1"/>
    </row>
    <row r="149" spans="3:4" ht="15.75" customHeight="1">
      <c r="C149" s="1"/>
      <c r="D149" s="1"/>
    </row>
    <row r="150" spans="3:4" ht="15.75" customHeight="1">
      <c r="C150" s="1"/>
      <c r="D150" s="1"/>
    </row>
    <row r="151" spans="3:4" ht="15.75" customHeight="1">
      <c r="C151" s="1"/>
      <c r="D151" s="1"/>
    </row>
    <row r="152" spans="3:4" ht="15.75" customHeight="1">
      <c r="C152" s="1"/>
      <c r="D152" s="1"/>
    </row>
    <row r="153" spans="3:4" ht="15.75" customHeight="1">
      <c r="C153" s="1"/>
      <c r="D153" s="1"/>
    </row>
    <row r="154" spans="3:4" ht="15.75" customHeight="1">
      <c r="C154" s="1"/>
      <c r="D154" s="1"/>
    </row>
    <row r="155" spans="3:4" ht="15.75" customHeight="1">
      <c r="C155" s="1"/>
      <c r="D155" s="1"/>
    </row>
    <row r="156" spans="3:4" ht="15.75" customHeight="1">
      <c r="C156" s="1"/>
      <c r="D156" s="1"/>
    </row>
    <row r="157" spans="3:4" ht="15.75" customHeight="1">
      <c r="C157" s="1"/>
      <c r="D157" s="1"/>
    </row>
    <row r="158" spans="3:4" ht="15.75" customHeight="1">
      <c r="C158" s="1"/>
      <c r="D158" s="1"/>
    </row>
    <row r="159" spans="3:4" ht="15.75" customHeight="1">
      <c r="C159" s="1"/>
      <c r="D159" s="1"/>
    </row>
    <row r="160" spans="3:4" ht="15.75" customHeight="1">
      <c r="C160" s="1"/>
      <c r="D160" s="1"/>
    </row>
    <row r="161" spans="3:4" ht="15.75" customHeight="1">
      <c r="C161" s="1"/>
      <c r="D161" s="1"/>
    </row>
    <row r="162" spans="3:4" ht="15.75" customHeight="1">
      <c r="C162" s="1"/>
      <c r="D162" s="1"/>
    </row>
    <row r="163" spans="3:4" ht="15.75" customHeight="1">
      <c r="C163" s="1"/>
      <c r="D163" s="1"/>
    </row>
    <row r="164" spans="3:4" ht="15.75" customHeight="1">
      <c r="C164" s="1"/>
      <c r="D164" s="1"/>
    </row>
    <row r="165" spans="3:4" ht="15.75" customHeight="1">
      <c r="C165" s="1"/>
      <c r="D165" s="1"/>
    </row>
    <row r="166" spans="3:4" ht="15.75" customHeight="1">
      <c r="C166" s="1"/>
      <c r="D166" s="1"/>
    </row>
    <row r="167" spans="3:4" ht="15.75" customHeight="1">
      <c r="C167" s="1"/>
      <c r="D167" s="1"/>
    </row>
    <row r="168" spans="3:4" ht="15.75" customHeight="1">
      <c r="C168" s="1"/>
      <c r="D168" s="1"/>
    </row>
    <row r="169" spans="3:4" ht="15.75" customHeight="1">
      <c r="C169" s="1"/>
      <c r="D169" s="1"/>
    </row>
    <row r="170" spans="3:4" ht="15.75" customHeight="1">
      <c r="C170" s="1"/>
      <c r="D170" s="1"/>
    </row>
    <row r="171" spans="3:4" ht="15.75" customHeight="1">
      <c r="C171" s="1"/>
      <c r="D171" s="1"/>
    </row>
    <row r="172" spans="3:4" ht="15.75" customHeight="1">
      <c r="C172" s="1"/>
      <c r="D172" s="1"/>
    </row>
    <row r="173" spans="3:4" ht="15.75" customHeight="1">
      <c r="C173" s="1"/>
      <c r="D173" s="1"/>
    </row>
    <row r="174" spans="3:4" ht="15.75" customHeight="1">
      <c r="C174" s="1"/>
      <c r="D174" s="1"/>
    </row>
    <row r="175" spans="3:4" ht="15.75" customHeight="1">
      <c r="C175" s="1"/>
      <c r="D175" s="1"/>
    </row>
    <row r="176" spans="3:4" ht="15.75" customHeight="1">
      <c r="C176" s="1"/>
      <c r="D176" s="1"/>
    </row>
    <row r="177" spans="3:4" ht="15.75" customHeight="1">
      <c r="C177" s="1"/>
      <c r="D177" s="1"/>
    </row>
    <row r="178" spans="3:4" ht="15.75" customHeight="1">
      <c r="C178" s="1"/>
      <c r="D178" s="1"/>
    </row>
    <row r="179" spans="3:4" ht="15.75" customHeight="1">
      <c r="C179" s="1"/>
      <c r="D179" s="1"/>
    </row>
    <row r="180" spans="3:4" ht="15.75" customHeight="1">
      <c r="C180" s="1"/>
      <c r="D180" s="1"/>
    </row>
    <row r="181" spans="3:4" ht="15.75" customHeight="1">
      <c r="C181" s="1"/>
      <c r="D181" s="1"/>
    </row>
    <row r="182" spans="3:4" ht="15.75" customHeight="1">
      <c r="C182" s="1"/>
      <c r="D182" s="1"/>
    </row>
    <row r="183" spans="3:4" ht="15.75" customHeight="1">
      <c r="C183" s="1"/>
      <c r="D183" s="1"/>
    </row>
    <row r="184" spans="3:4" ht="15.75" customHeight="1">
      <c r="C184" s="1"/>
      <c r="D184" s="1"/>
    </row>
    <row r="185" spans="3:4" ht="15.75" customHeight="1">
      <c r="C185" s="1"/>
      <c r="D185" s="1"/>
    </row>
    <row r="186" spans="3:4" ht="15.75" customHeight="1">
      <c r="C186" s="1"/>
      <c r="D186" s="1"/>
    </row>
    <row r="187" spans="3:4" ht="15.75" customHeight="1">
      <c r="C187" s="1"/>
      <c r="D187" s="1"/>
    </row>
    <row r="188" spans="3:4" ht="15.75" customHeight="1">
      <c r="C188" s="1"/>
      <c r="D188" s="1"/>
    </row>
    <row r="189" spans="3:4" ht="15.75" customHeight="1">
      <c r="C189" s="1"/>
      <c r="D189" s="1"/>
    </row>
    <row r="190" spans="3:4" ht="15.75" customHeight="1">
      <c r="C190" s="1"/>
      <c r="D190" s="1"/>
    </row>
    <row r="191" spans="3:4" ht="15.75" customHeight="1">
      <c r="C191" s="1"/>
      <c r="D191" s="1"/>
    </row>
    <row r="192" spans="3:4" ht="15.75" customHeight="1">
      <c r="C192" s="1"/>
      <c r="D192" s="1"/>
    </row>
    <row r="193" spans="3:4" ht="15.75" customHeight="1">
      <c r="C193" s="1"/>
      <c r="D193" s="1"/>
    </row>
    <row r="194" spans="3:4" ht="15.75" customHeight="1">
      <c r="C194" s="1"/>
      <c r="D194" s="1"/>
    </row>
    <row r="195" spans="3:4" ht="15.75" customHeight="1">
      <c r="C195" s="1"/>
      <c r="D195" s="1"/>
    </row>
    <row r="196" spans="3:4" ht="15.75" customHeight="1">
      <c r="C196" s="1"/>
      <c r="D196" s="1"/>
    </row>
    <row r="197" spans="3:4" ht="15.75" customHeight="1">
      <c r="C197" s="1"/>
      <c r="D197" s="1"/>
    </row>
    <row r="198" spans="3:4" ht="15.75" customHeight="1">
      <c r="C198" s="1"/>
      <c r="D198" s="1"/>
    </row>
    <row r="199" spans="3:4" ht="15.75" customHeight="1">
      <c r="C199" s="1"/>
      <c r="D199" s="1"/>
    </row>
    <row r="200" spans="3:4" ht="15.75" customHeight="1">
      <c r="C200" s="1"/>
      <c r="D200" s="1"/>
    </row>
    <row r="201" spans="3:4" ht="15.75" customHeight="1">
      <c r="C201" s="1"/>
      <c r="D201" s="1"/>
    </row>
    <row r="202" spans="3:4" ht="15.75" customHeight="1">
      <c r="C202" s="1"/>
      <c r="D202" s="1"/>
    </row>
    <row r="203" spans="3:4" ht="15.75" customHeight="1">
      <c r="C203" s="1"/>
      <c r="D203" s="1"/>
    </row>
    <row r="204" spans="3:4" ht="15.75" customHeight="1">
      <c r="C204" s="1"/>
      <c r="D204" s="1"/>
    </row>
    <row r="205" spans="3:4" ht="15.75" customHeight="1">
      <c r="C205" s="1"/>
      <c r="D205" s="1"/>
    </row>
    <row r="206" spans="3:4" ht="15.75" customHeight="1">
      <c r="C206" s="1"/>
      <c r="D206" s="1"/>
    </row>
    <row r="207" spans="3:4" ht="15.75" customHeight="1">
      <c r="C207" s="1"/>
      <c r="D207" s="1"/>
    </row>
    <row r="208" spans="3:4" ht="15.75" customHeight="1">
      <c r="C208" s="1"/>
      <c r="D208" s="1"/>
    </row>
    <row r="209" spans="3:4" ht="15.75" customHeight="1">
      <c r="C209" s="1"/>
      <c r="D209" s="1"/>
    </row>
    <row r="210" spans="3:4" ht="15.75" customHeight="1">
      <c r="C210" s="1"/>
      <c r="D210" s="1"/>
    </row>
    <row r="211" spans="3:4" ht="15.75" customHeight="1">
      <c r="C211" s="1"/>
      <c r="D211" s="1"/>
    </row>
    <row r="212" spans="3:4" ht="15.75" customHeight="1">
      <c r="C212" s="1"/>
      <c r="D212" s="1"/>
    </row>
    <row r="213" spans="3:4" ht="15.75" customHeight="1">
      <c r="C213" s="1"/>
      <c r="D213" s="1"/>
    </row>
    <row r="214" spans="3:4" ht="15.75" customHeight="1">
      <c r="C214" s="1"/>
      <c r="D214" s="1"/>
    </row>
    <row r="215" spans="3:4" ht="15.75" customHeight="1">
      <c r="C215" s="1"/>
      <c r="D215" s="1"/>
    </row>
    <row r="216" spans="3:4" ht="15.75" customHeight="1">
      <c r="C216" s="1"/>
      <c r="D216" s="1"/>
    </row>
    <row r="217" spans="3:4" ht="15.75" customHeight="1">
      <c r="C217" s="1"/>
      <c r="D217" s="1"/>
    </row>
    <row r="218" spans="3:4" ht="15.75" customHeight="1">
      <c r="C218" s="1"/>
      <c r="D218" s="1"/>
    </row>
    <row r="219" spans="3:4" ht="15.75" customHeight="1">
      <c r="C219" s="1"/>
      <c r="D219" s="1"/>
    </row>
    <row r="220" spans="3:4" ht="15.75" customHeight="1">
      <c r="C220" s="1"/>
      <c r="D220" s="1"/>
    </row>
    <row r="221" spans="3:4" ht="15.75" customHeight="1">
      <c r="C221" s="1"/>
      <c r="D221" s="1"/>
    </row>
    <row r="222" spans="3:4" ht="15.75" customHeight="1">
      <c r="C222" s="1"/>
      <c r="D222" s="1"/>
    </row>
    <row r="223" spans="3:4" ht="15.75" customHeight="1">
      <c r="C223" s="1"/>
      <c r="D223" s="1"/>
    </row>
    <row r="224" spans="3:4" ht="15.75" customHeight="1">
      <c r="C224" s="1"/>
      <c r="D224" s="1"/>
    </row>
    <row r="225" spans="3:4" ht="15.75" customHeight="1">
      <c r="C225" s="1"/>
      <c r="D225" s="1"/>
    </row>
    <row r="226" spans="3:4" ht="15.75" customHeight="1">
      <c r="C226" s="1"/>
      <c r="D226" s="1"/>
    </row>
    <row r="227" spans="3:4" ht="15.75" customHeight="1">
      <c r="C227" s="1"/>
      <c r="D227" s="1"/>
    </row>
    <row r="228" spans="3:4" ht="15.75" customHeight="1">
      <c r="C228" s="1"/>
      <c r="D228" s="1"/>
    </row>
    <row r="229" spans="3:4" ht="15.75" customHeight="1">
      <c r="C229" s="1"/>
      <c r="D229" s="1"/>
    </row>
    <row r="230" spans="3:4" ht="15.75" customHeight="1">
      <c r="C230" s="1"/>
      <c r="D230" s="1"/>
    </row>
    <row r="231" spans="3:4" ht="15.75" customHeight="1">
      <c r="C231" s="1"/>
      <c r="D231" s="1"/>
    </row>
    <row r="232" spans="3:4" ht="15.75" customHeight="1">
      <c r="C232" s="1"/>
      <c r="D232" s="1"/>
    </row>
    <row r="233" spans="3:4" ht="15.75" customHeight="1">
      <c r="C233" s="1"/>
      <c r="D233" s="1"/>
    </row>
    <row r="234" spans="3:4" ht="15.75" customHeight="1">
      <c r="C234" s="1"/>
      <c r="D234" s="1"/>
    </row>
    <row r="235" spans="3:4" ht="15.75" customHeight="1">
      <c r="C235" s="1"/>
      <c r="D235" s="1"/>
    </row>
    <row r="236" spans="3:4" ht="15.75" customHeight="1">
      <c r="C236" s="1"/>
      <c r="D236" s="1"/>
    </row>
    <row r="237" spans="3:4" ht="15.75" customHeight="1">
      <c r="C237" s="1"/>
      <c r="D237" s="1"/>
    </row>
    <row r="238" spans="3:4" ht="15.75" customHeight="1">
      <c r="C238" s="1"/>
      <c r="D238" s="1"/>
    </row>
    <row r="239" spans="3:4" ht="15.75" customHeight="1">
      <c r="C239" s="1"/>
      <c r="D239" s="1"/>
    </row>
    <row r="240" spans="3:4" ht="15.75" customHeight="1">
      <c r="C240" s="1"/>
      <c r="D240" s="1"/>
    </row>
    <row r="241" spans="3:4" ht="15.75" customHeight="1">
      <c r="C241" s="1"/>
      <c r="D241" s="1"/>
    </row>
    <row r="242" spans="3:4" ht="15.75" customHeight="1">
      <c r="C242" s="1"/>
      <c r="D242" s="1"/>
    </row>
    <row r="243" spans="3:4" ht="15.75" customHeight="1">
      <c r="C243" s="1"/>
      <c r="D243" s="1"/>
    </row>
    <row r="244" spans="3:4" ht="15.75" customHeight="1">
      <c r="C244" s="1"/>
      <c r="D244" s="1"/>
    </row>
    <row r="245" spans="3:4" ht="15.75" customHeight="1">
      <c r="C245" s="1"/>
      <c r="D245" s="1"/>
    </row>
    <row r="246" spans="3:4" ht="15.75" customHeight="1">
      <c r="C246" s="1"/>
      <c r="D246" s="1"/>
    </row>
    <row r="247" spans="3:4" ht="15.75" customHeight="1">
      <c r="C247" s="1"/>
      <c r="D247" s="1"/>
    </row>
    <row r="248" spans="3:4" ht="15.75" customHeight="1">
      <c r="C248" s="1"/>
      <c r="D248" s="1"/>
    </row>
    <row r="249" spans="3:4" ht="15.75" customHeight="1">
      <c r="C249" s="1"/>
      <c r="D249" s="1"/>
    </row>
    <row r="250" spans="3:4" ht="15.75" customHeight="1">
      <c r="C250" s="1"/>
      <c r="D250" s="1"/>
    </row>
    <row r="251" spans="3:4" ht="15.75" customHeight="1">
      <c r="C251" s="1"/>
      <c r="D251" s="1"/>
    </row>
    <row r="252" spans="3:4" ht="15.75" customHeight="1">
      <c r="C252" s="1"/>
      <c r="D252" s="1"/>
    </row>
    <row r="253" spans="3:4" ht="15.75" customHeight="1">
      <c r="C253" s="1"/>
      <c r="D253" s="1"/>
    </row>
    <row r="254" spans="3:4" ht="15.75" customHeight="1">
      <c r="C254" s="1"/>
      <c r="D254" s="1"/>
    </row>
    <row r="255" spans="3:4" ht="15.75" customHeight="1">
      <c r="C255" s="1"/>
      <c r="D255" s="1"/>
    </row>
    <row r="256" spans="3:4" ht="15.75" customHeight="1">
      <c r="C256" s="1"/>
      <c r="D256" s="1"/>
    </row>
    <row r="257" spans="3:4" ht="15.75" customHeight="1">
      <c r="C257" s="1"/>
      <c r="D257" s="1"/>
    </row>
    <row r="258" spans="3:4" ht="15.75" customHeight="1">
      <c r="C258" s="1"/>
      <c r="D258" s="1"/>
    </row>
    <row r="259" spans="3:4" ht="15.75" customHeight="1">
      <c r="C259" s="1"/>
      <c r="D259" s="1"/>
    </row>
    <row r="260" spans="3:4" ht="15.75" customHeight="1">
      <c r="C260" s="1"/>
      <c r="D260" s="1"/>
    </row>
    <row r="261" spans="3:4" ht="15.75" customHeight="1">
      <c r="C261" s="1"/>
      <c r="D261" s="1"/>
    </row>
    <row r="262" spans="3:4" ht="15.75" customHeight="1">
      <c r="C262" s="1"/>
      <c r="D262" s="1"/>
    </row>
    <row r="263" spans="3:4" ht="15.75" customHeight="1">
      <c r="C263" s="1"/>
      <c r="D263" s="1"/>
    </row>
    <row r="264" spans="3:4" ht="15.75" customHeight="1">
      <c r="C264" s="1"/>
      <c r="D264" s="1"/>
    </row>
    <row r="265" spans="3:4" ht="15.75" customHeight="1">
      <c r="C265" s="1"/>
      <c r="D265" s="1"/>
    </row>
    <row r="266" spans="3:4" ht="15.75" customHeight="1">
      <c r="C266" s="1"/>
      <c r="D266" s="1"/>
    </row>
    <row r="267" spans="3:4" ht="15.75" customHeight="1">
      <c r="C267" s="1"/>
      <c r="D267" s="1"/>
    </row>
    <row r="268" spans="3:4" ht="15.75" customHeight="1">
      <c r="C268" s="1"/>
      <c r="D268" s="1"/>
    </row>
    <row r="269" spans="3:4" ht="15.75" customHeight="1">
      <c r="C269" s="1"/>
      <c r="D269" s="1"/>
    </row>
    <row r="270" spans="3:4" ht="15.75" customHeight="1">
      <c r="C270" s="1"/>
      <c r="D270" s="1"/>
    </row>
    <row r="271" spans="3:4" ht="15.75" customHeight="1">
      <c r="C271" s="1"/>
      <c r="D271" s="1"/>
    </row>
    <row r="272" spans="3:4" ht="15.75" customHeight="1">
      <c r="C272" s="1"/>
      <c r="D272" s="1"/>
    </row>
    <row r="273" spans="3:4" ht="15.75" customHeight="1">
      <c r="C273" s="1"/>
      <c r="D273" s="1"/>
    </row>
    <row r="274" spans="3:4" ht="15.75" customHeight="1">
      <c r="C274" s="1"/>
      <c r="D274" s="1"/>
    </row>
    <row r="275" spans="3:4" ht="15.75" customHeight="1">
      <c r="C275" s="1"/>
      <c r="D275" s="1"/>
    </row>
    <row r="276" spans="3:4" ht="15.75" customHeight="1">
      <c r="C276" s="1"/>
      <c r="D276" s="1"/>
    </row>
    <row r="277" spans="3:4" ht="15.75" customHeight="1">
      <c r="C277" s="1"/>
      <c r="D277" s="1"/>
    </row>
    <row r="278" spans="3:4" ht="15.75" customHeight="1">
      <c r="C278" s="1"/>
      <c r="D278" s="1"/>
    </row>
    <row r="279" spans="3:4" ht="15.75" customHeight="1">
      <c r="C279" s="1"/>
      <c r="D279" s="1"/>
    </row>
    <row r="280" spans="3:4" ht="15.75" customHeight="1">
      <c r="C280" s="1"/>
      <c r="D280" s="1"/>
    </row>
    <row r="281" spans="3:4" ht="15.75" customHeight="1">
      <c r="C281" s="1"/>
      <c r="D281" s="1"/>
    </row>
    <row r="282" spans="3:4" ht="15.75" customHeight="1">
      <c r="C282" s="1"/>
      <c r="D282" s="1"/>
    </row>
    <row r="283" spans="3:4" ht="15.75" customHeight="1">
      <c r="C283" s="1"/>
      <c r="D283" s="1"/>
    </row>
    <row r="284" spans="3:4" ht="15.75" customHeight="1">
      <c r="C284" s="1"/>
      <c r="D284" s="1"/>
    </row>
    <row r="285" spans="3:4" ht="15.75" customHeight="1">
      <c r="C285" s="1"/>
      <c r="D285" s="1"/>
    </row>
    <row r="286" spans="3:4" ht="15.75" customHeight="1">
      <c r="C286" s="1"/>
      <c r="D286" s="1"/>
    </row>
    <row r="287" spans="3:4" ht="15.75" customHeight="1">
      <c r="C287" s="1"/>
      <c r="D287" s="1"/>
    </row>
    <row r="288" spans="3:4" ht="15.75" customHeight="1">
      <c r="C288" s="1"/>
      <c r="D288" s="1"/>
    </row>
    <row r="289" spans="3:4" ht="15.75" customHeight="1">
      <c r="C289" s="1"/>
      <c r="D289" s="1"/>
    </row>
    <row r="290" spans="3:4" ht="15.75" customHeight="1">
      <c r="C290" s="1"/>
      <c r="D290" s="1"/>
    </row>
    <row r="291" spans="3:4" ht="15.75" customHeight="1">
      <c r="C291" s="1"/>
      <c r="D291" s="1"/>
    </row>
    <row r="292" spans="3:4" ht="15.75" customHeight="1">
      <c r="C292" s="1"/>
      <c r="D292" s="1"/>
    </row>
    <row r="293" spans="3:4" ht="15.75" customHeight="1">
      <c r="C293" s="1"/>
      <c r="D293" s="1"/>
    </row>
    <row r="294" spans="3:4" ht="15.75" customHeight="1">
      <c r="C294" s="1"/>
      <c r="D294" s="1"/>
    </row>
    <row r="295" spans="3:4" ht="15.75" customHeight="1">
      <c r="C295" s="1"/>
      <c r="D295" s="1"/>
    </row>
    <row r="296" spans="3:4" ht="15.75" customHeight="1">
      <c r="C296" s="1"/>
      <c r="D296" s="1"/>
    </row>
    <row r="297" spans="3:4" ht="15.75" customHeight="1">
      <c r="C297" s="1"/>
      <c r="D297" s="1"/>
    </row>
    <row r="298" spans="3:4" ht="15.75" customHeight="1">
      <c r="C298" s="1"/>
      <c r="D298" s="1"/>
    </row>
    <row r="299" spans="3:4" ht="15.75" customHeight="1">
      <c r="C299" s="1"/>
      <c r="D299" s="1"/>
    </row>
    <row r="300" spans="3:4" ht="15.75" customHeight="1">
      <c r="C300" s="1"/>
      <c r="D300" s="1"/>
    </row>
    <row r="301" spans="3:4" ht="15.75" customHeight="1">
      <c r="C301" s="1"/>
      <c r="D301" s="1"/>
    </row>
    <row r="302" spans="3:4" ht="15.75" customHeight="1">
      <c r="C302" s="1"/>
      <c r="D302" s="1"/>
    </row>
    <row r="303" spans="3:4" ht="15.75" customHeight="1">
      <c r="C303" s="1"/>
      <c r="D303" s="1"/>
    </row>
    <row r="304" spans="3:4" ht="15.75" customHeight="1">
      <c r="C304" s="1"/>
      <c r="D304" s="1"/>
    </row>
    <row r="305" spans="3:4" ht="15.75" customHeight="1">
      <c r="C305" s="1"/>
      <c r="D305" s="1"/>
    </row>
    <row r="306" spans="3:4" ht="15.75" customHeight="1">
      <c r="C306" s="1"/>
      <c r="D306" s="1"/>
    </row>
    <row r="307" spans="3:4" ht="15.75" customHeight="1">
      <c r="C307" s="1"/>
      <c r="D307" s="1"/>
    </row>
    <row r="308" spans="3:4" ht="15.75" customHeight="1">
      <c r="C308" s="1"/>
      <c r="D308" s="1"/>
    </row>
    <row r="309" spans="3:4" ht="15.75" customHeight="1">
      <c r="C309" s="1"/>
      <c r="D309" s="1"/>
    </row>
    <row r="310" spans="3:4" ht="15.75" customHeight="1">
      <c r="C310" s="1"/>
      <c r="D310" s="1"/>
    </row>
    <row r="311" spans="3:4" ht="15.75" customHeight="1">
      <c r="C311" s="1"/>
      <c r="D311" s="1"/>
    </row>
    <row r="312" spans="3:4" ht="15.75" customHeight="1">
      <c r="C312" s="1"/>
      <c r="D312" s="1"/>
    </row>
    <row r="313" spans="3:4" ht="15.75" customHeight="1">
      <c r="C313" s="1"/>
      <c r="D313" s="1"/>
    </row>
    <row r="314" spans="3:4" ht="15.75" customHeight="1">
      <c r="C314" s="1"/>
      <c r="D314" s="1"/>
    </row>
    <row r="315" spans="3:4" ht="15.75" customHeight="1">
      <c r="C315" s="1"/>
      <c r="D315" s="1"/>
    </row>
    <row r="316" spans="3:4" ht="15.75" customHeight="1">
      <c r="C316" s="1"/>
      <c r="D316" s="1"/>
    </row>
    <row r="317" spans="3:4" ht="15.75" customHeight="1">
      <c r="C317" s="1"/>
      <c r="D317" s="1"/>
    </row>
    <row r="318" spans="3:4" ht="15.75" customHeight="1">
      <c r="C318" s="1"/>
      <c r="D318" s="1"/>
    </row>
    <row r="319" spans="3:4" ht="15.75" customHeight="1">
      <c r="C319" s="1"/>
      <c r="D319" s="1"/>
    </row>
    <row r="320" spans="3:4" ht="15.75" customHeight="1">
      <c r="C320" s="1"/>
      <c r="D320" s="1"/>
    </row>
    <row r="321" spans="3:4" ht="15.75" customHeight="1">
      <c r="C321" s="1"/>
      <c r="D321" s="1"/>
    </row>
    <row r="322" spans="3:4" ht="15.75" customHeight="1">
      <c r="C322" s="1"/>
      <c r="D322" s="1"/>
    </row>
    <row r="323" spans="3:4" ht="15.75" customHeight="1">
      <c r="C323" s="1"/>
      <c r="D323" s="1"/>
    </row>
    <row r="324" spans="3:4" ht="15.75" customHeight="1">
      <c r="C324" s="1"/>
      <c r="D324" s="1"/>
    </row>
    <row r="325" spans="3:4" ht="15.75" customHeight="1">
      <c r="C325" s="1"/>
      <c r="D325" s="1"/>
    </row>
    <row r="326" spans="3:4" ht="15.75" customHeight="1">
      <c r="C326" s="1"/>
      <c r="D326" s="1"/>
    </row>
    <row r="327" spans="3:4" ht="15.75" customHeight="1">
      <c r="C327" s="1"/>
      <c r="D327" s="1"/>
    </row>
    <row r="328" spans="3:4" ht="15.75" customHeight="1">
      <c r="C328" s="1"/>
      <c r="D328" s="1"/>
    </row>
    <row r="329" spans="3:4" ht="15.75" customHeight="1">
      <c r="C329" s="1"/>
      <c r="D329" s="1"/>
    </row>
    <row r="330" spans="3:4" ht="15.75" customHeight="1">
      <c r="C330" s="1"/>
      <c r="D330" s="1"/>
    </row>
    <row r="331" spans="3:4" ht="15.75" customHeight="1">
      <c r="C331" s="1"/>
      <c r="D331" s="1"/>
    </row>
    <row r="332" spans="3:4" ht="15.75" customHeight="1">
      <c r="C332" s="1"/>
      <c r="D332" s="1"/>
    </row>
    <row r="333" spans="3:4" ht="15.75" customHeight="1">
      <c r="C333" s="1"/>
      <c r="D333" s="1"/>
    </row>
    <row r="334" spans="3:4" ht="15.75" customHeight="1">
      <c r="C334" s="1"/>
      <c r="D334" s="1"/>
    </row>
    <row r="335" spans="3:4" ht="15.75" customHeight="1">
      <c r="C335" s="1"/>
      <c r="D335" s="1"/>
    </row>
    <row r="336" spans="3:4" ht="15.75" customHeight="1">
      <c r="C336" s="1"/>
      <c r="D336" s="1"/>
    </row>
    <row r="337" spans="3:4" ht="15.75" customHeight="1">
      <c r="C337" s="1"/>
      <c r="D337" s="1"/>
    </row>
    <row r="338" spans="3:4" ht="15.75" customHeight="1">
      <c r="C338" s="1"/>
      <c r="D338" s="1"/>
    </row>
    <row r="339" spans="3:4" ht="15.75" customHeight="1">
      <c r="C339" s="1"/>
      <c r="D339" s="1"/>
    </row>
    <row r="340" spans="3:4" ht="15.75" customHeight="1">
      <c r="C340" s="1"/>
      <c r="D340" s="1"/>
    </row>
    <row r="341" spans="3:4" ht="15.75" customHeight="1">
      <c r="C341" s="1"/>
      <c r="D341" s="1"/>
    </row>
    <row r="342" spans="3:4" ht="15.75" customHeight="1">
      <c r="C342" s="1"/>
      <c r="D342" s="1"/>
    </row>
    <row r="343" spans="3:4" ht="15.75" customHeight="1">
      <c r="C343" s="1"/>
      <c r="D343" s="1"/>
    </row>
    <row r="344" spans="3:4" ht="15.75" customHeight="1">
      <c r="C344" s="1"/>
      <c r="D344" s="1"/>
    </row>
    <row r="345" spans="3:4" ht="15.75" customHeight="1">
      <c r="C345" s="1"/>
      <c r="D345" s="1"/>
    </row>
    <row r="346" spans="3:4" ht="15.75" customHeight="1">
      <c r="C346" s="1"/>
      <c r="D346" s="1"/>
    </row>
    <row r="347" spans="3:4" ht="15.75" customHeight="1">
      <c r="C347" s="1"/>
      <c r="D347" s="1"/>
    </row>
    <row r="348" spans="3:4" ht="15.75" customHeight="1">
      <c r="C348" s="1"/>
      <c r="D348" s="1"/>
    </row>
    <row r="349" spans="3:4" ht="15.75" customHeight="1">
      <c r="C349" s="1"/>
      <c r="D349" s="1"/>
    </row>
    <row r="350" spans="3:4" ht="15.75" customHeight="1">
      <c r="C350" s="1"/>
      <c r="D350" s="1"/>
    </row>
    <row r="351" spans="3:4" ht="15.75" customHeight="1">
      <c r="C351" s="1"/>
      <c r="D351" s="1"/>
    </row>
    <row r="352" spans="3:4" ht="15.75" customHeight="1">
      <c r="C352" s="1"/>
      <c r="D352" s="1"/>
    </row>
    <row r="353" spans="3:4" ht="15.75" customHeight="1">
      <c r="C353" s="1"/>
      <c r="D353" s="1"/>
    </row>
    <row r="354" spans="3:4" ht="15.75" customHeight="1">
      <c r="C354" s="1"/>
      <c r="D354" s="1"/>
    </row>
    <row r="355" spans="3:4" ht="15.75" customHeight="1">
      <c r="C355" s="1"/>
      <c r="D355" s="1"/>
    </row>
    <row r="356" spans="3:4" ht="15.75" customHeight="1">
      <c r="C356" s="1"/>
      <c r="D356" s="1"/>
    </row>
    <row r="357" spans="3:4" ht="15.75" customHeight="1">
      <c r="C357" s="1"/>
      <c r="D357" s="1"/>
    </row>
    <row r="358" spans="3:4" ht="15.75" customHeight="1">
      <c r="C358" s="1"/>
      <c r="D358" s="1"/>
    </row>
    <row r="359" spans="3:4" ht="15.75" customHeight="1">
      <c r="C359" s="1"/>
      <c r="D359" s="1"/>
    </row>
    <row r="360" spans="3:4" ht="15.75" customHeight="1">
      <c r="C360" s="1"/>
      <c r="D360" s="1"/>
    </row>
    <row r="361" spans="3:4" ht="15.75" customHeight="1">
      <c r="C361" s="1"/>
      <c r="D361" s="1"/>
    </row>
    <row r="362" spans="3:4" ht="15.75" customHeight="1">
      <c r="C362" s="1"/>
      <c r="D362" s="1"/>
    </row>
    <row r="363" spans="3:4" ht="15.75" customHeight="1">
      <c r="C363" s="1"/>
      <c r="D363" s="1"/>
    </row>
    <row r="364" spans="3:4" ht="15.75" customHeight="1">
      <c r="C364" s="1"/>
      <c r="D364" s="1"/>
    </row>
    <row r="365" spans="3:4" ht="15.75" customHeight="1">
      <c r="C365" s="1"/>
      <c r="D365" s="1"/>
    </row>
    <row r="366" spans="3:4" ht="15.75" customHeight="1">
      <c r="C366" s="1"/>
      <c r="D366" s="1"/>
    </row>
    <row r="367" spans="3:4" ht="15.75" customHeight="1">
      <c r="C367" s="1"/>
      <c r="D367" s="1"/>
    </row>
    <row r="368" spans="3:4" ht="15.75" customHeight="1">
      <c r="C368" s="1"/>
      <c r="D368" s="1"/>
    </row>
    <row r="369" spans="3:4" ht="15.75" customHeight="1">
      <c r="C369" s="1"/>
      <c r="D369" s="1"/>
    </row>
    <row r="370" spans="3:4" ht="15.75" customHeight="1">
      <c r="C370" s="1"/>
      <c r="D370" s="1"/>
    </row>
    <row r="371" spans="3:4" ht="15.75" customHeight="1">
      <c r="C371" s="1"/>
      <c r="D371" s="1"/>
    </row>
    <row r="372" spans="3:4" ht="15.75" customHeight="1">
      <c r="C372" s="1"/>
      <c r="D372" s="1"/>
    </row>
    <row r="373" spans="3:4" ht="15.75" customHeight="1">
      <c r="C373" s="1"/>
      <c r="D373" s="1"/>
    </row>
    <row r="374" spans="3:4" ht="15.75" customHeight="1">
      <c r="C374" s="1"/>
      <c r="D374" s="1"/>
    </row>
    <row r="375" spans="3:4" ht="15.75" customHeight="1">
      <c r="C375" s="1"/>
      <c r="D375" s="1"/>
    </row>
    <row r="376" spans="3:4" ht="15.75" customHeight="1">
      <c r="C376" s="1"/>
      <c r="D376" s="1"/>
    </row>
    <row r="377" spans="3:4" ht="15.75" customHeight="1">
      <c r="C377" s="1"/>
      <c r="D377" s="1"/>
    </row>
    <row r="378" spans="3:4" ht="15.75" customHeight="1">
      <c r="C378" s="1"/>
      <c r="D378" s="1"/>
    </row>
    <row r="379" spans="3:4" ht="15.75" customHeight="1">
      <c r="C379" s="1"/>
      <c r="D379" s="1"/>
    </row>
    <row r="380" spans="3:4" ht="15.75" customHeight="1">
      <c r="C380" s="1"/>
      <c r="D380" s="1"/>
    </row>
    <row r="381" spans="3:4" ht="15.75" customHeight="1">
      <c r="C381" s="1"/>
      <c r="D381" s="1"/>
    </row>
    <row r="382" spans="3:4" ht="15.75" customHeight="1">
      <c r="C382" s="1"/>
      <c r="D382" s="1"/>
    </row>
    <row r="383" spans="3:4" ht="15.75" customHeight="1">
      <c r="C383" s="1"/>
      <c r="D383" s="1"/>
    </row>
    <row r="384" spans="3:4" ht="15.75" customHeight="1">
      <c r="C384" s="1"/>
      <c r="D384" s="1"/>
    </row>
    <row r="385" spans="3:4" ht="15.75" customHeight="1">
      <c r="C385" s="1"/>
      <c r="D385" s="1"/>
    </row>
    <row r="386" spans="3:4" ht="15.75" customHeight="1">
      <c r="C386" s="1"/>
      <c r="D386" s="1"/>
    </row>
    <row r="387" spans="3:4" ht="15.75" customHeight="1">
      <c r="C387" s="1"/>
      <c r="D387" s="1"/>
    </row>
    <row r="388" spans="3:4" ht="15.75" customHeight="1">
      <c r="C388" s="1"/>
      <c r="D388" s="1"/>
    </row>
    <row r="389" spans="3:4" ht="15.75" customHeight="1">
      <c r="C389" s="1"/>
      <c r="D389" s="1"/>
    </row>
    <row r="390" spans="3:4" ht="15.75" customHeight="1">
      <c r="C390" s="1"/>
      <c r="D390" s="1"/>
    </row>
    <row r="391" spans="3:4" ht="15.75" customHeight="1">
      <c r="C391" s="1"/>
      <c r="D391" s="1"/>
    </row>
    <row r="392" spans="3:4" ht="15.75" customHeight="1">
      <c r="C392" s="1"/>
      <c r="D392" s="1"/>
    </row>
    <row r="393" spans="3:4" ht="15.75" customHeight="1">
      <c r="C393" s="1"/>
      <c r="D393" s="1"/>
    </row>
    <row r="394" spans="3:4" ht="15.75" customHeight="1">
      <c r="C394" s="1"/>
      <c r="D394" s="1"/>
    </row>
    <row r="395" spans="3:4" ht="15.75" customHeight="1">
      <c r="C395" s="1"/>
      <c r="D395" s="1"/>
    </row>
    <row r="396" spans="3:4" ht="15.75" customHeight="1">
      <c r="C396" s="1"/>
      <c r="D396" s="1"/>
    </row>
    <row r="397" spans="3:4" ht="15.75" customHeight="1">
      <c r="C397" s="1"/>
      <c r="D397" s="1"/>
    </row>
    <row r="398" spans="3:4" ht="15.75" customHeight="1">
      <c r="C398" s="1"/>
      <c r="D398" s="1"/>
    </row>
    <row r="399" spans="3:4" ht="15.75" customHeight="1">
      <c r="C399" s="1"/>
      <c r="D399" s="1"/>
    </row>
    <row r="400" spans="3:4" ht="15.75" customHeight="1">
      <c r="C400" s="1"/>
      <c r="D400" s="1"/>
    </row>
    <row r="401" spans="3:4" ht="15.75" customHeight="1">
      <c r="C401" s="1"/>
      <c r="D401" s="1"/>
    </row>
    <row r="402" spans="3:4" ht="15.75" customHeight="1">
      <c r="C402" s="1"/>
      <c r="D402" s="1"/>
    </row>
    <row r="403" spans="3:4" ht="15.75" customHeight="1">
      <c r="C403" s="1"/>
      <c r="D403" s="1"/>
    </row>
    <row r="404" spans="3:4" ht="15.75" customHeight="1">
      <c r="C404" s="1"/>
      <c r="D404" s="1"/>
    </row>
    <row r="405" spans="3:4" ht="15.75" customHeight="1">
      <c r="C405" s="1"/>
      <c r="D405" s="1"/>
    </row>
    <row r="406" spans="3:4" ht="15.75" customHeight="1">
      <c r="C406" s="1"/>
      <c r="D406" s="1"/>
    </row>
    <row r="407" spans="3:4" ht="15.75" customHeight="1">
      <c r="C407" s="1"/>
      <c r="D407" s="1"/>
    </row>
    <row r="408" spans="3:4" ht="15.75" customHeight="1">
      <c r="C408" s="1"/>
      <c r="D408" s="1"/>
    </row>
    <row r="409" spans="3:4" ht="15.75" customHeight="1">
      <c r="C409" s="1"/>
      <c r="D409" s="1"/>
    </row>
    <row r="410" spans="3:4" ht="15.75" customHeight="1">
      <c r="C410" s="1"/>
      <c r="D410" s="1"/>
    </row>
    <row r="411" spans="3:4" ht="15.75" customHeight="1">
      <c r="C411" s="1"/>
      <c r="D411" s="1"/>
    </row>
    <row r="412" spans="3:4" ht="15.75" customHeight="1">
      <c r="C412" s="1"/>
      <c r="D412" s="1"/>
    </row>
    <row r="413" spans="3:4" ht="15.75" customHeight="1">
      <c r="C413" s="1"/>
      <c r="D413" s="1"/>
    </row>
    <row r="414" spans="3:4" ht="15.75" customHeight="1">
      <c r="C414" s="1"/>
      <c r="D414" s="1"/>
    </row>
    <row r="415" spans="3:4" ht="15.75" customHeight="1">
      <c r="C415" s="1"/>
      <c r="D415" s="1"/>
    </row>
    <row r="416" spans="3:4" ht="15.75" customHeight="1">
      <c r="C416" s="1"/>
      <c r="D416" s="1"/>
    </row>
    <row r="417" spans="3:4" ht="15.75" customHeight="1">
      <c r="C417" s="1"/>
      <c r="D417" s="1"/>
    </row>
    <row r="418" spans="3:4" ht="15.75" customHeight="1">
      <c r="C418" s="1"/>
      <c r="D418" s="1"/>
    </row>
    <row r="419" spans="3:4" ht="15.75" customHeight="1">
      <c r="C419" s="1"/>
      <c r="D419" s="1"/>
    </row>
    <row r="420" spans="3:4" ht="15.75" customHeight="1">
      <c r="C420" s="1"/>
      <c r="D420" s="1"/>
    </row>
    <row r="421" spans="3:4" ht="15.75" customHeight="1">
      <c r="C421" s="1"/>
      <c r="D421" s="1"/>
    </row>
    <row r="422" spans="3:4" ht="15.75" customHeight="1">
      <c r="C422" s="1"/>
      <c r="D422" s="1"/>
    </row>
    <row r="423" spans="3:4" ht="15.75" customHeight="1">
      <c r="C423" s="1"/>
      <c r="D423" s="1"/>
    </row>
    <row r="424" spans="3:4" ht="15.75" customHeight="1">
      <c r="C424" s="1"/>
      <c r="D424" s="1"/>
    </row>
    <row r="425" spans="3:4" ht="15.75" customHeight="1">
      <c r="C425" s="1"/>
      <c r="D425" s="1"/>
    </row>
    <row r="426" spans="3:4" ht="15.75" customHeight="1">
      <c r="C426" s="1"/>
      <c r="D426" s="1"/>
    </row>
    <row r="427" spans="3:4" ht="15.75" customHeight="1">
      <c r="C427" s="1"/>
      <c r="D427" s="1"/>
    </row>
    <row r="428" spans="3:4" ht="15.75" customHeight="1">
      <c r="C428" s="1"/>
      <c r="D428" s="1"/>
    </row>
    <row r="429" spans="3:4" ht="15.75" customHeight="1">
      <c r="C429" s="1"/>
      <c r="D429" s="1"/>
    </row>
    <row r="430" spans="3:4" ht="15.75" customHeight="1">
      <c r="C430" s="1"/>
      <c r="D430" s="1"/>
    </row>
    <row r="431" spans="3:4" ht="15.75" customHeight="1">
      <c r="C431" s="1"/>
      <c r="D431" s="1"/>
    </row>
    <row r="432" spans="3:4" ht="15.75" customHeight="1">
      <c r="C432" s="1"/>
      <c r="D432" s="1"/>
    </row>
    <row r="433" spans="3:4" ht="15.75" customHeight="1">
      <c r="C433" s="1"/>
      <c r="D433" s="1"/>
    </row>
    <row r="434" spans="3:4" ht="15.75" customHeight="1">
      <c r="C434" s="1"/>
      <c r="D434" s="1"/>
    </row>
    <row r="435" spans="3:4" ht="15.75" customHeight="1">
      <c r="C435" s="1"/>
      <c r="D435" s="1"/>
    </row>
    <row r="436" spans="3:4" ht="15.75" customHeight="1">
      <c r="C436" s="1"/>
      <c r="D436" s="1"/>
    </row>
    <row r="437" spans="3:4" ht="15.75" customHeight="1">
      <c r="C437" s="1"/>
      <c r="D437" s="1"/>
    </row>
    <row r="438" spans="3:4" ht="15.75" customHeight="1">
      <c r="C438" s="1"/>
      <c r="D438" s="1"/>
    </row>
    <row r="439" spans="3:4" ht="15.75" customHeight="1">
      <c r="C439" s="1"/>
      <c r="D439" s="1"/>
    </row>
    <row r="440" spans="3:4" ht="15.75" customHeight="1">
      <c r="C440" s="1"/>
      <c r="D440" s="1"/>
    </row>
    <row r="441" spans="3:4" ht="15.75" customHeight="1">
      <c r="C441" s="1"/>
      <c r="D441" s="1"/>
    </row>
    <row r="442" spans="3:4" ht="15.75" customHeight="1">
      <c r="C442" s="1"/>
      <c r="D442" s="1"/>
    </row>
    <row r="443" spans="3:4" ht="15.75" customHeight="1">
      <c r="C443" s="1"/>
      <c r="D443" s="1"/>
    </row>
    <row r="444" spans="3:4" ht="15.75" customHeight="1">
      <c r="C444" s="1"/>
      <c r="D444" s="1"/>
    </row>
    <row r="445" spans="3:4" ht="15.75" customHeight="1">
      <c r="C445" s="1"/>
      <c r="D445" s="1"/>
    </row>
    <row r="446" spans="3:4" ht="15.75" customHeight="1">
      <c r="C446" s="1"/>
      <c r="D446" s="1"/>
    </row>
    <row r="447" spans="3:4" ht="15.75" customHeight="1">
      <c r="C447" s="1"/>
      <c r="D447" s="1"/>
    </row>
    <row r="448" spans="3:4" ht="15.75" customHeight="1">
      <c r="C448" s="1"/>
      <c r="D448" s="1"/>
    </row>
    <row r="449" spans="3:4" ht="15.75" customHeight="1">
      <c r="C449" s="1"/>
      <c r="D449" s="1"/>
    </row>
    <row r="450" spans="3:4" ht="15.75" customHeight="1">
      <c r="C450" s="1"/>
      <c r="D450" s="1"/>
    </row>
    <row r="451" spans="3:4" ht="15.75" customHeight="1">
      <c r="C451" s="1"/>
      <c r="D451" s="1"/>
    </row>
    <row r="452" spans="3:4" ht="15.75" customHeight="1">
      <c r="C452" s="1"/>
      <c r="D452" s="1"/>
    </row>
    <row r="453" spans="3:4" ht="15.75" customHeight="1">
      <c r="C453" s="1"/>
      <c r="D453" s="1"/>
    </row>
    <row r="454" spans="3:4" ht="15.75" customHeight="1">
      <c r="C454" s="1"/>
      <c r="D454" s="1"/>
    </row>
    <row r="455" spans="3:4" ht="15.75" customHeight="1">
      <c r="C455" s="1"/>
      <c r="D455" s="1"/>
    </row>
    <row r="456" spans="3:4" ht="15.75" customHeight="1">
      <c r="C456" s="1"/>
      <c r="D456" s="1"/>
    </row>
    <row r="457" spans="3:4" ht="15.75" customHeight="1">
      <c r="C457" s="1"/>
      <c r="D457" s="1"/>
    </row>
    <row r="458" spans="3:4" ht="15.75" customHeight="1">
      <c r="C458" s="1"/>
      <c r="D458" s="1"/>
    </row>
    <row r="459" spans="3:4" ht="15.75" customHeight="1">
      <c r="C459" s="1"/>
      <c r="D459" s="1"/>
    </row>
    <row r="460" spans="3:4" ht="15.75" customHeight="1">
      <c r="C460" s="1"/>
      <c r="D460" s="1"/>
    </row>
    <row r="461" spans="3:4" ht="15.75" customHeight="1">
      <c r="C461" s="1"/>
      <c r="D461" s="1"/>
    </row>
    <row r="462" spans="3:4" ht="15.75" customHeight="1">
      <c r="C462" s="1"/>
      <c r="D462" s="1"/>
    </row>
    <row r="463" spans="3:4" ht="15.75" customHeight="1">
      <c r="C463" s="1"/>
      <c r="D463" s="1"/>
    </row>
    <row r="464" spans="3:4" ht="15.75" customHeight="1">
      <c r="C464" s="1"/>
      <c r="D464" s="1"/>
    </row>
    <row r="465" spans="3:4" ht="15.75" customHeight="1">
      <c r="C465" s="1"/>
      <c r="D465" s="1"/>
    </row>
    <row r="466" spans="3:4" ht="15.75" customHeight="1">
      <c r="C466" s="1"/>
      <c r="D466" s="1"/>
    </row>
    <row r="467" spans="3:4" ht="15.75" customHeight="1">
      <c r="C467" s="1"/>
      <c r="D467" s="1"/>
    </row>
    <row r="468" spans="3:4" ht="15.75" customHeight="1">
      <c r="C468" s="1"/>
      <c r="D468" s="1"/>
    </row>
    <row r="469" spans="3:4" ht="15.75" customHeight="1">
      <c r="C469" s="1"/>
      <c r="D469" s="1"/>
    </row>
    <row r="470" spans="3:4" ht="15.75" customHeight="1">
      <c r="C470" s="1"/>
      <c r="D470" s="1"/>
    </row>
    <row r="471" spans="3:4" ht="15.75" customHeight="1">
      <c r="C471" s="1"/>
      <c r="D471" s="1"/>
    </row>
    <row r="472" spans="3:4" ht="15.75" customHeight="1">
      <c r="C472" s="1"/>
      <c r="D472" s="1"/>
    </row>
    <row r="473" spans="3:4" ht="15.75" customHeight="1">
      <c r="C473" s="1"/>
      <c r="D473" s="1"/>
    </row>
    <row r="474" spans="3:4" ht="15.75" customHeight="1">
      <c r="C474" s="1"/>
      <c r="D474" s="1"/>
    </row>
    <row r="475" spans="3:4" ht="15.75" customHeight="1">
      <c r="C475" s="1"/>
      <c r="D475" s="1"/>
    </row>
    <row r="476" spans="3:4" ht="15.75" customHeight="1">
      <c r="C476" s="1"/>
      <c r="D476" s="1"/>
    </row>
    <row r="477" spans="3:4" ht="15.75" customHeight="1">
      <c r="C477" s="1"/>
      <c r="D477" s="1"/>
    </row>
    <row r="478" spans="3:4" ht="15.75" customHeight="1">
      <c r="C478" s="1"/>
      <c r="D478" s="1"/>
    </row>
    <row r="479" spans="3:4" ht="15.75" customHeight="1">
      <c r="C479" s="1"/>
      <c r="D479" s="1"/>
    </row>
    <row r="480" spans="3:4" ht="15.75" customHeight="1">
      <c r="C480" s="1"/>
      <c r="D480" s="1"/>
    </row>
    <row r="481" spans="3:4" ht="15.75" customHeight="1">
      <c r="C481" s="1"/>
      <c r="D481" s="1"/>
    </row>
    <row r="482" spans="3:4" ht="15.75" customHeight="1">
      <c r="C482" s="1"/>
      <c r="D482" s="1"/>
    </row>
    <row r="483" spans="3:4" ht="15.75" customHeight="1">
      <c r="C483" s="1"/>
      <c r="D483" s="1"/>
    </row>
    <row r="484" spans="3:4" ht="15.75" customHeight="1">
      <c r="C484" s="1"/>
      <c r="D484" s="1"/>
    </row>
    <row r="485" spans="3:4" ht="15.75" customHeight="1">
      <c r="C485" s="1"/>
      <c r="D485" s="1"/>
    </row>
    <row r="486" spans="3:4" ht="15.75" customHeight="1">
      <c r="C486" s="1"/>
      <c r="D486" s="1"/>
    </row>
    <row r="487" spans="3:4" ht="15.75" customHeight="1">
      <c r="C487" s="1"/>
      <c r="D487" s="1"/>
    </row>
    <row r="488" spans="3:4" ht="15.75" customHeight="1">
      <c r="C488" s="1"/>
      <c r="D488" s="1"/>
    </row>
    <row r="489" spans="3:4" ht="15.75" customHeight="1">
      <c r="C489" s="1"/>
      <c r="D489" s="1"/>
    </row>
    <row r="490" spans="3:4" ht="15.75" customHeight="1">
      <c r="C490" s="1"/>
      <c r="D490" s="1"/>
    </row>
    <row r="491" spans="3:4" ht="15.75" customHeight="1">
      <c r="C491" s="1"/>
      <c r="D491" s="1"/>
    </row>
    <row r="492" spans="3:4" ht="15.75" customHeight="1">
      <c r="C492" s="1"/>
      <c r="D492" s="1"/>
    </row>
    <row r="493" spans="3:4" ht="15.75" customHeight="1">
      <c r="C493" s="1"/>
      <c r="D493" s="1"/>
    </row>
    <row r="494" spans="3:4" ht="15.75" customHeight="1">
      <c r="C494" s="1"/>
      <c r="D494" s="1"/>
    </row>
    <row r="495" spans="3:4" ht="15.75" customHeight="1">
      <c r="C495" s="1"/>
      <c r="D495" s="1"/>
    </row>
    <row r="496" spans="3:4" ht="15.75" customHeight="1">
      <c r="C496" s="1"/>
      <c r="D496" s="1"/>
    </row>
    <row r="497" spans="3:4" ht="15.75" customHeight="1">
      <c r="C497" s="1"/>
      <c r="D497" s="1"/>
    </row>
    <row r="498" spans="3:4" ht="15.75" customHeight="1">
      <c r="C498" s="1"/>
      <c r="D498" s="1"/>
    </row>
    <row r="499" spans="3:4" ht="15.75" customHeight="1">
      <c r="C499" s="1"/>
      <c r="D499" s="1"/>
    </row>
    <row r="500" spans="3:4" ht="15.75" customHeight="1">
      <c r="C500" s="1"/>
      <c r="D500" s="1"/>
    </row>
    <row r="501" spans="3:4" ht="15.75" customHeight="1">
      <c r="C501" s="1"/>
      <c r="D501" s="1"/>
    </row>
    <row r="502" spans="3:4" ht="15.75" customHeight="1">
      <c r="C502" s="1"/>
      <c r="D502" s="1"/>
    </row>
    <row r="503" spans="3:4" ht="15.75" customHeight="1">
      <c r="C503" s="1"/>
      <c r="D503" s="1"/>
    </row>
    <row r="504" spans="3:4" ht="15.75" customHeight="1">
      <c r="C504" s="1"/>
      <c r="D504" s="1"/>
    </row>
    <row r="505" spans="3:4" ht="15.75" customHeight="1">
      <c r="C505" s="1"/>
      <c r="D505" s="1"/>
    </row>
    <row r="506" spans="3:4" ht="15.75" customHeight="1">
      <c r="C506" s="1"/>
      <c r="D506" s="1"/>
    </row>
    <row r="507" spans="3:4" ht="15.75" customHeight="1">
      <c r="C507" s="1"/>
      <c r="D507" s="1"/>
    </row>
    <row r="508" spans="3:4" ht="15.75" customHeight="1">
      <c r="C508" s="1"/>
      <c r="D508" s="1"/>
    </row>
    <row r="509" spans="3:4" ht="15.75" customHeight="1">
      <c r="C509" s="1"/>
      <c r="D509" s="1"/>
    </row>
    <row r="510" spans="3:4" ht="15.75" customHeight="1">
      <c r="C510" s="1"/>
      <c r="D510" s="1"/>
    </row>
    <row r="511" spans="3:4" ht="15.75" customHeight="1">
      <c r="C511" s="1"/>
      <c r="D511" s="1"/>
    </row>
    <row r="512" spans="3:4" ht="15.75" customHeight="1">
      <c r="C512" s="1"/>
      <c r="D512" s="1"/>
    </row>
    <row r="513" spans="3:4" ht="15.75" customHeight="1">
      <c r="C513" s="1"/>
      <c r="D513" s="1"/>
    </row>
    <row r="514" spans="3:4" ht="15.75" customHeight="1">
      <c r="C514" s="1"/>
      <c r="D514" s="1"/>
    </row>
    <row r="515" spans="3:4" ht="15.75" customHeight="1">
      <c r="C515" s="1"/>
      <c r="D515" s="1"/>
    </row>
    <row r="516" spans="3:4" ht="15.75" customHeight="1">
      <c r="C516" s="1"/>
      <c r="D516" s="1"/>
    </row>
    <row r="517" spans="3:4" ht="15.75" customHeight="1">
      <c r="C517" s="1"/>
      <c r="D517" s="1"/>
    </row>
    <row r="518" spans="3:4" ht="15.75" customHeight="1">
      <c r="C518" s="1"/>
      <c r="D518" s="1"/>
    </row>
    <row r="519" spans="3:4" ht="15.75" customHeight="1">
      <c r="C519" s="1"/>
      <c r="D519" s="1"/>
    </row>
    <row r="520" spans="3:4" ht="15.75" customHeight="1">
      <c r="C520" s="1"/>
      <c r="D520" s="1"/>
    </row>
    <row r="521" spans="3:4" ht="15.75" customHeight="1">
      <c r="C521" s="1"/>
      <c r="D521" s="1"/>
    </row>
    <row r="522" spans="3:4" ht="15.75" customHeight="1">
      <c r="C522" s="1"/>
      <c r="D522" s="1"/>
    </row>
    <row r="523" spans="3:4" ht="15.75" customHeight="1">
      <c r="C523" s="1"/>
      <c r="D523" s="1"/>
    </row>
    <row r="524" spans="3:4" ht="15.75" customHeight="1">
      <c r="C524" s="1"/>
      <c r="D524" s="1"/>
    </row>
    <row r="525" spans="3:4" ht="15.75" customHeight="1">
      <c r="C525" s="1"/>
      <c r="D525" s="1"/>
    </row>
    <row r="526" spans="3:4" ht="15.75" customHeight="1">
      <c r="C526" s="1"/>
      <c r="D526" s="1"/>
    </row>
    <row r="527" spans="3:4" ht="15.75" customHeight="1">
      <c r="C527" s="1"/>
      <c r="D527" s="1"/>
    </row>
    <row r="528" spans="3:4" ht="15.75" customHeight="1">
      <c r="C528" s="1"/>
      <c r="D528" s="1"/>
    </row>
    <row r="529" spans="3:4" ht="15.75" customHeight="1">
      <c r="C529" s="1"/>
      <c r="D529" s="1"/>
    </row>
    <row r="530" spans="3:4" ht="15.75" customHeight="1">
      <c r="C530" s="1"/>
      <c r="D530" s="1"/>
    </row>
    <row r="531" spans="3:4" ht="15.75" customHeight="1">
      <c r="C531" s="1"/>
      <c r="D531" s="1"/>
    </row>
    <row r="532" spans="3:4" ht="15.75" customHeight="1">
      <c r="C532" s="1"/>
      <c r="D532" s="1"/>
    </row>
    <row r="533" spans="3:4" ht="15.75" customHeight="1">
      <c r="C533" s="1"/>
      <c r="D533" s="1"/>
    </row>
    <row r="534" spans="3:4" ht="15.75" customHeight="1">
      <c r="C534" s="1"/>
      <c r="D534" s="1"/>
    </row>
    <row r="535" spans="3:4" ht="15.75" customHeight="1">
      <c r="C535" s="1"/>
      <c r="D535" s="1"/>
    </row>
    <row r="536" spans="3:4" ht="15.75" customHeight="1">
      <c r="C536" s="1"/>
      <c r="D536" s="1"/>
    </row>
    <row r="537" spans="3:4" ht="15.75" customHeight="1">
      <c r="C537" s="1"/>
      <c r="D537" s="1"/>
    </row>
    <row r="538" spans="3:4" ht="15.75" customHeight="1">
      <c r="C538" s="1"/>
      <c r="D538" s="1"/>
    </row>
    <row r="539" spans="3:4" ht="15.75" customHeight="1">
      <c r="C539" s="1"/>
      <c r="D539" s="1"/>
    </row>
    <row r="540" spans="3:4" ht="15.75" customHeight="1">
      <c r="C540" s="1"/>
      <c r="D540" s="1"/>
    </row>
    <row r="541" spans="3:4" ht="15.75" customHeight="1">
      <c r="C541" s="1"/>
      <c r="D541" s="1"/>
    </row>
    <row r="542" spans="3:4" ht="15.75" customHeight="1">
      <c r="C542" s="1"/>
      <c r="D542" s="1"/>
    </row>
    <row r="543" spans="3:4" ht="15.75" customHeight="1">
      <c r="C543" s="1"/>
      <c r="D543" s="1"/>
    </row>
    <row r="544" spans="3:4" ht="15.75" customHeight="1">
      <c r="C544" s="1"/>
      <c r="D544" s="1"/>
    </row>
    <row r="545" spans="3:4" ht="15.75" customHeight="1">
      <c r="C545" s="1"/>
      <c r="D545" s="1"/>
    </row>
    <row r="546" spans="3:4" ht="15.75" customHeight="1">
      <c r="C546" s="1"/>
      <c r="D546" s="1"/>
    </row>
    <row r="547" spans="3:4" ht="15.75" customHeight="1">
      <c r="C547" s="1"/>
      <c r="D547" s="1"/>
    </row>
    <row r="548" spans="3:4" ht="15.75" customHeight="1">
      <c r="C548" s="1"/>
      <c r="D548" s="1"/>
    </row>
    <row r="549" spans="3:4" ht="15.75" customHeight="1">
      <c r="C549" s="1"/>
      <c r="D549" s="1"/>
    </row>
    <row r="550" spans="3:4" ht="15.75" customHeight="1">
      <c r="C550" s="1"/>
      <c r="D550" s="1"/>
    </row>
    <row r="551" spans="3:4" ht="15.75" customHeight="1">
      <c r="C551" s="1"/>
      <c r="D551" s="1"/>
    </row>
    <row r="552" spans="3:4" ht="15.75" customHeight="1">
      <c r="C552" s="1"/>
      <c r="D552" s="1"/>
    </row>
    <row r="553" spans="3:4" ht="15.75" customHeight="1">
      <c r="C553" s="1"/>
      <c r="D553" s="1"/>
    </row>
    <row r="554" spans="3:4" ht="15.75" customHeight="1">
      <c r="C554" s="1"/>
      <c r="D554" s="1"/>
    </row>
    <row r="555" spans="3:4" ht="15.75" customHeight="1">
      <c r="C555" s="1"/>
      <c r="D555" s="1"/>
    </row>
    <row r="556" spans="3:4" ht="15.75" customHeight="1">
      <c r="C556" s="1"/>
      <c r="D556" s="1"/>
    </row>
    <row r="557" spans="3:4" ht="15.75" customHeight="1">
      <c r="C557" s="1"/>
      <c r="D557" s="1"/>
    </row>
    <row r="558" spans="3:4" ht="15.75" customHeight="1">
      <c r="C558" s="1"/>
      <c r="D558" s="1"/>
    </row>
    <row r="559" spans="3:4" ht="15.75" customHeight="1">
      <c r="C559" s="1"/>
      <c r="D559" s="1"/>
    </row>
    <row r="560" spans="3:4" ht="15.75" customHeight="1">
      <c r="C560" s="1"/>
      <c r="D560" s="1"/>
    </row>
    <row r="561" spans="3:4" ht="15.75" customHeight="1">
      <c r="C561" s="1"/>
      <c r="D561" s="1"/>
    </row>
    <row r="562" spans="3:4" ht="15.75" customHeight="1">
      <c r="C562" s="1"/>
      <c r="D562" s="1"/>
    </row>
    <row r="563" spans="3:4" ht="15.75" customHeight="1">
      <c r="C563" s="1"/>
      <c r="D563" s="1"/>
    </row>
    <row r="564" spans="3:4" ht="15.75" customHeight="1">
      <c r="C564" s="1"/>
      <c r="D564" s="1"/>
    </row>
    <row r="565" spans="3:4" ht="15.75" customHeight="1">
      <c r="C565" s="1"/>
      <c r="D565" s="1"/>
    </row>
    <row r="566" spans="3:4" ht="15.75" customHeight="1">
      <c r="C566" s="1"/>
      <c r="D566" s="1"/>
    </row>
    <row r="567" spans="3:4" ht="15.75" customHeight="1">
      <c r="C567" s="1"/>
      <c r="D567" s="1"/>
    </row>
    <row r="568" spans="3:4" ht="15.75" customHeight="1">
      <c r="C568" s="1"/>
      <c r="D568" s="1"/>
    </row>
    <row r="569" spans="3:4" ht="15.75" customHeight="1">
      <c r="C569" s="1"/>
      <c r="D569" s="1"/>
    </row>
    <row r="570" spans="3:4" ht="15.75" customHeight="1">
      <c r="C570" s="1"/>
      <c r="D570" s="1"/>
    </row>
    <row r="571" spans="3:4" ht="15.75" customHeight="1">
      <c r="C571" s="1"/>
      <c r="D571" s="1"/>
    </row>
    <row r="572" spans="3:4" ht="15.75" customHeight="1">
      <c r="C572" s="1"/>
      <c r="D572" s="1"/>
    </row>
    <row r="573" spans="3:4" ht="15.75" customHeight="1">
      <c r="C573" s="1"/>
      <c r="D573" s="1"/>
    </row>
    <row r="574" spans="3:4" ht="15.75" customHeight="1">
      <c r="C574" s="1"/>
      <c r="D574" s="1"/>
    </row>
    <row r="575" spans="3:4" ht="15.75" customHeight="1">
      <c r="C575" s="1"/>
      <c r="D575" s="1"/>
    </row>
    <row r="576" spans="3:4" ht="15.75" customHeight="1">
      <c r="C576" s="1"/>
      <c r="D576" s="1"/>
    </row>
    <row r="577" spans="3:4" ht="15.75" customHeight="1">
      <c r="C577" s="1"/>
      <c r="D577" s="1"/>
    </row>
    <row r="578" spans="3:4" ht="15.75" customHeight="1">
      <c r="C578" s="1"/>
      <c r="D578" s="1"/>
    </row>
    <row r="579" spans="3:4" ht="15.75" customHeight="1">
      <c r="C579" s="1"/>
      <c r="D579" s="1"/>
    </row>
    <row r="580" spans="3:4" ht="15.75" customHeight="1">
      <c r="C580" s="1"/>
      <c r="D580" s="1"/>
    </row>
    <row r="581" spans="3:4" ht="15.75" customHeight="1">
      <c r="C581" s="1"/>
      <c r="D581" s="1"/>
    </row>
    <row r="582" spans="3:4" ht="15.75" customHeight="1">
      <c r="C582" s="1"/>
      <c r="D582" s="1"/>
    </row>
    <row r="583" spans="3:4" ht="15.75" customHeight="1">
      <c r="C583" s="1"/>
      <c r="D583" s="1"/>
    </row>
    <row r="584" spans="3:4" ht="15.75" customHeight="1">
      <c r="C584" s="1"/>
      <c r="D584" s="1"/>
    </row>
    <row r="585" spans="3:4" ht="15.75" customHeight="1">
      <c r="C585" s="1"/>
      <c r="D585" s="1"/>
    </row>
    <row r="586" spans="3:4" ht="15.75" customHeight="1">
      <c r="C586" s="1"/>
      <c r="D586" s="1"/>
    </row>
    <row r="587" spans="3:4" ht="15.75" customHeight="1">
      <c r="C587" s="1"/>
      <c r="D587" s="1"/>
    </row>
    <row r="588" spans="3:4" ht="15.75" customHeight="1">
      <c r="C588" s="1"/>
      <c r="D588" s="1"/>
    </row>
    <row r="589" spans="3:4" ht="15.75" customHeight="1">
      <c r="C589" s="1"/>
      <c r="D589" s="1"/>
    </row>
    <row r="590" spans="3:4" ht="15.75" customHeight="1">
      <c r="C590" s="1"/>
      <c r="D590" s="1"/>
    </row>
    <row r="591" spans="3:4" ht="15.75" customHeight="1">
      <c r="C591" s="1"/>
      <c r="D591" s="1"/>
    </row>
    <row r="592" spans="3:4" ht="15.75" customHeight="1">
      <c r="C592" s="1"/>
      <c r="D592" s="1"/>
    </row>
    <row r="593" spans="3:4" ht="15.75" customHeight="1">
      <c r="C593" s="1"/>
      <c r="D593" s="1"/>
    </row>
    <row r="594" spans="3:4" ht="15.75" customHeight="1">
      <c r="C594" s="1"/>
      <c r="D594" s="1"/>
    </row>
    <row r="595" spans="3:4" ht="15.75" customHeight="1">
      <c r="C595" s="1"/>
      <c r="D595" s="1"/>
    </row>
    <row r="596" spans="3:4" ht="15.75" customHeight="1">
      <c r="C596" s="1"/>
      <c r="D596" s="1"/>
    </row>
    <row r="597" spans="3:4" ht="15.75" customHeight="1">
      <c r="C597" s="1"/>
      <c r="D597" s="1"/>
    </row>
    <row r="598" spans="3:4" ht="15.75" customHeight="1">
      <c r="C598" s="1"/>
      <c r="D598" s="1"/>
    </row>
    <row r="599" spans="3:4" ht="15.75" customHeight="1">
      <c r="C599" s="1"/>
      <c r="D599" s="1"/>
    </row>
    <row r="600" spans="3:4" ht="15.75" customHeight="1">
      <c r="C600" s="1"/>
      <c r="D600" s="1"/>
    </row>
    <row r="601" spans="3:4" ht="15.75" customHeight="1">
      <c r="C601" s="1"/>
      <c r="D601" s="1"/>
    </row>
    <row r="602" spans="3:4" ht="15.75" customHeight="1">
      <c r="C602" s="1"/>
      <c r="D602" s="1"/>
    </row>
    <row r="603" spans="3:4" ht="15.75" customHeight="1">
      <c r="C603" s="1"/>
      <c r="D603" s="1"/>
    </row>
    <row r="604" spans="3:4" ht="15.75" customHeight="1">
      <c r="C604" s="1"/>
      <c r="D604" s="1"/>
    </row>
    <row r="605" spans="3:4" ht="15.75" customHeight="1">
      <c r="C605" s="1"/>
      <c r="D605" s="1"/>
    </row>
    <row r="606" spans="3:4" ht="15.75" customHeight="1">
      <c r="C606" s="1"/>
      <c r="D606" s="1"/>
    </row>
    <row r="607" spans="3:4" ht="15.75" customHeight="1">
      <c r="C607" s="1"/>
      <c r="D607" s="1"/>
    </row>
    <row r="608" spans="3:4" ht="15.75" customHeight="1">
      <c r="C608" s="1"/>
      <c r="D608" s="1"/>
    </row>
    <row r="609" spans="3:4" ht="15.75" customHeight="1">
      <c r="C609" s="1"/>
      <c r="D609" s="1"/>
    </row>
    <row r="610" spans="3:4" ht="15.75" customHeight="1">
      <c r="C610" s="1"/>
      <c r="D610" s="1"/>
    </row>
    <row r="611" spans="3:4" ht="15.75" customHeight="1">
      <c r="C611" s="1"/>
      <c r="D611" s="1"/>
    </row>
    <row r="612" spans="3:4" ht="15.75" customHeight="1">
      <c r="C612" s="1"/>
      <c r="D612" s="1"/>
    </row>
    <row r="613" spans="3:4" ht="15.75" customHeight="1">
      <c r="C613" s="1"/>
      <c r="D613" s="1"/>
    </row>
    <row r="614" spans="3:4" ht="15.75" customHeight="1">
      <c r="C614" s="1"/>
      <c r="D614" s="1"/>
    </row>
    <row r="615" spans="3:4" ht="15.75" customHeight="1">
      <c r="C615" s="1"/>
      <c r="D615" s="1"/>
    </row>
    <row r="616" spans="3:4" ht="15.75" customHeight="1">
      <c r="C616" s="1"/>
      <c r="D616" s="1"/>
    </row>
    <row r="617" spans="3:4" ht="15.75" customHeight="1">
      <c r="C617" s="1"/>
      <c r="D617" s="1"/>
    </row>
    <row r="618" spans="3:4" ht="15.75" customHeight="1">
      <c r="C618" s="1"/>
      <c r="D618" s="1"/>
    </row>
    <row r="619" spans="3:4" ht="15.75" customHeight="1">
      <c r="C619" s="1"/>
      <c r="D619" s="1"/>
    </row>
    <row r="620" spans="3:4" ht="15.75" customHeight="1">
      <c r="C620" s="1"/>
      <c r="D620" s="1"/>
    </row>
    <row r="621" spans="3:4" ht="15.75" customHeight="1">
      <c r="C621" s="1"/>
      <c r="D621" s="1"/>
    </row>
    <row r="622" spans="3:4" ht="15.75" customHeight="1">
      <c r="C622" s="1"/>
      <c r="D622" s="1"/>
    </row>
    <row r="623" spans="3:4" ht="15.75" customHeight="1">
      <c r="C623" s="1"/>
      <c r="D623" s="1"/>
    </row>
    <row r="624" spans="3:4" ht="15.75" customHeight="1">
      <c r="C624" s="1"/>
      <c r="D624" s="1"/>
    </row>
    <row r="625" spans="3:4" ht="15.75" customHeight="1">
      <c r="C625" s="1"/>
      <c r="D625" s="1"/>
    </row>
    <row r="626" spans="3:4" ht="15.75" customHeight="1">
      <c r="C626" s="1"/>
      <c r="D626" s="1"/>
    </row>
    <row r="627" spans="3:4" ht="15.75" customHeight="1">
      <c r="C627" s="1"/>
      <c r="D627" s="1"/>
    </row>
    <row r="628" spans="3:4" ht="15.75" customHeight="1">
      <c r="C628" s="1"/>
      <c r="D628" s="1"/>
    </row>
    <row r="629" spans="3:4" ht="15.75" customHeight="1">
      <c r="C629" s="1"/>
      <c r="D629" s="1"/>
    </row>
    <row r="630" spans="3:4" ht="15.75" customHeight="1">
      <c r="C630" s="1"/>
      <c r="D630" s="1"/>
    </row>
    <row r="631" spans="3:4" ht="15.75" customHeight="1">
      <c r="C631" s="1"/>
      <c r="D631" s="1"/>
    </row>
    <row r="632" spans="3:4" ht="15.75" customHeight="1">
      <c r="C632" s="1"/>
      <c r="D632" s="1"/>
    </row>
    <row r="633" spans="3:4" ht="15.75" customHeight="1">
      <c r="C633" s="1"/>
      <c r="D633" s="1"/>
    </row>
    <row r="634" spans="3:4" ht="15.75" customHeight="1">
      <c r="C634" s="1"/>
      <c r="D634" s="1"/>
    </row>
    <row r="635" spans="3:4" ht="15.75" customHeight="1">
      <c r="C635" s="1"/>
      <c r="D635" s="1"/>
    </row>
    <row r="636" spans="3:4" ht="15.75" customHeight="1">
      <c r="C636" s="1"/>
      <c r="D636" s="1"/>
    </row>
    <row r="637" spans="3:4" ht="15.75" customHeight="1">
      <c r="C637" s="1"/>
      <c r="D637" s="1"/>
    </row>
    <row r="638" spans="3:4" ht="15.75" customHeight="1">
      <c r="C638" s="1"/>
      <c r="D638" s="1"/>
    </row>
    <row r="639" spans="3:4" ht="15.75" customHeight="1">
      <c r="C639" s="1"/>
      <c r="D639" s="1"/>
    </row>
    <row r="640" spans="3:4" ht="15.75" customHeight="1">
      <c r="C640" s="1"/>
      <c r="D640" s="1"/>
    </row>
    <row r="641" spans="3:4" ht="15.75" customHeight="1">
      <c r="C641" s="1"/>
      <c r="D641" s="1"/>
    </row>
    <row r="642" spans="3:4" ht="15.75" customHeight="1">
      <c r="C642" s="1"/>
      <c r="D642" s="1"/>
    </row>
    <row r="643" spans="3:4" ht="15.75" customHeight="1">
      <c r="C643" s="1"/>
      <c r="D643" s="1"/>
    </row>
    <row r="644" spans="3:4" ht="15.75" customHeight="1">
      <c r="C644" s="1"/>
      <c r="D644" s="1"/>
    </row>
    <row r="645" spans="3:4" ht="15.75" customHeight="1">
      <c r="C645" s="1"/>
      <c r="D645" s="1"/>
    </row>
    <row r="646" spans="3:4" ht="15.75" customHeight="1">
      <c r="C646" s="1"/>
      <c r="D646" s="1"/>
    </row>
    <row r="647" spans="3:4" ht="15.75" customHeight="1">
      <c r="C647" s="1"/>
      <c r="D647" s="1"/>
    </row>
    <row r="648" spans="3:4" ht="15.75" customHeight="1">
      <c r="C648" s="1"/>
      <c r="D648" s="1"/>
    </row>
    <row r="649" spans="3:4" ht="15.75" customHeight="1">
      <c r="C649" s="1"/>
      <c r="D649" s="1"/>
    </row>
    <row r="650" spans="3:4" ht="15.75" customHeight="1">
      <c r="C650" s="1"/>
      <c r="D650" s="1"/>
    </row>
    <row r="651" spans="3:4" ht="15.75" customHeight="1">
      <c r="C651" s="1"/>
      <c r="D651" s="1"/>
    </row>
    <row r="652" spans="3:4" ht="15.75" customHeight="1">
      <c r="C652" s="1"/>
      <c r="D652" s="1"/>
    </row>
    <row r="653" spans="3:4" ht="15.75" customHeight="1">
      <c r="C653" s="1"/>
      <c r="D653" s="1"/>
    </row>
    <row r="654" spans="3:4" ht="15.75" customHeight="1">
      <c r="C654" s="1"/>
      <c r="D654" s="1"/>
    </row>
    <row r="655" spans="3:4" ht="15.75" customHeight="1">
      <c r="C655" s="1"/>
      <c r="D655" s="1"/>
    </row>
    <row r="656" spans="3:4" ht="15.75" customHeight="1">
      <c r="C656" s="1"/>
      <c r="D656" s="1"/>
    </row>
    <row r="657" spans="3:4" ht="15.75" customHeight="1">
      <c r="C657" s="1"/>
      <c r="D657" s="1"/>
    </row>
    <row r="658" spans="3:4" ht="15.75" customHeight="1">
      <c r="C658" s="1"/>
      <c r="D658" s="1"/>
    </row>
    <row r="659" spans="3:4" ht="15.75" customHeight="1">
      <c r="C659" s="1"/>
      <c r="D659" s="1"/>
    </row>
    <row r="660" spans="3:4" ht="15.75" customHeight="1">
      <c r="C660" s="1"/>
      <c r="D660" s="1"/>
    </row>
    <row r="661" spans="3:4" ht="15.75" customHeight="1">
      <c r="C661" s="1"/>
      <c r="D661" s="1"/>
    </row>
    <row r="662" spans="3:4" ht="15.75" customHeight="1">
      <c r="C662" s="1"/>
      <c r="D662" s="1"/>
    </row>
    <row r="663" spans="3:4" ht="15.75" customHeight="1">
      <c r="C663" s="1"/>
      <c r="D663" s="1"/>
    </row>
    <row r="664" spans="3:4" ht="15.75" customHeight="1">
      <c r="C664" s="1"/>
      <c r="D664" s="1"/>
    </row>
    <row r="665" spans="3:4" ht="15.75" customHeight="1">
      <c r="C665" s="1"/>
      <c r="D665" s="1"/>
    </row>
    <row r="666" spans="3:4" ht="15.75" customHeight="1">
      <c r="C666" s="1"/>
      <c r="D666" s="1"/>
    </row>
    <row r="667" spans="3:4" ht="15.75" customHeight="1">
      <c r="C667" s="1"/>
      <c r="D667" s="1"/>
    </row>
    <row r="668" spans="3:4" ht="15.75" customHeight="1">
      <c r="C668" s="1"/>
      <c r="D668" s="1"/>
    </row>
    <row r="669" spans="3:4" ht="15.75" customHeight="1">
      <c r="C669" s="1"/>
      <c r="D669" s="1"/>
    </row>
    <row r="670" spans="3:4" ht="15.75" customHeight="1">
      <c r="C670" s="1"/>
      <c r="D670" s="1"/>
    </row>
    <row r="671" spans="3:4" ht="15.75" customHeight="1">
      <c r="C671" s="1"/>
      <c r="D671" s="1"/>
    </row>
    <row r="672" spans="3:4" ht="15.75" customHeight="1">
      <c r="C672" s="1"/>
      <c r="D672" s="1"/>
    </row>
    <row r="673" spans="3:4" ht="15.75" customHeight="1">
      <c r="C673" s="1"/>
      <c r="D673" s="1"/>
    </row>
    <row r="674" spans="3:4" ht="15.75" customHeight="1">
      <c r="C674" s="1"/>
      <c r="D674" s="1"/>
    </row>
    <row r="675" spans="3:4" ht="15.75" customHeight="1">
      <c r="C675" s="1"/>
      <c r="D675" s="1"/>
    </row>
    <row r="676" spans="3:4" ht="15.75" customHeight="1">
      <c r="C676" s="1"/>
      <c r="D676" s="1"/>
    </row>
    <row r="677" spans="3:4" ht="15.75" customHeight="1">
      <c r="C677" s="1"/>
      <c r="D677" s="1"/>
    </row>
    <row r="678" spans="3:4" ht="15.75" customHeight="1">
      <c r="C678" s="1"/>
      <c r="D678" s="1"/>
    </row>
    <row r="679" spans="3:4" ht="15.75" customHeight="1">
      <c r="C679" s="1"/>
      <c r="D679" s="1"/>
    </row>
    <row r="680" spans="3:4" ht="15.75" customHeight="1">
      <c r="C680" s="1"/>
      <c r="D680" s="1"/>
    </row>
    <row r="681" spans="3:4" ht="15.75" customHeight="1">
      <c r="C681" s="1"/>
      <c r="D681" s="1"/>
    </row>
    <row r="682" spans="3:4" ht="15.75" customHeight="1">
      <c r="C682" s="1"/>
      <c r="D682" s="1"/>
    </row>
    <row r="683" spans="3:4" ht="15.75" customHeight="1">
      <c r="C683" s="1"/>
      <c r="D683" s="1"/>
    </row>
    <row r="684" spans="3:4" ht="15.75" customHeight="1">
      <c r="C684" s="1"/>
      <c r="D684" s="1"/>
    </row>
    <row r="685" spans="3:4" ht="15.75" customHeight="1">
      <c r="C685" s="1"/>
      <c r="D685" s="1"/>
    </row>
    <row r="686" spans="3:4" ht="15.75" customHeight="1">
      <c r="C686" s="1"/>
      <c r="D686" s="1"/>
    </row>
    <row r="687" spans="3:4" ht="15.75" customHeight="1">
      <c r="C687" s="1"/>
      <c r="D687" s="1"/>
    </row>
    <row r="688" spans="3:4" ht="15.75" customHeight="1">
      <c r="C688" s="1"/>
      <c r="D688" s="1"/>
    </row>
    <row r="689" spans="3:4" ht="15.75" customHeight="1">
      <c r="C689" s="1"/>
      <c r="D689" s="1"/>
    </row>
    <row r="690" spans="3:4" ht="15.75" customHeight="1">
      <c r="C690" s="1"/>
      <c r="D690" s="1"/>
    </row>
    <row r="691" spans="3:4" ht="15.75" customHeight="1">
      <c r="C691" s="1"/>
      <c r="D691" s="1"/>
    </row>
    <row r="692" spans="3:4" ht="15.75" customHeight="1">
      <c r="C692" s="1"/>
      <c r="D692" s="1"/>
    </row>
    <row r="693" spans="3:4" ht="15.75" customHeight="1">
      <c r="C693" s="1"/>
      <c r="D693" s="1"/>
    </row>
    <row r="694" spans="3:4" ht="15.75" customHeight="1">
      <c r="C694" s="1"/>
      <c r="D694" s="1"/>
    </row>
    <row r="695" spans="3:4" ht="15.75" customHeight="1">
      <c r="C695" s="1"/>
      <c r="D695" s="1"/>
    </row>
    <row r="696" spans="3:4" ht="15.75" customHeight="1">
      <c r="C696" s="1"/>
      <c r="D696" s="1"/>
    </row>
    <row r="697" spans="3:4" ht="15.75" customHeight="1">
      <c r="C697" s="1"/>
      <c r="D697" s="1"/>
    </row>
    <row r="698" spans="3:4" ht="15.75" customHeight="1">
      <c r="C698" s="1"/>
      <c r="D698" s="1"/>
    </row>
    <row r="699" spans="3:4" ht="15.75" customHeight="1">
      <c r="C699" s="1"/>
      <c r="D699" s="1"/>
    </row>
    <row r="700" spans="3:4" ht="15.75" customHeight="1">
      <c r="C700" s="1"/>
      <c r="D700" s="1"/>
    </row>
    <row r="701" spans="3:4" ht="15.75" customHeight="1">
      <c r="C701" s="1"/>
      <c r="D701" s="1"/>
    </row>
    <row r="702" spans="3:4" ht="15.75" customHeight="1">
      <c r="C702" s="1"/>
      <c r="D702" s="1"/>
    </row>
    <row r="703" spans="3:4" ht="15.75" customHeight="1">
      <c r="C703" s="1"/>
      <c r="D703" s="1"/>
    </row>
    <row r="704" spans="3:4" ht="15.75" customHeight="1">
      <c r="C704" s="1"/>
      <c r="D704" s="1"/>
    </row>
    <row r="705" spans="3:4" ht="15.75" customHeight="1">
      <c r="C705" s="1"/>
      <c r="D705" s="1"/>
    </row>
    <row r="706" spans="3:4" ht="15.75" customHeight="1">
      <c r="C706" s="1"/>
      <c r="D706" s="1"/>
    </row>
    <row r="707" spans="3:4" ht="15.75" customHeight="1">
      <c r="C707" s="1"/>
      <c r="D707" s="1"/>
    </row>
    <row r="708" spans="3:4" ht="15.75" customHeight="1">
      <c r="C708" s="1"/>
      <c r="D708" s="1"/>
    </row>
    <row r="709" spans="3:4" ht="15.75" customHeight="1">
      <c r="C709" s="1"/>
      <c r="D709" s="1"/>
    </row>
    <row r="710" spans="3:4" ht="15.75" customHeight="1">
      <c r="C710" s="1"/>
      <c r="D710" s="1"/>
    </row>
    <row r="711" spans="3:4" ht="15.75" customHeight="1">
      <c r="C711" s="1"/>
      <c r="D711" s="1"/>
    </row>
    <row r="712" spans="3:4" ht="15.75" customHeight="1">
      <c r="C712" s="1"/>
      <c r="D712" s="1"/>
    </row>
    <row r="713" spans="3:4" ht="15.75" customHeight="1">
      <c r="C713" s="1"/>
      <c r="D713" s="1"/>
    </row>
    <row r="714" spans="3:4" ht="15.75" customHeight="1">
      <c r="C714" s="1"/>
      <c r="D714" s="1"/>
    </row>
    <row r="715" spans="3:4" ht="15.75" customHeight="1">
      <c r="C715" s="1"/>
      <c r="D715" s="1"/>
    </row>
    <row r="716" spans="3:4" ht="15.75" customHeight="1">
      <c r="C716" s="1"/>
      <c r="D716" s="1"/>
    </row>
    <row r="717" spans="3:4" ht="15.75" customHeight="1">
      <c r="C717" s="1"/>
      <c r="D717" s="1"/>
    </row>
    <row r="718" spans="3:4" ht="15.75" customHeight="1">
      <c r="C718" s="1"/>
      <c r="D718" s="1"/>
    </row>
    <row r="719" spans="3:4" ht="15.75" customHeight="1">
      <c r="C719" s="1"/>
      <c r="D719" s="1"/>
    </row>
    <row r="720" spans="3:4" ht="15.75" customHeight="1">
      <c r="C720" s="1"/>
      <c r="D720" s="1"/>
    </row>
    <row r="721" spans="3:4" ht="15.75" customHeight="1">
      <c r="C721" s="1"/>
      <c r="D721" s="1"/>
    </row>
    <row r="722" spans="3:4" ht="15.75" customHeight="1">
      <c r="C722" s="1"/>
      <c r="D722" s="1"/>
    </row>
    <row r="723" spans="3:4" ht="15.75" customHeight="1">
      <c r="C723" s="1"/>
      <c r="D723" s="1"/>
    </row>
    <row r="724" spans="3:4" ht="15.75" customHeight="1">
      <c r="C724" s="1"/>
      <c r="D724" s="1"/>
    </row>
    <row r="725" spans="3:4" ht="15.75" customHeight="1">
      <c r="C725" s="1"/>
      <c r="D725" s="1"/>
    </row>
    <row r="726" spans="3:4" ht="15.75" customHeight="1">
      <c r="C726" s="1"/>
      <c r="D726" s="1"/>
    </row>
    <row r="727" spans="3:4" ht="15.75" customHeight="1">
      <c r="C727" s="1"/>
      <c r="D727" s="1"/>
    </row>
    <row r="728" spans="3:4" ht="15.75" customHeight="1">
      <c r="C728" s="1"/>
      <c r="D728" s="1"/>
    </row>
    <row r="729" spans="3:4" ht="15.75" customHeight="1">
      <c r="C729" s="1"/>
      <c r="D729" s="1"/>
    </row>
    <row r="730" spans="3:4" ht="15.75" customHeight="1">
      <c r="C730" s="1"/>
      <c r="D730" s="1"/>
    </row>
    <row r="731" spans="3:4" ht="15.75" customHeight="1">
      <c r="C731" s="1"/>
      <c r="D731" s="1"/>
    </row>
    <row r="732" spans="3:4" ht="15.75" customHeight="1">
      <c r="C732" s="1"/>
      <c r="D732" s="1"/>
    </row>
    <row r="733" spans="3:4" ht="15.75" customHeight="1">
      <c r="C733" s="1"/>
      <c r="D733" s="1"/>
    </row>
    <row r="734" spans="3:4" ht="15.75" customHeight="1">
      <c r="C734" s="1"/>
      <c r="D734" s="1"/>
    </row>
    <row r="735" spans="3:4" ht="15.75" customHeight="1">
      <c r="C735" s="1"/>
      <c r="D735" s="1"/>
    </row>
    <row r="736" spans="3:4" ht="15.75" customHeight="1">
      <c r="C736" s="1"/>
      <c r="D736" s="1"/>
    </row>
    <row r="737" spans="3:4" ht="15.75" customHeight="1">
      <c r="C737" s="1"/>
      <c r="D737" s="1"/>
    </row>
    <row r="738" spans="3:4" ht="15.75" customHeight="1">
      <c r="C738" s="1"/>
      <c r="D738" s="1"/>
    </row>
    <row r="739" spans="3:4" ht="15.75" customHeight="1">
      <c r="C739" s="1"/>
      <c r="D739" s="1"/>
    </row>
    <row r="740" spans="3:4" ht="15.75" customHeight="1">
      <c r="C740" s="1"/>
      <c r="D740" s="1"/>
    </row>
    <row r="741" spans="3:4" ht="15.75" customHeight="1">
      <c r="C741" s="1"/>
      <c r="D741" s="1"/>
    </row>
    <row r="742" spans="3:4" ht="15.75" customHeight="1">
      <c r="C742" s="1"/>
      <c r="D742" s="1"/>
    </row>
    <row r="743" spans="3:4" ht="15.75" customHeight="1">
      <c r="C743" s="1"/>
      <c r="D743" s="1"/>
    </row>
    <row r="744" spans="3:4" ht="15.75" customHeight="1">
      <c r="C744" s="1"/>
      <c r="D744" s="1"/>
    </row>
    <row r="745" spans="3:4" ht="15.75" customHeight="1">
      <c r="C745" s="1"/>
      <c r="D745" s="1"/>
    </row>
    <row r="746" spans="3:4" ht="15.75" customHeight="1">
      <c r="C746" s="1"/>
      <c r="D746" s="1"/>
    </row>
    <row r="747" spans="3:4" ht="15.75" customHeight="1">
      <c r="C747" s="1"/>
      <c r="D747" s="1"/>
    </row>
    <row r="748" spans="3:4" ht="15.75" customHeight="1">
      <c r="C748" s="1"/>
      <c r="D748" s="1"/>
    </row>
    <row r="749" spans="3:4" ht="15.75" customHeight="1">
      <c r="C749" s="1"/>
      <c r="D749" s="1"/>
    </row>
    <row r="750" spans="3:4" ht="15.75" customHeight="1">
      <c r="C750" s="1"/>
      <c r="D750" s="1"/>
    </row>
    <row r="751" spans="3:4" ht="15.75" customHeight="1">
      <c r="C751" s="1"/>
      <c r="D751" s="1"/>
    </row>
    <row r="752" spans="3:4" ht="15.75" customHeight="1">
      <c r="C752" s="1"/>
      <c r="D752" s="1"/>
    </row>
    <row r="753" spans="3:4" ht="15.75" customHeight="1">
      <c r="C753" s="1"/>
      <c r="D753" s="1"/>
    </row>
    <row r="754" spans="3:4" ht="15.75" customHeight="1">
      <c r="C754" s="1"/>
      <c r="D754" s="1"/>
    </row>
    <row r="755" spans="3:4" ht="15.75" customHeight="1">
      <c r="C755" s="1"/>
      <c r="D755" s="1"/>
    </row>
    <row r="756" spans="3:4" ht="15.75" customHeight="1">
      <c r="C756" s="1"/>
      <c r="D756" s="1"/>
    </row>
    <row r="757" spans="3:4" ht="15.75" customHeight="1">
      <c r="C757" s="1"/>
      <c r="D757" s="1"/>
    </row>
    <row r="758" spans="3:4" ht="15.75" customHeight="1">
      <c r="C758" s="1"/>
      <c r="D758" s="1"/>
    </row>
    <row r="759" spans="3:4" ht="15.75" customHeight="1">
      <c r="C759" s="1"/>
      <c r="D759" s="1"/>
    </row>
    <row r="760" spans="3:4" ht="15.75" customHeight="1">
      <c r="C760" s="1"/>
      <c r="D760" s="1"/>
    </row>
    <row r="761" spans="3:4" ht="15.75" customHeight="1">
      <c r="C761" s="1"/>
      <c r="D761" s="1"/>
    </row>
    <row r="762" spans="3:4" ht="15.75" customHeight="1">
      <c r="C762" s="1"/>
      <c r="D762" s="1"/>
    </row>
    <row r="763" spans="3:4" ht="15.75" customHeight="1">
      <c r="C763" s="1"/>
      <c r="D763" s="1"/>
    </row>
    <row r="764" spans="3:4" ht="15.75" customHeight="1">
      <c r="C764" s="1"/>
      <c r="D764" s="1"/>
    </row>
    <row r="765" spans="3:4" ht="15.75" customHeight="1">
      <c r="C765" s="1"/>
      <c r="D765" s="1"/>
    </row>
    <row r="766" spans="3:4" ht="15.75" customHeight="1">
      <c r="C766" s="1"/>
      <c r="D766" s="1"/>
    </row>
    <row r="767" spans="3:4" ht="15.75" customHeight="1">
      <c r="C767" s="1"/>
      <c r="D767" s="1"/>
    </row>
    <row r="768" spans="3:4" ht="15.75" customHeight="1">
      <c r="C768" s="1"/>
      <c r="D768" s="1"/>
    </row>
    <row r="769" spans="3:4" ht="15.75" customHeight="1">
      <c r="C769" s="1"/>
      <c r="D769" s="1"/>
    </row>
    <row r="770" spans="3:4" ht="15.75" customHeight="1">
      <c r="C770" s="1"/>
      <c r="D770" s="1"/>
    </row>
    <row r="771" spans="3:4" ht="15.75" customHeight="1">
      <c r="C771" s="1"/>
      <c r="D771" s="1"/>
    </row>
    <row r="772" spans="3:4" ht="15.75" customHeight="1">
      <c r="C772" s="1"/>
      <c r="D772" s="1"/>
    </row>
    <row r="773" spans="3:4" ht="15.75" customHeight="1">
      <c r="C773" s="1"/>
      <c r="D773" s="1"/>
    </row>
    <row r="774" spans="3:4" ht="15.75" customHeight="1">
      <c r="C774" s="1"/>
      <c r="D774" s="1"/>
    </row>
    <row r="775" spans="3:4" ht="15.75" customHeight="1">
      <c r="C775" s="1"/>
      <c r="D775" s="1"/>
    </row>
    <row r="776" spans="3:4" ht="15.75" customHeight="1">
      <c r="C776" s="1"/>
      <c r="D776" s="1"/>
    </row>
    <row r="777" spans="3:4" ht="15.75" customHeight="1">
      <c r="C777" s="1"/>
      <c r="D777" s="1"/>
    </row>
    <row r="778" spans="3:4" ht="15.75" customHeight="1">
      <c r="C778" s="1"/>
      <c r="D778" s="1"/>
    </row>
    <row r="779" spans="3:4" ht="15.75" customHeight="1">
      <c r="C779" s="1"/>
      <c r="D779" s="1"/>
    </row>
    <row r="780" spans="3:4" ht="15.75" customHeight="1">
      <c r="C780" s="1"/>
      <c r="D780" s="1"/>
    </row>
    <row r="781" spans="3:4" ht="15.75" customHeight="1">
      <c r="C781" s="1"/>
      <c r="D781" s="1"/>
    </row>
    <row r="782" spans="3:4" ht="15.75" customHeight="1">
      <c r="C782" s="1"/>
      <c r="D782" s="1"/>
    </row>
    <row r="783" spans="3:4" ht="15.75" customHeight="1">
      <c r="C783" s="1"/>
      <c r="D783" s="1"/>
    </row>
    <row r="784" spans="3:4" ht="15.75" customHeight="1">
      <c r="C784" s="1"/>
      <c r="D784" s="1"/>
    </row>
    <row r="785" spans="3:4" ht="15.75" customHeight="1">
      <c r="C785" s="1"/>
      <c r="D785" s="1"/>
    </row>
    <row r="786" spans="3:4" ht="15.75" customHeight="1">
      <c r="C786" s="1"/>
      <c r="D786" s="1"/>
    </row>
    <row r="787" spans="3:4" ht="15.75" customHeight="1">
      <c r="C787" s="1"/>
      <c r="D787" s="1"/>
    </row>
    <row r="788" spans="3:4" ht="15.75" customHeight="1">
      <c r="C788" s="1"/>
      <c r="D788" s="1"/>
    </row>
    <row r="789" spans="3:4" ht="15.75" customHeight="1">
      <c r="C789" s="1"/>
      <c r="D789" s="1"/>
    </row>
    <row r="790" spans="3:4" ht="15.75" customHeight="1">
      <c r="C790" s="1"/>
      <c r="D790" s="1"/>
    </row>
    <row r="791" spans="3:4" ht="15.75" customHeight="1">
      <c r="C791" s="1"/>
      <c r="D791" s="1"/>
    </row>
    <row r="792" spans="3:4" ht="15.75" customHeight="1">
      <c r="C792" s="1"/>
      <c r="D792" s="1"/>
    </row>
    <row r="793" spans="3:4" ht="15.75" customHeight="1">
      <c r="C793" s="1"/>
      <c r="D793" s="1"/>
    </row>
    <row r="794" spans="3:4" ht="15.75" customHeight="1">
      <c r="C794" s="1"/>
      <c r="D794" s="1"/>
    </row>
    <row r="795" spans="3:4" ht="15.75" customHeight="1">
      <c r="C795" s="1"/>
      <c r="D795" s="1"/>
    </row>
    <row r="796" spans="3:4" ht="15.75" customHeight="1">
      <c r="C796" s="1"/>
      <c r="D796" s="1"/>
    </row>
    <row r="797" spans="3:4" ht="15.75" customHeight="1">
      <c r="C797" s="1"/>
      <c r="D797" s="1"/>
    </row>
    <row r="798" spans="3:4" ht="15.75" customHeight="1">
      <c r="C798" s="1"/>
      <c r="D798" s="1"/>
    </row>
    <row r="799" spans="3:4" ht="15.75" customHeight="1">
      <c r="C799" s="1"/>
      <c r="D799" s="1"/>
    </row>
    <row r="800" spans="3:4" ht="15.75" customHeight="1">
      <c r="C800" s="1"/>
      <c r="D800" s="1"/>
    </row>
    <row r="801" spans="3:4" ht="15.75" customHeight="1">
      <c r="C801" s="1"/>
      <c r="D801" s="1"/>
    </row>
    <row r="802" spans="3:4" ht="15.75" customHeight="1">
      <c r="C802" s="1"/>
      <c r="D802" s="1"/>
    </row>
    <row r="803" spans="3:4" ht="15.75" customHeight="1">
      <c r="C803" s="1"/>
      <c r="D803" s="1"/>
    </row>
    <row r="804" spans="3:4" ht="15.75" customHeight="1">
      <c r="C804" s="1"/>
      <c r="D804" s="1"/>
    </row>
    <row r="805" spans="3:4" ht="15.75" customHeight="1">
      <c r="C805" s="1"/>
      <c r="D805" s="1"/>
    </row>
    <row r="806" spans="3:4" ht="15.75" customHeight="1">
      <c r="C806" s="1"/>
      <c r="D806" s="1"/>
    </row>
    <row r="807" spans="3:4" ht="15.75" customHeight="1">
      <c r="C807" s="1"/>
      <c r="D807" s="1"/>
    </row>
    <row r="808" spans="3:4" ht="15.75" customHeight="1">
      <c r="C808" s="1"/>
      <c r="D808" s="1"/>
    </row>
    <row r="809" spans="3:4" ht="15.75" customHeight="1">
      <c r="C809" s="1"/>
      <c r="D809" s="1"/>
    </row>
    <row r="810" spans="3:4" ht="15.75" customHeight="1">
      <c r="C810" s="1"/>
      <c r="D810" s="1"/>
    </row>
    <row r="811" spans="3:4" ht="15.75" customHeight="1">
      <c r="C811" s="1"/>
      <c r="D811" s="1"/>
    </row>
    <row r="812" spans="3:4" ht="15.75" customHeight="1">
      <c r="C812" s="1"/>
      <c r="D812" s="1"/>
    </row>
    <row r="813" spans="3:4" ht="15.75" customHeight="1">
      <c r="C813" s="1"/>
      <c r="D813" s="1"/>
    </row>
    <row r="814" spans="3:4" ht="15.75" customHeight="1">
      <c r="C814" s="1"/>
      <c r="D814" s="1"/>
    </row>
    <row r="815" spans="3:4" ht="15.75" customHeight="1">
      <c r="C815" s="1"/>
      <c r="D815" s="1"/>
    </row>
    <row r="816" spans="3:4" ht="15.75" customHeight="1">
      <c r="C816" s="1"/>
      <c r="D816" s="1"/>
    </row>
    <row r="817" spans="3:4" ht="15.75" customHeight="1">
      <c r="C817" s="1"/>
      <c r="D817" s="1"/>
    </row>
    <row r="818" spans="3:4" ht="15.75" customHeight="1">
      <c r="C818" s="1"/>
      <c r="D818" s="1"/>
    </row>
    <row r="819" spans="3:4" ht="15.75" customHeight="1">
      <c r="C819" s="1"/>
      <c r="D819" s="1"/>
    </row>
    <row r="820" spans="3:4" ht="15.75" customHeight="1">
      <c r="C820" s="1"/>
      <c r="D820" s="1"/>
    </row>
    <row r="821" spans="3:4" ht="15.75" customHeight="1">
      <c r="C821" s="1"/>
      <c r="D821" s="1"/>
    </row>
    <row r="822" spans="3:4" ht="15.75" customHeight="1">
      <c r="C822" s="1"/>
      <c r="D822" s="1"/>
    </row>
    <row r="823" spans="3:4" ht="15.75" customHeight="1">
      <c r="C823" s="1"/>
      <c r="D823" s="1"/>
    </row>
    <row r="824" spans="3:4" ht="15.75" customHeight="1">
      <c r="C824" s="1"/>
      <c r="D824" s="1"/>
    </row>
    <row r="825" spans="3:4" ht="15.75" customHeight="1">
      <c r="C825" s="1"/>
      <c r="D825" s="1"/>
    </row>
    <row r="826" spans="3:4" ht="15.75" customHeight="1">
      <c r="C826" s="1"/>
      <c r="D826" s="1"/>
    </row>
    <row r="827" spans="3:4" ht="15.75" customHeight="1">
      <c r="C827" s="1"/>
      <c r="D827" s="1"/>
    </row>
    <row r="828" spans="3:4" ht="15.75" customHeight="1">
      <c r="C828" s="1"/>
      <c r="D828" s="1"/>
    </row>
    <row r="829" spans="3:4" ht="15.75" customHeight="1">
      <c r="C829" s="1"/>
      <c r="D829" s="1"/>
    </row>
    <row r="830" spans="3:4" ht="15.75" customHeight="1">
      <c r="C830" s="1"/>
      <c r="D830" s="1"/>
    </row>
    <row r="831" spans="3:4" ht="15.75" customHeight="1">
      <c r="C831" s="1"/>
      <c r="D831" s="1"/>
    </row>
    <row r="832" spans="3:4" ht="15.75" customHeight="1">
      <c r="C832" s="1"/>
      <c r="D832" s="1"/>
    </row>
    <row r="833" spans="3:4" ht="15.75" customHeight="1">
      <c r="C833" s="1"/>
      <c r="D833" s="1"/>
    </row>
    <row r="834" spans="3:4" ht="15.75" customHeight="1">
      <c r="C834" s="1"/>
      <c r="D834" s="1"/>
    </row>
    <row r="835" spans="3:4" ht="15.75" customHeight="1">
      <c r="C835" s="1"/>
      <c r="D835" s="1"/>
    </row>
    <row r="836" spans="3:4" ht="15.75" customHeight="1">
      <c r="C836" s="1"/>
      <c r="D836" s="1"/>
    </row>
    <row r="837" spans="3:4" ht="15.75" customHeight="1">
      <c r="C837" s="1"/>
      <c r="D837" s="1"/>
    </row>
    <row r="838" spans="3:4" ht="15.75" customHeight="1">
      <c r="C838" s="1"/>
      <c r="D838" s="1"/>
    </row>
    <row r="839" spans="3:4" ht="15.75" customHeight="1">
      <c r="C839" s="1"/>
      <c r="D839" s="1"/>
    </row>
    <row r="840" spans="3:4" ht="15.75" customHeight="1">
      <c r="C840" s="1"/>
      <c r="D840" s="1"/>
    </row>
    <row r="841" spans="3:4" ht="15.75" customHeight="1">
      <c r="C841" s="1"/>
      <c r="D841" s="1"/>
    </row>
    <row r="842" spans="3:4" ht="15.75" customHeight="1">
      <c r="C842" s="1"/>
      <c r="D842" s="1"/>
    </row>
    <row r="843" spans="3:4" ht="15.75" customHeight="1">
      <c r="C843" s="1"/>
      <c r="D843" s="1"/>
    </row>
    <row r="844" spans="3:4" ht="15.75" customHeight="1">
      <c r="C844" s="1"/>
      <c r="D844" s="1"/>
    </row>
    <row r="845" spans="3:4" ht="15.75" customHeight="1">
      <c r="C845" s="1"/>
      <c r="D845" s="1"/>
    </row>
    <row r="846" spans="3:4" ht="15.75" customHeight="1">
      <c r="C846" s="1"/>
      <c r="D846" s="1"/>
    </row>
    <row r="847" spans="3:4" ht="15.75" customHeight="1">
      <c r="C847" s="1"/>
      <c r="D847" s="1"/>
    </row>
    <row r="848" spans="3:4" ht="15.75" customHeight="1">
      <c r="C848" s="1"/>
      <c r="D848" s="1"/>
    </row>
    <row r="849" spans="3:4" ht="15.75" customHeight="1">
      <c r="C849" s="1"/>
      <c r="D849" s="1"/>
    </row>
    <row r="850" spans="3:4" ht="15.75" customHeight="1">
      <c r="C850" s="1"/>
      <c r="D850" s="1"/>
    </row>
    <row r="851" spans="3:4" ht="15.75" customHeight="1">
      <c r="C851" s="1"/>
      <c r="D851" s="1"/>
    </row>
    <row r="852" spans="3:4" ht="15.75" customHeight="1">
      <c r="C852" s="1"/>
      <c r="D852" s="1"/>
    </row>
    <row r="853" spans="3:4" ht="15.75" customHeight="1">
      <c r="C853" s="1"/>
      <c r="D853" s="1"/>
    </row>
    <row r="854" spans="3:4" ht="15.75" customHeight="1">
      <c r="C854" s="1"/>
      <c r="D854" s="1"/>
    </row>
    <row r="855" spans="3:4" ht="15.75" customHeight="1">
      <c r="C855" s="1"/>
      <c r="D855" s="1"/>
    </row>
    <row r="856" spans="3:4" ht="15.75" customHeight="1">
      <c r="C856" s="1"/>
      <c r="D856" s="1"/>
    </row>
    <row r="857" spans="3:4" ht="15.75" customHeight="1">
      <c r="C857" s="1"/>
      <c r="D857" s="1"/>
    </row>
    <row r="858" spans="3:4" ht="15.75" customHeight="1">
      <c r="C858" s="1"/>
      <c r="D858" s="1"/>
    </row>
    <row r="859" spans="3:4" ht="15.75" customHeight="1">
      <c r="C859" s="1"/>
      <c r="D859" s="1"/>
    </row>
    <row r="860" spans="3:4" ht="15.75" customHeight="1">
      <c r="C860" s="1"/>
      <c r="D860" s="1"/>
    </row>
    <row r="861" spans="3:4" ht="15.75" customHeight="1">
      <c r="C861" s="1"/>
      <c r="D861" s="1"/>
    </row>
    <row r="862" spans="3:4" ht="15.75" customHeight="1">
      <c r="C862" s="1"/>
      <c r="D862" s="1"/>
    </row>
    <row r="863" spans="3:4" ht="15.75" customHeight="1">
      <c r="C863" s="1"/>
      <c r="D863" s="1"/>
    </row>
    <row r="864" spans="3:4" ht="15.75" customHeight="1">
      <c r="C864" s="1"/>
      <c r="D864" s="1"/>
    </row>
    <row r="865" spans="3:4" ht="15.75" customHeight="1">
      <c r="C865" s="1"/>
      <c r="D865" s="1"/>
    </row>
    <row r="866" spans="3:4" ht="15.75" customHeight="1">
      <c r="C866" s="1"/>
      <c r="D866" s="1"/>
    </row>
    <row r="867" spans="3:4" ht="15.75" customHeight="1">
      <c r="C867" s="1"/>
      <c r="D867" s="1"/>
    </row>
    <row r="868" spans="3:4" ht="15.75" customHeight="1">
      <c r="C868" s="1"/>
      <c r="D868" s="1"/>
    </row>
    <row r="869" spans="3:4" ht="15.75" customHeight="1">
      <c r="C869" s="1"/>
      <c r="D869" s="1"/>
    </row>
    <row r="870" spans="3:4" ht="15.75" customHeight="1">
      <c r="C870" s="1"/>
      <c r="D870" s="1"/>
    </row>
    <row r="871" spans="3:4" ht="15.75" customHeight="1">
      <c r="C871" s="1"/>
      <c r="D871" s="1"/>
    </row>
    <row r="872" spans="3:4" ht="15.75" customHeight="1">
      <c r="C872" s="1"/>
      <c r="D872" s="1"/>
    </row>
    <row r="873" spans="3:4" ht="15.75" customHeight="1">
      <c r="C873" s="1"/>
      <c r="D873" s="1"/>
    </row>
    <row r="874" spans="3:4" ht="15.75" customHeight="1">
      <c r="C874" s="1"/>
      <c r="D874" s="1"/>
    </row>
    <row r="875" spans="3:4" ht="15.75" customHeight="1">
      <c r="C875" s="1"/>
      <c r="D875" s="1"/>
    </row>
    <row r="876" spans="3:4" ht="15.75" customHeight="1">
      <c r="C876" s="1"/>
      <c r="D876" s="1"/>
    </row>
    <row r="877" spans="3:4" ht="15.75" customHeight="1">
      <c r="C877" s="1"/>
      <c r="D877" s="1"/>
    </row>
    <row r="878" spans="3:4" ht="15.75" customHeight="1">
      <c r="C878" s="1"/>
      <c r="D878" s="1"/>
    </row>
    <row r="879" spans="3:4" ht="15.75" customHeight="1">
      <c r="C879" s="1"/>
      <c r="D879" s="1"/>
    </row>
    <row r="880" spans="3:4" ht="15.75" customHeight="1">
      <c r="C880" s="1"/>
      <c r="D880" s="1"/>
    </row>
    <row r="881" spans="3:4" ht="15.75" customHeight="1">
      <c r="C881" s="1"/>
      <c r="D881" s="1"/>
    </row>
    <row r="882" spans="3:4" ht="15.75" customHeight="1">
      <c r="C882" s="1"/>
      <c r="D882" s="1"/>
    </row>
    <row r="883" spans="3:4" ht="15.75" customHeight="1">
      <c r="C883" s="1"/>
      <c r="D883" s="1"/>
    </row>
    <row r="884" spans="3:4" ht="15.75" customHeight="1">
      <c r="C884" s="1"/>
      <c r="D884" s="1"/>
    </row>
    <row r="885" spans="3:4" ht="15.75" customHeight="1">
      <c r="C885" s="1"/>
      <c r="D885" s="1"/>
    </row>
    <row r="886" spans="3:4" ht="15.75" customHeight="1">
      <c r="C886" s="1"/>
      <c r="D886" s="1"/>
    </row>
    <row r="887" spans="3:4" ht="15.75" customHeight="1">
      <c r="C887" s="1"/>
      <c r="D887" s="1"/>
    </row>
    <row r="888" spans="3:4" ht="15.75" customHeight="1">
      <c r="C888" s="1"/>
      <c r="D888" s="1"/>
    </row>
    <row r="889" spans="3:4" ht="15.75" customHeight="1">
      <c r="C889" s="1"/>
      <c r="D889" s="1"/>
    </row>
    <row r="890" spans="3:4" ht="15.75" customHeight="1">
      <c r="C890" s="1"/>
      <c r="D890" s="1"/>
    </row>
    <row r="891" spans="3:4" ht="15.75" customHeight="1">
      <c r="C891" s="1"/>
      <c r="D891" s="1"/>
    </row>
    <row r="892" spans="3:4" ht="15.75" customHeight="1">
      <c r="C892" s="1"/>
      <c r="D892" s="1"/>
    </row>
    <row r="893" spans="3:4" ht="15.75" customHeight="1">
      <c r="C893" s="1"/>
      <c r="D893" s="1"/>
    </row>
    <row r="894" spans="3:4" ht="15.75" customHeight="1">
      <c r="C894" s="1"/>
      <c r="D894" s="1"/>
    </row>
    <row r="895" spans="3:4" ht="15.75" customHeight="1">
      <c r="C895" s="1"/>
      <c r="D895" s="1"/>
    </row>
    <row r="896" spans="3:4" ht="15.75" customHeight="1">
      <c r="C896" s="1"/>
      <c r="D896" s="1"/>
    </row>
    <row r="897" spans="3:4" ht="15.75" customHeight="1">
      <c r="C897" s="1"/>
      <c r="D897" s="1"/>
    </row>
    <row r="898" spans="3:4" ht="15.75" customHeight="1">
      <c r="C898" s="1"/>
      <c r="D898" s="1"/>
    </row>
    <row r="899" spans="3:4" ht="15.75" customHeight="1">
      <c r="C899" s="1"/>
      <c r="D899" s="1"/>
    </row>
    <row r="900" spans="3:4" ht="15.75" customHeight="1">
      <c r="C900" s="1"/>
      <c r="D900" s="1"/>
    </row>
    <row r="901" spans="3:4" ht="15.75" customHeight="1">
      <c r="C901" s="1"/>
      <c r="D901" s="1"/>
    </row>
    <row r="902" spans="3:4" ht="15.75" customHeight="1">
      <c r="C902" s="1"/>
      <c r="D902" s="1"/>
    </row>
    <row r="903" spans="3:4" ht="15.75" customHeight="1">
      <c r="C903" s="1"/>
      <c r="D903" s="1"/>
    </row>
    <row r="904" spans="3:4" ht="15.75" customHeight="1">
      <c r="C904" s="1"/>
      <c r="D904" s="1"/>
    </row>
    <row r="905" spans="3:4" ht="15.75" customHeight="1">
      <c r="C905" s="1"/>
      <c r="D905" s="1"/>
    </row>
    <row r="906" spans="3:4" ht="15.75" customHeight="1">
      <c r="C906" s="1"/>
      <c r="D906" s="1"/>
    </row>
    <row r="907" spans="3:4" ht="15.75" customHeight="1">
      <c r="C907" s="1"/>
      <c r="D907" s="1"/>
    </row>
    <row r="908" spans="3:4" ht="15.75" customHeight="1">
      <c r="C908" s="1"/>
      <c r="D908" s="1"/>
    </row>
    <row r="909" spans="3:4" ht="15.75" customHeight="1">
      <c r="C909" s="1"/>
      <c r="D909" s="1"/>
    </row>
    <row r="910" spans="3:4" ht="15.75" customHeight="1">
      <c r="C910" s="1"/>
      <c r="D910" s="1"/>
    </row>
    <row r="911" spans="3:4" ht="15.75" customHeight="1">
      <c r="C911" s="1"/>
      <c r="D911" s="1"/>
    </row>
    <row r="912" spans="3:4" ht="15.75" customHeight="1">
      <c r="C912" s="1"/>
      <c r="D912" s="1"/>
    </row>
    <row r="913" spans="3:4" ht="15.75" customHeight="1">
      <c r="C913" s="1"/>
      <c r="D913" s="1"/>
    </row>
    <row r="914" spans="3:4" ht="15.75" customHeight="1">
      <c r="C914" s="1"/>
      <c r="D914" s="1"/>
    </row>
    <row r="915" spans="3:4" ht="15.75" customHeight="1">
      <c r="C915" s="1"/>
      <c r="D915" s="1"/>
    </row>
    <row r="916" spans="3:4" ht="15.75" customHeight="1">
      <c r="C916" s="1"/>
      <c r="D916" s="1"/>
    </row>
    <row r="917" spans="3:4" ht="15.75" customHeight="1">
      <c r="C917" s="1"/>
      <c r="D917" s="1"/>
    </row>
    <row r="918" spans="3:4" ht="15.75" customHeight="1">
      <c r="C918" s="1"/>
      <c r="D918" s="1"/>
    </row>
    <row r="919" spans="3:4" ht="15.75" customHeight="1">
      <c r="C919" s="1"/>
      <c r="D919" s="1"/>
    </row>
    <row r="920" spans="3:4" ht="15.75" customHeight="1">
      <c r="C920" s="1"/>
      <c r="D920" s="1"/>
    </row>
    <row r="921" spans="3:4" ht="15.75" customHeight="1">
      <c r="C921" s="1"/>
      <c r="D921" s="1"/>
    </row>
    <row r="922" spans="3:4" ht="15.75" customHeight="1">
      <c r="C922" s="1"/>
      <c r="D922" s="1"/>
    </row>
    <row r="923" spans="3:4" ht="15.75" customHeight="1">
      <c r="C923" s="1"/>
      <c r="D923" s="1"/>
    </row>
    <row r="924" spans="3:4" ht="15.75" customHeight="1">
      <c r="C924" s="1"/>
      <c r="D924" s="1"/>
    </row>
    <row r="925" spans="3:4" ht="15.75" customHeight="1">
      <c r="C925" s="1"/>
      <c r="D925" s="1"/>
    </row>
    <row r="926" spans="3:4" ht="15.75" customHeight="1">
      <c r="C926" s="1"/>
      <c r="D926" s="1"/>
    </row>
    <row r="927" spans="3:4" ht="15.75" customHeight="1">
      <c r="C927" s="1"/>
      <c r="D927" s="1"/>
    </row>
    <row r="928" spans="3:4" ht="15.75" customHeight="1">
      <c r="C928" s="1"/>
      <c r="D928" s="1"/>
    </row>
    <row r="929" spans="3:4" ht="15.75" customHeight="1">
      <c r="C929" s="1"/>
      <c r="D929" s="1"/>
    </row>
    <row r="930" spans="3:4" ht="15.75" customHeight="1">
      <c r="C930" s="1"/>
      <c r="D930" s="1"/>
    </row>
    <row r="931" spans="3:4" ht="15.75" customHeight="1">
      <c r="C931" s="1"/>
      <c r="D931" s="1"/>
    </row>
    <row r="932" spans="3:4" ht="15.75" customHeight="1">
      <c r="C932" s="1"/>
      <c r="D932" s="1"/>
    </row>
    <row r="933" spans="3:4" ht="15.75" customHeight="1">
      <c r="C933" s="1"/>
      <c r="D933" s="1"/>
    </row>
    <row r="934" spans="3:4" ht="15.75" customHeight="1">
      <c r="C934" s="1"/>
      <c r="D934" s="1"/>
    </row>
    <row r="935" spans="3:4" ht="15.75" customHeight="1">
      <c r="C935" s="1"/>
      <c r="D935" s="1"/>
    </row>
    <row r="936" spans="3:4" ht="15.75" customHeight="1">
      <c r="C936" s="1"/>
      <c r="D936" s="1"/>
    </row>
    <row r="937" spans="3:4" ht="15.75" customHeight="1">
      <c r="C937" s="1"/>
      <c r="D937" s="1"/>
    </row>
    <row r="938" spans="3:4" ht="15.75" customHeight="1">
      <c r="C938" s="1"/>
      <c r="D938" s="1"/>
    </row>
    <row r="939" spans="3:4" ht="15.75" customHeight="1">
      <c r="C939" s="1"/>
      <c r="D939" s="1"/>
    </row>
    <row r="940" spans="3:4" ht="15.75" customHeight="1">
      <c r="C940" s="1"/>
      <c r="D940" s="1"/>
    </row>
    <row r="941" spans="3:4" ht="15.75" customHeight="1">
      <c r="C941" s="1"/>
      <c r="D941" s="1"/>
    </row>
    <row r="942" spans="3:4" ht="15.75" customHeight="1">
      <c r="C942" s="1"/>
      <c r="D942" s="1"/>
    </row>
    <row r="943" spans="3:4" ht="15.75" customHeight="1">
      <c r="C943" s="1"/>
      <c r="D943" s="1"/>
    </row>
    <row r="944" spans="3:4" ht="15.75" customHeight="1">
      <c r="C944" s="1"/>
      <c r="D944" s="1"/>
    </row>
    <row r="945" spans="3:4" ht="15.75" customHeight="1">
      <c r="C945" s="1"/>
      <c r="D945" s="1"/>
    </row>
    <row r="946" spans="3:4" ht="15.75" customHeight="1">
      <c r="C946" s="1"/>
      <c r="D946" s="1"/>
    </row>
    <row r="947" spans="3:4" ht="15.75" customHeight="1">
      <c r="C947" s="1"/>
      <c r="D947" s="1"/>
    </row>
    <row r="948" spans="3:4" ht="15.75" customHeight="1">
      <c r="C948" s="1"/>
      <c r="D948" s="1"/>
    </row>
    <row r="949" spans="3:4" ht="15.75" customHeight="1">
      <c r="C949" s="1"/>
      <c r="D949" s="1"/>
    </row>
    <row r="950" spans="3:4" ht="15.75" customHeight="1">
      <c r="C950" s="1"/>
      <c r="D950" s="1"/>
    </row>
    <row r="951" spans="3:4" ht="15.75" customHeight="1">
      <c r="C951" s="1"/>
      <c r="D951" s="1"/>
    </row>
    <row r="952" spans="3:4" ht="15.75" customHeight="1">
      <c r="C952" s="1"/>
      <c r="D952" s="1"/>
    </row>
    <row r="953" spans="3:4" ht="15.75" customHeight="1">
      <c r="C953" s="1"/>
      <c r="D953" s="1"/>
    </row>
    <row r="954" spans="3:4" ht="15.75" customHeight="1">
      <c r="C954" s="1"/>
      <c r="D954" s="1"/>
    </row>
    <row r="955" spans="3:4" ht="15.75" customHeight="1">
      <c r="C955" s="1"/>
      <c r="D955" s="1"/>
    </row>
    <row r="956" spans="3:4" ht="15.75" customHeight="1">
      <c r="C956" s="1"/>
      <c r="D956" s="1"/>
    </row>
    <row r="957" spans="3:4" ht="15.75" customHeight="1">
      <c r="C957" s="1"/>
      <c r="D957" s="1"/>
    </row>
    <row r="958" spans="3:4" ht="15.75" customHeight="1">
      <c r="C958" s="1"/>
      <c r="D958" s="1"/>
    </row>
    <row r="959" spans="3:4" ht="15.75" customHeight="1">
      <c r="C959" s="1"/>
      <c r="D959" s="1"/>
    </row>
    <row r="960" spans="3:4" ht="15.75" customHeight="1">
      <c r="C960" s="1"/>
      <c r="D960" s="1"/>
    </row>
    <row r="961" spans="3:4" ht="15.75" customHeight="1">
      <c r="C961" s="1"/>
      <c r="D961" s="1"/>
    </row>
    <row r="962" spans="3:4" ht="15.75" customHeight="1">
      <c r="C962" s="1"/>
      <c r="D962" s="1"/>
    </row>
    <row r="963" spans="3:4" ht="15.75" customHeight="1">
      <c r="C963" s="1"/>
      <c r="D963" s="1"/>
    </row>
    <row r="964" spans="3:4" ht="15.75" customHeight="1">
      <c r="C964" s="1"/>
      <c r="D964" s="1"/>
    </row>
    <row r="965" spans="3:4" ht="15.75" customHeight="1">
      <c r="C965" s="1"/>
      <c r="D965" s="1"/>
    </row>
    <row r="966" spans="3:4" ht="15.75" customHeight="1">
      <c r="C966" s="1"/>
      <c r="D966" s="1"/>
    </row>
    <row r="967" spans="3:4" ht="15.75" customHeight="1">
      <c r="C967" s="1"/>
      <c r="D967" s="1"/>
    </row>
    <row r="968" spans="3:4" ht="15.75" customHeight="1">
      <c r="C968" s="1"/>
      <c r="D968" s="1"/>
    </row>
    <row r="969" spans="3:4" ht="15.75" customHeight="1">
      <c r="C969" s="1"/>
      <c r="D969" s="1"/>
    </row>
    <row r="970" spans="3:4" ht="15.75" customHeight="1">
      <c r="C970" s="1"/>
      <c r="D970" s="1"/>
    </row>
    <row r="971" spans="3:4" ht="15.75" customHeight="1">
      <c r="C971" s="1"/>
      <c r="D971" s="1"/>
    </row>
    <row r="972" spans="3:4" ht="15.75" customHeight="1">
      <c r="C972" s="1"/>
      <c r="D972" s="1"/>
    </row>
    <row r="973" spans="3:4" ht="15.75" customHeight="1">
      <c r="C973" s="1"/>
      <c r="D973" s="1"/>
    </row>
    <row r="974" spans="3:4" ht="15.75" customHeight="1">
      <c r="C974" s="1"/>
      <c r="D974" s="1"/>
    </row>
    <row r="975" spans="3:4" ht="15.75" customHeight="1">
      <c r="C975" s="1"/>
      <c r="D975" s="1"/>
    </row>
    <row r="976" spans="3:4" ht="15.75" customHeight="1">
      <c r="C976" s="1"/>
      <c r="D976" s="1"/>
    </row>
    <row r="977" spans="3:4" ht="15.75" customHeight="1">
      <c r="C977" s="1"/>
      <c r="D977" s="1"/>
    </row>
    <row r="978" spans="3:4" ht="15.75" customHeight="1">
      <c r="C978" s="1"/>
      <c r="D978" s="1"/>
    </row>
    <row r="979" spans="3:4" ht="15.75" customHeight="1">
      <c r="C979" s="1"/>
      <c r="D979" s="1"/>
    </row>
    <row r="980" spans="3:4" ht="15.75" customHeight="1">
      <c r="C980" s="1"/>
      <c r="D980" s="1"/>
    </row>
    <row r="981" spans="3:4" ht="15.75" customHeight="1">
      <c r="C981" s="1"/>
      <c r="D981" s="1"/>
    </row>
    <row r="982" spans="3:4" ht="15.75" customHeight="1">
      <c r="C982" s="1"/>
      <c r="D982" s="1"/>
    </row>
    <row r="983" spans="3:4" ht="15.75" customHeight="1">
      <c r="C983" s="1"/>
      <c r="D983" s="1"/>
    </row>
    <row r="984" spans="3:4" ht="15.75" customHeight="1">
      <c r="C984" s="1"/>
      <c r="D984" s="1"/>
    </row>
    <row r="985" spans="3:4" ht="15.75" customHeight="1">
      <c r="C985" s="1"/>
      <c r="D985" s="1"/>
    </row>
    <row r="986" spans="3:4" ht="15.75" customHeight="1">
      <c r="C986" s="1"/>
      <c r="D986" s="1"/>
    </row>
    <row r="987" spans="3:4" ht="15.75" customHeight="1">
      <c r="C987" s="1"/>
      <c r="D987" s="1"/>
    </row>
    <row r="988" spans="3:4" ht="15.75" customHeight="1">
      <c r="C988" s="1"/>
      <c r="D988" s="1"/>
    </row>
    <row r="989" spans="3:4" ht="15.75" customHeight="1">
      <c r="C989" s="1"/>
      <c r="D989" s="1"/>
    </row>
    <row r="990" spans="3:4" ht="15.75" customHeight="1">
      <c r="C990" s="1"/>
      <c r="D990" s="1"/>
    </row>
    <row r="991" spans="3:4" ht="15.75" customHeight="1">
      <c r="C991" s="1"/>
      <c r="D991" s="1"/>
    </row>
    <row r="992" spans="3:4" ht="15.75" customHeight="1">
      <c r="C992" s="1"/>
      <c r="D992" s="1"/>
    </row>
    <row r="993" spans="3:4" ht="15.75" customHeight="1">
      <c r="C993" s="1"/>
      <c r="D993" s="1"/>
    </row>
    <row r="994" spans="3:4" ht="15.75" customHeight="1">
      <c r="C994" s="1"/>
      <c r="D994" s="1"/>
    </row>
    <row r="995" spans="3:4" ht="15.75" customHeight="1">
      <c r="C995" s="1"/>
      <c r="D995" s="1"/>
    </row>
    <row r="996" spans="3:4" ht="15.75" customHeight="1">
      <c r="C996" s="1"/>
      <c r="D996" s="1"/>
    </row>
    <row r="997" spans="3:4" ht="15.75" customHeight="1">
      <c r="C997" s="1"/>
      <c r="D997" s="1"/>
    </row>
    <row r="998" spans="3:4" ht="15.75" customHeight="1">
      <c r="C998" s="1"/>
      <c r="D998" s="1"/>
    </row>
    <row r="999" spans="3:4" ht="15.75" customHeight="1">
      <c r="C999" s="1"/>
      <c r="D999" s="1"/>
    </row>
    <row r="1000" spans="3:4" ht="15.75" customHeight="1">
      <c r="C1000" s="1"/>
      <c r="D1000" s="1"/>
    </row>
    <row r="1001" spans="3:4" ht="15.75" customHeight="1">
      <c r="C1001" s="1"/>
      <c r="D1001" s="1"/>
    </row>
    <row r="1002" spans="3:4" ht="15.75" customHeight="1">
      <c r="C1002" s="1"/>
      <c r="D1002" s="1"/>
    </row>
    <row r="1003" spans="3:4" ht="15.75" customHeight="1">
      <c r="C1003" s="1"/>
      <c r="D1003" s="1"/>
    </row>
    <row r="1004" spans="3:4" ht="15.75" customHeight="1">
      <c r="C1004" s="1"/>
      <c r="D1004" s="1"/>
    </row>
    <row r="1005" spans="3:4" ht="15.75" customHeight="1">
      <c r="C1005" s="1"/>
      <c r="D1005" s="1"/>
    </row>
  </sheetData>
  <autoFilter ref="B2:DT30" xr:uid="{4CA4F749-26C9-464A-B9F4-E865A53A8637}">
    <filterColumn colId="9">
      <filters>
        <filter val="Sprint 35"/>
      </filters>
    </filterColumn>
  </autoFilter>
  <mergeCells count="1">
    <mergeCell ref="E1:J1"/>
  </mergeCells>
  <conditionalFormatting sqref="AF30:DS30">
    <cfRule type="cellIs" dxfId="5" priority="3" operator="greaterThan">
      <formula>5</formula>
    </cfRule>
  </conditionalFormatting>
  <conditionalFormatting sqref="AF37:DS37">
    <cfRule type="cellIs" dxfId="4" priority="2" operator="lessThan">
      <formula>5</formula>
    </cfRule>
  </conditionalFormatting>
  <conditionalFormatting sqref="AF32:DT36">
    <cfRule type="cellIs" dxfId="3" priority="1" operator="greaterThan">
      <formula>1</formula>
    </cfRule>
  </conditionalFormatting>
  <hyperlinks>
    <hyperlink ref="Y3" r:id="rId1" xr:uid="{E2F8AE62-A7E5-4EEF-9359-DE2A8B6B41A1}"/>
    <hyperlink ref="Y4" r:id="rId2" xr:uid="{258707EB-05D4-46BE-98C0-0057A928B85E}"/>
  </hyperlinks>
  <pageMargins left="0.7" right="0.7" top="0.75" bottom="0.75" header="0.3" footer="0.3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FCCC-5467-44FF-AA4D-36B78D532BAC}">
  <sheetPr>
    <tabColor theme="6" tint="0.39997558519241921"/>
  </sheetPr>
  <dimension ref="A1:I35"/>
  <sheetViews>
    <sheetView zoomScale="132" workbookViewId="0">
      <selection activeCell="B3" sqref="B3:E7"/>
    </sheetView>
  </sheetViews>
  <sheetFormatPr defaultColWidth="0" defaultRowHeight="15.6" zeroHeight="1"/>
  <cols>
    <col min="1" max="1" width="27.25" bestFit="1" customWidth="1"/>
    <col min="2" max="2" width="39.75" customWidth="1"/>
    <col min="3" max="3" width="12.25" customWidth="1"/>
    <col min="4" max="4" width="19.25" customWidth="1"/>
    <col min="5" max="6" width="14.75" style="47" customWidth="1"/>
    <col min="7" max="7" width="8" style="47" customWidth="1"/>
    <col min="8" max="8" width="13.25" style="47" customWidth="1"/>
    <col min="9" max="9" width="46.75" bestFit="1" customWidth="1"/>
  </cols>
  <sheetData>
    <row r="1" spans="1:9" ht="34.5" customHeight="1">
      <c r="A1" s="549" t="s">
        <v>379</v>
      </c>
      <c r="B1" s="549"/>
      <c r="C1" s="549"/>
      <c r="D1" s="549"/>
      <c r="E1" s="549"/>
      <c r="F1" s="549"/>
      <c r="G1" s="549"/>
      <c r="H1" s="549"/>
      <c r="I1" s="550"/>
    </row>
    <row r="2" spans="1:9" s="48" customFormat="1" ht="30.75" customHeight="1">
      <c r="A2" s="374" t="s">
        <v>380</v>
      </c>
      <c r="B2" s="376" t="s">
        <v>381</v>
      </c>
      <c r="C2" s="381" t="s">
        <v>382</v>
      </c>
      <c r="D2" s="379" t="s">
        <v>383</v>
      </c>
      <c r="E2" s="376" t="s">
        <v>384</v>
      </c>
      <c r="F2" s="376" t="s">
        <v>385</v>
      </c>
      <c r="G2" s="376" t="s">
        <v>386</v>
      </c>
      <c r="H2" s="376" t="s">
        <v>387</v>
      </c>
      <c r="I2" s="375" t="s">
        <v>388</v>
      </c>
    </row>
    <row r="3" spans="1:9" s="48" customFormat="1" ht="22.5" customHeight="1">
      <c r="A3" s="380" t="s">
        <v>389</v>
      </c>
      <c r="B3" s="397" t="s">
        <v>390</v>
      </c>
      <c r="C3" s="367" t="s">
        <v>166</v>
      </c>
      <c r="D3" s="360" t="s">
        <v>391</v>
      </c>
      <c r="E3" s="360" t="s">
        <v>166</v>
      </c>
      <c r="F3" s="365" t="s">
        <v>192</v>
      </c>
      <c r="G3" s="361"/>
      <c r="H3" s="365" t="s">
        <v>199</v>
      </c>
      <c r="I3" s="366" t="s">
        <v>392</v>
      </c>
    </row>
    <row r="4" spans="1:9">
      <c r="A4" s="359"/>
      <c r="B4" s="322"/>
      <c r="C4" s="112"/>
      <c r="D4" s="322"/>
      <c r="E4" s="322"/>
      <c r="F4" s="322"/>
      <c r="G4" s="322"/>
      <c r="H4" s="322"/>
      <c r="I4" s="112"/>
    </row>
    <row r="5" spans="1:9" s="48" customFormat="1" ht="22.5" customHeight="1">
      <c r="A5" s="380" t="s">
        <v>198</v>
      </c>
      <c r="B5" s="360" t="s">
        <v>393</v>
      </c>
      <c r="C5" s="367" t="s">
        <v>166</v>
      </c>
      <c r="D5" s="360" t="s">
        <v>394</v>
      </c>
      <c r="E5" s="360" t="s">
        <v>260</v>
      </c>
      <c r="F5" s="365"/>
      <c r="G5" s="364"/>
      <c r="H5" s="365"/>
      <c r="I5" s="366" t="s">
        <v>395</v>
      </c>
    </row>
    <row r="6" spans="1:9" s="48" customFormat="1" ht="22.5" customHeight="1">
      <c r="A6" s="380" t="s">
        <v>198</v>
      </c>
      <c r="B6" s="360" t="s">
        <v>396</v>
      </c>
      <c r="C6" s="367" t="s">
        <v>166</v>
      </c>
      <c r="D6" s="360" t="s">
        <v>394</v>
      </c>
      <c r="E6" s="360" t="s">
        <v>162</v>
      </c>
      <c r="F6" s="365"/>
      <c r="G6" s="362"/>
      <c r="H6" s="365"/>
      <c r="I6" s="366" t="s">
        <v>397</v>
      </c>
    </row>
    <row r="7" spans="1:9">
      <c r="A7" s="112"/>
      <c r="B7" s="112"/>
      <c r="C7" s="112"/>
      <c r="D7" s="322"/>
      <c r="E7" s="322"/>
      <c r="F7" s="322"/>
      <c r="G7" s="322"/>
      <c r="H7" s="322"/>
      <c r="I7" s="112"/>
    </row>
    <row r="8" spans="1:9" s="395" customFormat="1" ht="22.5" customHeight="1">
      <c r="A8" s="363" t="s">
        <v>203</v>
      </c>
      <c r="B8" s="394" t="s">
        <v>398</v>
      </c>
      <c r="C8" s="394" t="s">
        <v>38</v>
      </c>
      <c r="D8" s="394" t="s">
        <v>399</v>
      </c>
      <c r="E8" s="394" t="s">
        <v>166</v>
      </c>
      <c r="F8" s="394"/>
      <c r="G8" s="394"/>
      <c r="H8" s="394"/>
      <c r="I8" s="394"/>
    </row>
    <row r="9" spans="1:9" s="395" customFormat="1" ht="22.5" customHeight="1">
      <c r="A9" s="363" t="s">
        <v>203</v>
      </c>
      <c r="B9" s="394" t="s">
        <v>400</v>
      </c>
      <c r="C9" s="394" t="s">
        <v>38</v>
      </c>
      <c r="D9" s="394" t="s">
        <v>401</v>
      </c>
      <c r="E9" s="394" t="s">
        <v>166</v>
      </c>
      <c r="F9" s="394"/>
      <c r="G9" s="394"/>
      <c r="H9" s="394"/>
      <c r="I9" s="394"/>
    </row>
    <row r="10" spans="1:9" s="395" customFormat="1" ht="22.5" customHeight="1">
      <c r="A10" s="363" t="s">
        <v>203</v>
      </c>
      <c r="B10" s="394" t="s">
        <v>402</v>
      </c>
      <c r="C10" s="394" t="s">
        <v>38</v>
      </c>
      <c r="D10" s="394"/>
      <c r="E10" s="394" t="s">
        <v>166</v>
      </c>
      <c r="F10" s="394"/>
      <c r="G10" s="394"/>
      <c r="H10" s="394"/>
      <c r="I10" s="394"/>
    </row>
    <row r="11" spans="1:9" s="395" customFormat="1" ht="22.5" customHeight="1">
      <c r="A11" s="393"/>
      <c r="B11" s="394"/>
      <c r="C11" s="394"/>
      <c r="D11" s="394"/>
      <c r="E11" s="394"/>
      <c r="F11" s="394"/>
      <c r="G11" s="394"/>
      <c r="H11" s="394"/>
      <c r="I11" s="394"/>
    </row>
    <row r="12" spans="1:9" s="395" customFormat="1" ht="22.5" customHeight="1">
      <c r="A12" s="393"/>
      <c r="B12" s="394"/>
      <c r="C12" s="394"/>
      <c r="D12" s="363"/>
      <c r="E12" s="363"/>
      <c r="F12" s="363"/>
      <c r="G12" s="363"/>
      <c r="H12" s="363"/>
      <c r="I12" s="396"/>
    </row>
    <row r="13" spans="1:9" s="395" customFormat="1" ht="22.5" customHeight="1">
      <c r="A13" s="393"/>
      <c r="B13" s="394"/>
      <c r="C13" s="394"/>
      <c r="D13" s="363"/>
      <c r="E13" s="363"/>
      <c r="F13" s="363"/>
      <c r="G13" s="363"/>
      <c r="H13" s="363"/>
      <c r="I13" s="396"/>
    </row>
    <row r="14" spans="1:9" s="395" customFormat="1" ht="22.5" customHeight="1">
      <c r="A14" s="393"/>
      <c r="B14" s="394"/>
      <c r="C14" s="394"/>
      <c r="D14" s="363"/>
      <c r="E14" s="363"/>
      <c r="F14" s="363"/>
      <c r="G14" s="363"/>
      <c r="H14" s="363"/>
      <c r="I14" s="396"/>
    </row>
    <row r="15" spans="1:9" s="112" customFormat="1">
      <c r="D15" s="322"/>
      <c r="E15" s="322"/>
      <c r="F15" s="322"/>
      <c r="G15" s="322"/>
      <c r="H15" s="322"/>
    </row>
    <row r="16" spans="1:9" s="112" customFormat="1">
      <c r="D16" s="322"/>
      <c r="E16" s="322"/>
      <c r="F16" s="322"/>
      <c r="G16" s="322"/>
      <c r="H16" s="322"/>
    </row>
    <row r="17" spans="1:9" s="112" customFormat="1">
      <c r="D17" s="322"/>
      <c r="E17" s="322"/>
      <c r="F17" s="322"/>
      <c r="G17" s="322"/>
      <c r="H17" s="322"/>
    </row>
    <row r="18" spans="1:9" s="112" customFormat="1" ht="18">
      <c r="A18" s="112" t="s">
        <v>403</v>
      </c>
      <c r="B18" s="377"/>
      <c r="C18" s="377"/>
      <c r="D18" s="322"/>
      <c r="E18" s="322"/>
      <c r="F18" s="322"/>
      <c r="G18" s="322"/>
      <c r="H18" s="322"/>
    </row>
    <row r="19" spans="1:9" s="112" customFormat="1">
      <c r="A19" s="112" t="s">
        <v>404</v>
      </c>
      <c r="D19" s="322"/>
      <c r="E19" s="322"/>
      <c r="F19" s="322"/>
      <c r="G19" s="322"/>
      <c r="H19" s="322"/>
    </row>
    <row r="20" spans="1:9" s="112" customFormat="1">
      <c r="A20" s="112" t="s">
        <v>405</v>
      </c>
      <c r="B20" s="378"/>
      <c r="C20" s="378"/>
      <c r="D20" s="322"/>
      <c r="E20" s="322"/>
      <c r="F20" s="322"/>
      <c r="G20" s="322"/>
      <c r="H20" s="322"/>
    </row>
    <row r="21" spans="1:9" s="112" customFormat="1">
      <c r="B21" s="378"/>
      <c r="C21" s="378"/>
      <c r="D21" s="322"/>
      <c r="E21" s="322"/>
      <c r="F21" s="322"/>
      <c r="G21" s="322"/>
      <c r="H21" s="322"/>
    </row>
    <row r="22" spans="1:9" s="112" customFormat="1">
      <c r="B22" s="378"/>
      <c r="C22" s="378"/>
      <c r="D22" s="322"/>
      <c r="E22" s="322"/>
      <c r="F22" s="322"/>
      <c r="G22" s="322"/>
      <c r="H22" s="322"/>
    </row>
    <row r="23" spans="1:9" s="112" customFormat="1">
      <c r="B23" s="378"/>
      <c r="C23" s="378"/>
      <c r="D23" s="322"/>
      <c r="E23" s="322"/>
      <c r="F23" s="322"/>
      <c r="G23" s="322"/>
      <c r="H23" s="322"/>
    </row>
    <row r="24" spans="1:9">
      <c r="A24" s="112"/>
      <c r="B24" s="112"/>
      <c r="C24" s="112"/>
      <c r="D24" s="112"/>
      <c r="E24" s="322"/>
      <c r="F24" s="322"/>
      <c r="G24" s="322"/>
      <c r="H24" s="322"/>
      <c r="I24" s="112"/>
    </row>
    <row r="25" spans="1:9">
      <c r="A25" s="112"/>
      <c r="B25" s="112"/>
      <c r="C25" s="112"/>
      <c r="D25" s="112"/>
      <c r="E25" s="322"/>
      <c r="F25" s="322"/>
      <c r="G25" s="322"/>
      <c r="H25" s="322"/>
      <c r="I25" s="112"/>
    </row>
    <row r="26" spans="1:9">
      <c r="A26" s="112"/>
      <c r="B26" s="112"/>
      <c r="C26" s="112"/>
      <c r="D26" s="112"/>
      <c r="E26" s="322"/>
      <c r="F26" s="322"/>
      <c r="G26" s="322"/>
      <c r="H26" s="322"/>
      <c r="I26" s="112"/>
    </row>
    <row r="27" spans="1:9">
      <c r="A27" s="112"/>
      <c r="B27" s="112"/>
      <c r="C27" s="112"/>
      <c r="D27" s="112"/>
      <c r="E27" s="322"/>
      <c r="F27" s="322"/>
      <c r="G27" s="322"/>
      <c r="H27" s="322"/>
      <c r="I27" s="112"/>
    </row>
    <row r="28" spans="1:9">
      <c r="A28" s="112"/>
      <c r="B28" s="112"/>
      <c r="C28" s="112"/>
      <c r="D28" s="112"/>
      <c r="E28" s="322"/>
      <c r="F28" s="322"/>
      <c r="G28" s="322"/>
      <c r="H28" s="322"/>
      <c r="I28" s="112"/>
    </row>
    <row r="29" spans="1:9">
      <c r="A29" s="112"/>
      <c r="B29" s="112"/>
      <c r="C29" s="112"/>
      <c r="D29" s="112"/>
      <c r="E29" s="322"/>
      <c r="F29" s="322"/>
      <c r="G29" s="322"/>
      <c r="H29" s="322"/>
      <c r="I29" s="112"/>
    </row>
    <row r="30" spans="1:9">
      <c r="A30" s="112"/>
      <c r="B30" s="112"/>
      <c r="C30" s="112"/>
      <c r="D30" s="112"/>
      <c r="E30" s="322"/>
      <c r="F30" s="322"/>
      <c r="G30" s="322"/>
      <c r="H30" s="322"/>
      <c r="I30" s="112"/>
    </row>
    <row r="31" spans="1:9">
      <c r="A31" s="112"/>
      <c r="B31" s="112"/>
      <c r="C31" s="112"/>
      <c r="D31" s="112"/>
      <c r="E31" s="322"/>
      <c r="F31" s="322"/>
      <c r="G31" s="322"/>
      <c r="H31" s="322"/>
      <c r="I31" s="112"/>
    </row>
    <row r="32" spans="1:9">
      <c r="A32" s="112"/>
      <c r="B32" s="112"/>
      <c r="C32" s="112"/>
      <c r="D32" s="112"/>
      <c r="E32" s="322"/>
      <c r="F32" s="322"/>
      <c r="G32" s="322"/>
      <c r="H32" s="322"/>
      <c r="I32" s="112"/>
    </row>
    <row r="33" spans="1:9">
      <c r="A33" s="112"/>
      <c r="B33" s="112"/>
      <c r="C33" s="112"/>
      <c r="D33" s="112"/>
      <c r="E33" s="322"/>
      <c r="F33" s="322"/>
      <c r="G33" s="322"/>
      <c r="H33" s="322"/>
      <c r="I33" s="112"/>
    </row>
    <row r="34" spans="1:9">
      <c r="A34" s="112"/>
      <c r="B34" s="112"/>
      <c r="C34" s="112"/>
      <c r="D34" s="112"/>
      <c r="E34" s="322"/>
      <c r="F34" s="322"/>
      <c r="G34" s="322"/>
      <c r="H34" s="322"/>
      <c r="I34" s="112"/>
    </row>
    <row r="35" spans="1:9">
      <c r="A35" s="112"/>
      <c r="B35" s="112"/>
      <c r="C35" s="112"/>
      <c r="D35" s="112"/>
      <c r="E35" s="322"/>
      <c r="F35" s="322"/>
      <c r="G35" s="322"/>
      <c r="H35" s="322"/>
      <c r="I35" s="112"/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D0E5-9598-4BAA-8A34-EB39DF8F9CAF}">
  <sheetPr>
    <tabColor rgb="FFFF0000"/>
  </sheetPr>
  <dimension ref="A1"/>
  <sheetViews>
    <sheetView workbookViewId="0"/>
  </sheetViews>
  <sheetFormatPr defaultColWidth="11.25" defaultRowHeight="15.6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CM1011"/>
  <sheetViews>
    <sheetView zoomScale="60" zoomScaleNormal="110" workbookViewId="0">
      <selection activeCell="E9" sqref="E9"/>
    </sheetView>
  </sheetViews>
  <sheetFormatPr defaultColWidth="11.25" defaultRowHeight="15" customHeight="1"/>
  <cols>
    <col min="1" max="1" width="3" style="112" customWidth="1"/>
    <col min="2" max="2" width="26.25" customWidth="1"/>
    <col min="3" max="3" width="10.75" customWidth="1"/>
    <col min="4" max="4" width="10" customWidth="1"/>
    <col min="5" max="5" width="16.75" customWidth="1"/>
    <col min="6" max="6" width="14.25" customWidth="1"/>
    <col min="7" max="7" width="13.25" customWidth="1"/>
    <col min="8" max="8" width="12.5" customWidth="1"/>
    <col min="9" max="9" width="13.5" customWidth="1"/>
    <col min="10" max="10" width="12.75" customWidth="1"/>
    <col min="11" max="11" width="26" customWidth="1"/>
    <col min="12" max="12" width="15.25" customWidth="1"/>
    <col min="13" max="13" width="12.25" customWidth="1"/>
    <col min="14" max="17" width="10.75" customWidth="1"/>
    <col min="18" max="90" width="3.75" customWidth="1"/>
    <col min="91" max="91" width="7.25" customWidth="1"/>
  </cols>
  <sheetData>
    <row r="1" spans="1:91" ht="15.75" customHeight="1">
      <c r="A1" s="395"/>
      <c r="B1" s="395"/>
      <c r="C1" s="411"/>
      <c r="D1" s="411"/>
      <c r="E1" s="548" t="s">
        <v>0</v>
      </c>
      <c r="F1" s="551"/>
      <c r="G1" s="551"/>
      <c r="H1" s="551"/>
      <c r="I1" s="551"/>
      <c r="J1" s="551"/>
      <c r="K1" s="35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</row>
    <row r="2" spans="1:91" ht="32.450000000000003">
      <c r="A2" s="395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329</v>
      </c>
      <c r="M2" s="4" t="s">
        <v>330</v>
      </c>
      <c r="N2" s="4" t="s">
        <v>331</v>
      </c>
      <c r="O2" s="4" t="s">
        <v>332</v>
      </c>
      <c r="P2" s="4" t="s">
        <v>13</v>
      </c>
      <c r="Q2" s="4" t="s">
        <v>406</v>
      </c>
      <c r="R2" s="25">
        <v>46024</v>
      </c>
      <c r="S2" s="26">
        <f t="shared" ref="S2:AX2" si="0">R2+1</f>
        <v>46025</v>
      </c>
      <c r="T2" s="26">
        <f t="shared" si="0"/>
        <v>46026</v>
      </c>
      <c r="U2" s="25">
        <f t="shared" si="0"/>
        <v>46027</v>
      </c>
      <c r="V2" s="25">
        <f t="shared" si="0"/>
        <v>46028</v>
      </c>
      <c r="W2" s="25">
        <f t="shared" si="0"/>
        <v>46029</v>
      </c>
      <c r="X2" s="25">
        <f t="shared" si="0"/>
        <v>46030</v>
      </c>
      <c r="Y2" s="25">
        <f t="shared" si="0"/>
        <v>46031</v>
      </c>
      <c r="Z2" s="26">
        <f t="shared" si="0"/>
        <v>46032</v>
      </c>
      <c r="AA2" s="26">
        <f t="shared" si="0"/>
        <v>46033</v>
      </c>
      <c r="AB2" s="25">
        <f t="shared" si="0"/>
        <v>46034</v>
      </c>
      <c r="AC2" s="25">
        <f t="shared" si="0"/>
        <v>46035</v>
      </c>
      <c r="AD2" s="25">
        <f t="shared" si="0"/>
        <v>46036</v>
      </c>
      <c r="AE2" s="25">
        <f t="shared" si="0"/>
        <v>46037</v>
      </c>
      <c r="AF2" s="25">
        <f t="shared" si="0"/>
        <v>46038</v>
      </c>
      <c r="AG2" s="26">
        <f t="shared" si="0"/>
        <v>46039</v>
      </c>
      <c r="AH2" s="26">
        <f t="shared" si="0"/>
        <v>46040</v>
      </c>
      <c r="AI2" s="25">
        <f t="shared" si="0"/>
        <v>46041</v>
      </c>
      <c r="AJ2" s="25">
        <f t="shared" si="0"/>
        <v>46042</v>
      </c>
      <c r="AK2" s="25">
        <f t="shared" si="0"/>
        <v>46043</v>
      </c>
      <c r="AL2" s="25">
        <f t="shared" si="0"/>
        <v>46044</v>
      </c>
      <c r="AM2" s="25">
        <f t="shared" si="0"/>
        <v>46045</v>
      </c>
      <c r="AN2" s="26">
        <f t="shared" si="0"/>
        <v>46046</v>
      </c>
      <c r="AO2" s="26">
        <f t="shared" si="0"/>
        <v>46047</v>
      </c>
      <c r="AP2" s="25">
        <f t="shared" si="0"/>
        <v>46048</v>
      </c>
      <c r="AQ2" s="25">
        <f t="shared" si="0"/>
        <v>46049</v>
      </c>
      <c r="AR2" s="25">
        <f t="shared" si="0"/>
        <v>46050</v>
      </c>
      <c r="AS2" s="25">
        <f t="shared" si="0"/>
        <v>46051</v>
      </c>
      <c r="AT2" s="25">
        <f t="shared" si="0"/>
        <v>46052</v>
      </c>
      <c r="AU2" s="26">
        <f t="shared" si="0"/>
        <v>46053</v>
      </c>
      <c r="AV2" s="26">
        <f t="shared" si="0"/>
        <v>46054</v>
      </c>
      <c r="AW2" s="25">
        <f t="shared" si="0"/>
        <v>46055</v>
      </c>
      <c r="AX2" s="25">
        <f t="shared" si="0"/>
        <v>46056</v>
      </c>
      <c r="AY2" s="25">
        <f t="shared" ref="AY2:CC2" si="1">AX2+1</f>
        <v>46057</v>
      </c>
      <c r="AZ2" s="25">
        <f t="shared" si="1"/>
        <v>46058</v>
      </c>
      <c r="BA2" s="25">
        <f t="shared" si="1"/>
        <v>46059</v>
      </c>
      <c r="BB2" s="26">
        <f t="shared" si="1"/>
        <v>46060</v>
      </c>
      <c r="BC2" s="26">
        <f t="shared" si="1"/>
        <v>46061</v>
      </c>
      <c r="BD2" s="25">
        <f t="shared" si="1"/>
        <v>46062</v>
      </c>
      <c r="BE2" s="25">
        <f t="shared" si="1"/>
        <v>46063</v>
      </c>
      <c r="BF2" s="25">
        <f t="shared" si="1"/>
        <v>46064</v>
      </c>
      <c r="BG2" s="25">
        <f t="shared" si="1"/>
        <v>46065</v>
      </c>
      <c r="BH2" s="25">
        <f t="shared" si="1"/>
        <v>46066</v>
      </c>
      <c r="BI2" s="26">
        <f t="shared" si="1"/>
        <v>46067</v>
      </c>
      <c r="BJ2" s="26">
        <f t="shared" si="1"/>
        <v>46068</v>
      </c>
      <c r="BK2" s="25">
        <f t="shared" si="1"/>
        <v>46069</v>
      </c>
      <c r="BL2" s="25">
        <f t="shared" si="1"/>
        <v>46070</v>
      </c>
      <c r="BM2" s="25">
        <f t="shared" si="1"/>
        <v>46071</v>
      </c>
      <c r="BN2" s="25">
        <f t="shared" si="1"/>
        <v>46072</v>
      </c>
      <c r="BO2" s="25">
        <f t="shared" si="1"/>
        <v>46073</v>
      </c>
      <c r="BP2" s="26">
        <f t="shared" si="1"/>
        <v>46074</v>
      </c>
      <c r="BQ2" s="26">
        <f t="shared" si="1"/>
        <v>46075</v>
      </c>
      <c r="BR2" s="25">
        <f t="shared" si="1"/>
        <v>46076</v>
      </c>
      <c r="BS2" s="25">
        <f t="shared" si="1"/>
        <v>46077</v>
      </c>
      <c r="BT2" s="25">
        <f t="shared" si="1"/>
        <v>46078</v>
      </c>
      <c r="BU2" s="25">
        <f t="shared" si="1"/>
        <v>46079</v>
      </c>
      <c r="BV2" s="25">
        <f t="shared" si="1"/>
        <v>46080</v>
      </c>
      <c r="BW2" s="26">
        <f t="shared" si="1"/>
        <v>46081</v>
      </c>
      <c r="BX2" s="26">
        <f t="shared" si="1"/>
        <v>46082</v>
      </c>
      <c r="BY2" s="25">
        <f t="shared" si="1"/>
        <v>46083</v>
      </c>
      <c r="BZ2" s="25">
        <f t="shared" si="1"/>
        <v>46084</v>
      </c>
      <c r="CA2" s="25">
        <f t="shared" si="1"/>
        <v>46085</v>
      </c>
      <c r="CB2" s="25">
        <f t="shared" si="1"/>
        <v>46086</v>
      </c>
      <c r="CC2" s="25">
        <f t="shared" si="1"/>
        <v>46087</v>
      </c>
      <c r="CD2" s="26">
        <f t="shared" ref="CD2:CL2" si="2">CC2+1</f>
        <v>46088</v>
      </c>
      <c r="CE2" s="26">
        <f t="shared" si="2"/>
        <v>46089</v>
      </c>
      <c r="CF2" s="25">
        <f t="shared" si="2"/>
        <v>46090</v>
      </c>
      <c r="CG2" s="25">
        <f t="shared" si="2"/>
        <v>46091</v>
      </c>
      <c r="CH2" s="25">
        <f t="shared" si="2"/>
        <v>46092</v>
      </c>
      <c r="CI2" s="25">
        <f t="shared" si="2"/>
        <v>46093</v>
      </c>
      <c r="CJ2" s="25">
        <f t="shared" si="2"/>
        <v>46094</v>
      </c>
      <c r="CK2" s="26">
        <f t="shared" si="2"/>
        <v>46095</v>
      </c>
      <c r="CL2" s="26">
        <f t="shared" si="2"/>
        <v>46096</v>
      </c>
      <c r="CM2" s="24" t="s">
        <v>335</v>
      </c>
    </row>
    <row r="3" spans="1:91" ht="25.5" customHeight="1" thickTop="1" thickBot="1">
      <c r="A3" s="395"/>
      <c r="B3" s="413" t="s">
        <v>407</v>
      </c>
      <c r="C3" s="414" t="s">
        <v>408</v>
      </c>
      <c r="D3" s="414"/>
      <c r="E3" s="382">
        <v>46015</v>
      </c>
      <c r="F3" s="415"/>
      <c r="G3" s="415" t="s">
        <v>18</v>
      </c>
      <c r="H3" s="415" t="s">
        <v>18</v>
      </c>
      <c r="I3" s="415" t="s">
        <v>18</v>
      </c>
      <c r="J3" s="416" t="str">
        <f>I3</f>
        <v xml:space="preserve"> </v>
      </c>
      <c r="K3" s="415" t="s">
        <v>17</v>
      </c>
      <c r="L3" s="417">
        <v>575</v>
      </c>
      <c r="M3" s="418">
        <f>SUM(M4:M11)</f>
        <v>495</v>
      </c>
      <c r="N3" s="417" t="s">
        <v>18</v>
      </c>
      <c r="O3" s="417" t="s">
        <v>409</v>
      </c>
      <c r="P3" s="357">
        <f>SUM(M3:N3) / Capacity!$B$2</f>
        <v>70.714285714285708</v>
      </c>
      <c r="Q3" s="357">
        <f>SUM(M3:N3)/(Capacity!$B$3*2)</f>
        <v>30.9375</v>
      </c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>
        <f>SUM(R3:BI3)</f>
        <v>0</v>
      </c>
    </row>
    <row r="4" spans="1:91" ht="25.5" customHeight="1" thickBot="1">
      <c r="A4" s="395"/>
      <c r="B4" s="413" t="s">
        <v>93</v>
      </c>
      <c r="C4" s="414" t="s">
        <v>20</v>
      </c>
      <c r="D4" s="414"/>
      <c r="E4" s="382">
        <v>46015</v>
      </c>
      <c r="F4" s="415">
        <v>46031</v>
      </c>
      <c r="G4" s="415"/>
      <c r="H4" s="415"/>
      <c r="I4" s="415"/>
      <c r="J4" s="416"/>
      <c r="K4" s="415"/>
      <c r="L4" s="417"/>
      <c r="M4" s="418">
        <v>55</v>
      </c>
      <c r="N4" s="417">
        <v>1</v>
      </c>
      <c r="O4" s="417" t="s">
        <v>338</v>
      </c>
      <c r="P4" s="357">
        <f>SUM(M4:N4) / Capacity!$B$2</f>
        <v>8</v>
      </c>
      <c r="Q4" s="357">
        <f>SUM(M4:N4)/Capacity!$B$3</f>
        <v>7</v>
      </c>
      <c r="R4" s="13"/>
      <c r="S4" s="13"/>
      <c r="T4" s="13"/>
      <c r="U4" s="13"/>
      <c r="V4" s="13"/>
      <c r="W4" s="13"/>
      <c r="X4" s="13"/>
      <c r="Y4" s="13" t="s">
        <v>146</v>
      </c>
      <c r="Z4" s="13"/>
      <c r="AA4" s="13"/>
      <c r="AB4" s="13" t="s">
        <v>146</v>
      </c>
      <c r="AC4" s="13" t="s">
        <v>146</v>
      </c>
      <c r="AD4" s="13" t="s">
        <v>146</v>
      </c>
      <c r="AE4" s="13" t="s">
        <v>146</v>
      </c>
      <c r="AF4" s="13" t="s">
        <v>146</v>
      </c>
      <c r="AG4" s="13"/>
      <c r="AH4" s="13"/>
      <c r="AI4" s="13" t="s">
        <v>146</v>
      </c>
      <c r="AJ4" s="35" t="s">
        <v>341</v>
      </c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>
        <f t="shared" ref="CM4:CM32" si="3">COUNTIF(R4:CL4,"X")</f>
        <v>7</v>
      </c>
    </row>
    <row r="5" spans="1:91" ht="25.5" customHeight="1" thickBot="1">
      <c r="A5" s="395"/>
      <c r="B5" s="413" t="s">
        <v>94</v>
      </c>
      <c r="C5" s="414" t="s">
        <v>20</v>
      </c>
      <c r="D5" s="414"/>
      <c r="E5" s="382">
        <v>46015</v>
      </c>
      <c r="F5" s="415">
        <v>46031</v>
      </c>
      <c r="G5" s="415"/>
      <c r="H5" s="415"/>
      <c r="I5" s="415"/>
      <c r="J5" s="416"/>
      <c r="K5" s="415"/>
      <c r="L5" s="417"/>
      <c r="M5" s="418">
        <v>85</v>
      </c>
      <c r="N5" s="417">
        <v>2</v>
      </c>
      <c r="O5" s="417" t="s">
        <v>410</v>
      </c>
      <c r="P5" s="357">
        <f>SUM(M5:N5) / Capacity!$B$2</f>
        <v>12.428571428571429</v>
      </c>
      <c r="Q5" s="357">
        <f>SUM(M5:N5)/Capacity!$B$3</f>
        <v>10.875</v>
      </c>
      <c r="R5" s="13"/>
      <c r="S5" s="13"/>
      <c r="T5" s="13"/>
      <c r="U5" s="13"/>
      <c r="V5" s="13"/>
      <c r="W5" s="13"/>
      <c r="X5" s="13"/>
      <c r="Y5" s="13" t="s">
        <v>146</v>
      </c>
      <c r="Z5" s="13"/>
      <c r="AA5" s="13"/>
      <c r="AB5" s="13" t="s">
        <v>146</v>
      </c>
      <c r="AC5" s="13" t="s">
        <v>146</v>
      </c>
      <c r="AD5" s="13" t="s">
        <v>146</v>
      </c>
      <c r="AE5" s="13" t="s">
        <v>146</v>
      </c>
      <c r="AF5" s="13" t="s">
        <v>146</v>
      </c>
      <c r="AG5" s="13"/>
      <c r="AH5" s="13"/>
      <c r="AI5" s="13" t="s">
        <v>146</v>
      </c>
      <c r="AJ5" s="13" t="s">
        <v>146</v>
      </c>
      <c r="AK5" s="13" t="s">
        <v>146</v>
      </c>
      <c r="AL5" s="13" t="s">
        <v>146</v>
      </c>
      <c r="AM5" s="13" t="s">
        <v>146</v>
      </c>
      <c r="AN5" s="13"/>
      <c r="AO5" s="13"/>
      <c r="AP5" s="35" t="s">
        <v>411</v>
      </c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>
        <f t="shared" si="3"/>
        <v>11</v>
      </c>
    </row>
    <row r="6" spans="1:91" ht="25.5" customHeight="1" thickBot="1">
      <c r="A6" s="395"/>
      <c r="B6" s="413" t="s">
        <v>96</v>
      </c>
      <c r="C6" s="414" t="s">
        <v>20</v>
      </c>
      <c r="D6" s="414"/>
      <c r="E6" s="382">
        <v>46015</v>
      </c>
      <c r="F6" s="415">
        <v>46031</v>
      </c>
      <c r="G6" s="415"/>
      <c r="H6" s="415"/>
      <c r="I6" s="415"/>
      <c r="J6" s="416"/>
      <c r="K6" s="415"/>
      <c r="L6" s="417"/>
      <c r="M6" s="418">
        <v>75</v>
      </c>
      <c r="N6" s="417">
        <v>4</v>
      </c>
      <c r="O6" s="417" t="s">
        <v>340</v>
      </c>
      <c r="P6" s="357">
        <f>SUM(M6:N6) / Capacity!$B$2</f>
        <v>11.285714285714286</v>
      </c>
      <c r="Q6" s="357">
        <f>SUM(M6:N6)/Capacity!$B$3</f>
        <v>9.875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 t="s">
        <v>146</v>
      </c>
      <c r="AQ6" s="13" t="s">
        <v>146</v>
      </c>
      <c r="AR6" s="13" t="s">
        <v>146</v>
      </c>
      <c r="AS6" s="13" t="s">
        <v>146</v>
      </c>
      <c r="AT6" s="13" t="s">
        <v>146</v>
      </c>
      <c r="AU6" s="13"/>
      <c r="AV6" s="13"/>
      <c r="AW6" s="13" t="s">
        <v>146</v>
      </c>
      <c r="AX6" s="13" t="s">
        <v>146</v>
      </c>
      <c r="AY6" s="13" t="s">
        <v>146</v>
      </c>
      <c r="AZ6" s="13" t="s">
        <v>146</v>
      </c>
      <c r="BA6" s="13" t="s">
        <v>146</v>
      </c>
      <c r="BB6" s="13"/>
      <c r="BC6" s="13"/>
      <c r="BD6" s="35" t="s">
        <v>411</v>
      </c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>
        <f t="shared" si="3"/>
        <v>10</v>
      </c>
    </row>
    <row r="7" spans="1:91" ht="25.5" customHeight="1" thickBot="1">
      <c r="A7" s="395"/>
      <c r="B7" s="413" t="s">
        <v>98</v>
      </c>
      <c r="C7" s="414" t="s">
        <v>20</v>
      </c>
      <c r="D7" s="414"/>
      <c r="E7" s="382">
        <v>46015</v>
      </c>
      <c r="F7" s="415">
        <v>46031</v>
      </c>
      <c r="G7" s="415"/>
      <c r="H7" s="415"/>
      <c r="I7" s="415"/>
      <c r="J7" s="416"/>
      <c r="K7" s="415"/>
      <c r="L7" s="417"/>
      <c r="M7" s="418">
        <v>40</v>
      </c>
      <c r="N7" s="417">
        <v>3</v>
      </c>
      <c r="O7" s="417" t="s">
        <v>346</v>
      </c>
      <c r="P7" s="357">
        <f>SUM(M7:N7) / Capacity!$B$2</f>
        <v>6.1428571428571432</v>
      </c>
      <c r="Q7" s="357">
        <f>SUM(M7:N7)/Capacity!$B$3</f>
        <v>5.375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 t="s">
        <v>146</v>
      </c>
      <c r="AL7" s="13" t="s">
        <v>146</v>
      </c>
      <c r="AM7" s="13" t="s">
        <v>146</v>
      </c>
      <c r="AN7" s="13"/>
      <c r="AO7" s="13"/>
      <c r="AP7" s="13" t="s">
        <v>146</v>
      </c>
      <c r="AQ7" s="13" t="s">
        <v>146</v>
      </c>
      <c r="AR7" s="35" t="s">
        <v>341</v>
      </c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>
        <f t="shared" si="3"/>
        <v>5</v>
      </c>
    </row>
    <row r="8" spans="1:91" ht="25.5" customHeight="1" thickBot="1">
      <c r="A8" s="395"/>
      <c r="B8" s="413" t="s">
        <v>99</v>
      </c>
      <c r="C8" s="414" t="s">
        <v>20</v>
      </c>
      <c r="D8" s="414"/>
      <c r="E8" s="382">
        <v>46015</v>
      </c>
      <c r="F8" s="415">
        <v>46031</v>
      </c>
      <c r="G8" s="415"/>
      <c r="H8" s="415"/>
      <c r="I8" s="415"/>
      <c r="J8" s="416"/>
      <c r="K8" s="415"/>
      <c r="L8" s="417"/>
      <c r="M8" s="418">
        <v>75</v>
      </c>
      <c r="N8" s="417">
        <v>5</v>
      </c>
      <c r="O8" s="417" t="s">
        <v>346</v>
      </c>
      <c r="P8" s="357">
        <f>SUM(M8:N8) / Capacity!$B$2</f>
        <v>11.428571428571429</v>
      </c>
      <c r="Q8" s="357">
        <f>SUM(M8:N8)/Capacity!$B$3</f>
        <v>10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 t="s">
        <v>146</v>
      </c>
      <c r="AT8" s="13" t="s">
        <v>146</v>
      </c>
      <c r="AU8" s="13"/>
      <c r="AV8" s="13"/>
      <c r="AW8" s="13" t="s">
        <v>146</v>
      </c>
      <c r="AX8" s="13" t="s">
        <v>146</v>
      </c>
      <c r="AY8" s="13" t="s">
        <v>146</v>
      </c>
      <c r="AZ8" s="13" t="s">
        <v>146</v>
      </c>
      <c r="BA8" s="13" t="s">
        <v>146</v>
      </c>
      <c r="BB8" s="13"/>
      <c r="BC8" s="13"/>
      <c r="BD8" s="13" t="s">
        <v>146</v>
      </c>
      <c r="BE8" s="13" t="s">
        <v>146</v>
      </c>
      <c r="BF8" s="13" t="s">
        <v>146</v>
      </c>
      <c r="BG8" s="35" t="s">
        <v>341</v>
      </c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>
        <f t="shared" si="3"/>
        <v>10</v>
      </c>
    </row>
    <row r="9" spans="1:91" ht="25.5" customHeight="1" thickBot="1">
      <c r="A9" s="395"/>
      <c r="B9" s="413" t="s">
        <v>100</v>
      </c>
      <c r="C9" s="414" t="s">
        <v>20</v>
      </c>
      <c r="D9" s="414"/>
      <c r="E9" s="382">
        <v>46015</v>
      </c>
      <c r="F9" s="415">
        <v>46031</v>
      </c>
      <c r="G9" s="415"/>
      <c r="H9" s="415"/>
      <c r="I9" s="415"/>
      <c r="J9" s="416"/>
      <c r="K9" s="415"/>
      <c r="L9" s="417"/>
      <c r="M9" s="418">
        <v>85</v>
      </c>
      <c r="N9" s="417">
        <v>7</v>
      </c>
      <c r="O9" s="417" t="s">
        <v>346</v>
      </c>
      <c r="P9" s="357">
        <f>SUM(M9:N9) / Capacity!$B$2</f>
        <v>13.142857142857142</v>
      </c>
      <c r="Q9" s="357">
        <f>SUM(M9:N9)/Capacity!$B$3</f>
        <v>11.5</v>
      </c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 t="s">
        <v>146</v>
      </c>
      <c r="BI9" s="13"/>
      <c r="BJ9" s="13"/>
      <c r="BK9" s="13" t="s">
        <v>146</v>
      </c>
      <c r="BL9" s="13" t="s">
        <v>146</v>
      </c>
      <c r="BM9" s="13" t="s">
        <v>146</v>
      </c>
      <c r="BN9" s="13" t="s">
        <v>146</v>
      </c>
      <c r="BO9" s="13" t="s">
        <v>146</v>
      </c>
      <c r="BP9" s="13"/>
      <c r="BQ9" s="13"/>
      <c r="BR9" s="13" t="s">
        <v>146</v>
      </c>
      <c r="BS9" s="13" t="s">
        <v>146</v>
      </c>
      <c r="BT9" s="13" t="s">
        <v>146</v>
      </c>
      <c r="BU9" s="13" t="s">
        <v>146</v>
      </c>
      <c r="BV9" s="13" t="s">
        <v>146</v>
      </c>
      <c r="BW9" s="13"/>
      <c r="BX9" s="13"/>
      <c r="BY9" s="13" t="s">
        <v>146</v>
      </c>
      <c r="BZ9" s="35" t="s">
        <v>341</v>
      </c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>
        <f t="shared" si="3"/>
        <v>12</v>
      </c>
    </row>
    <row r="10" spans="1:91" ht="25.5" customHeight="1" thickBot="1">
      <c r="A10" s="395"/>
      <c r="B10" s="413" t="s">
        <v>102</v>
      </c>
      <c r="C10" s="414" t="s">
        <v>20</v>
      </c>
      <c r="D10" s="414"/>
      <c r="E10" s="382">
        <v>46015</v>
      </c>
      <c r="F10" s="415">
        <v>46031</v>
      </c>
      <c r="G10" s="415"/>
      <c r="H10" s="415"/>
      <c r="I10" s="415"/>
      <c r="J10" s="416"/>
      <c r="K10" s="415"/>
      <c r="L10" s="417"/>
      <c r="M10" s="419">
        <v>40</v>
      </c>
      <c r="N10" s="417">
        <v>6</v>
      </c>
      <c r="O10" s="417" t="s">
        <v>340</v>
      </c>
      <c r="P10" s="357">
        <f>SUM(M10:N10) / Capacity!$B$2</f>
        <v>6.5714285714285712</v>
      </c>
      <c r="Q10" s="357">
        <f>SUM(M10:N10)/Capacity!$B$3</f>
        <v>5.75</v>
      </c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 t="s">
        <v>146</v>
      </c>
      <c r="BF10" s="13" t="s">
        <v>146</v>
      </c>
      <c r="BG10" s="13" t="s">
        <v>146</v>
      </c>
      <c r="BH10" s="13" t="s">
        <v>146</v>
      </c>
      <c r="BI10" s="13"/>
      <c r="BJ10" s="13"/>
      <c r="BK10" s="13" t="s">
        <v>146</v>
      </c>
      <c r="BL10" s="13" t="s">
        <v>146</v>
      </c>
      <c r="BM10" s="35" t="s">
        <v>341</v>
      </c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>
        <f t="shared" si="3"/>
        <v>6</v>
      </c>
    </row>
    <row r="11" spans="1:91" ht="25.5" customHeight="1" thickBot="1">
      <c r="A11" s="395"/>
      <c r="B11" s="413" t="s">
        <v>103</v>
      </c>
      <c r="C11" s="414" t="s">
        <v>412</v>
      </c>
      <c r="D11" s="414"/>
      <c r="E11" s="382" t="s">
        <v>55</v>
      </c>
      <c r="F11" s="415">
        <v>46031</v>
      </c>
      <c r="G11" s="415"/>
      <c r="H11" s="415"/>
      <c r="I11" s="415"/>
      <c r="J11" s="416"/>
      <c r="K11" s="415"/>
      <c r="L11" s="417"/>
      <c r="M11" s="419">
        <v>40</v>
      </c>
      <c r="N11" s="417"/>
      <c r="O11" s="417" t="s">
        <v>356</v>
      </c>
      <c r="P11" s="357">
        <f>SUM(M11:N11) / Capacity!$B$2</f>
        <v>5.7142857142857144</v>
      </c>
      <c r="Q11" s="357">
        <f>SUM(M11:N11)/Capacity!$B$3</f>
        <v>5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 t="s">
        <v>146</v>
      </c>
      <c r="BS11" s="13" t="s">
        <v>146</v>
      </c>
      <c r="BT11" s="13" t="s">
        <v>146</v>
      </c>
      <c r="BU11" s="13" t="s">
        <v>146</v>
      </c>
      <c r="BV11" s="13" t="s">
        <v>146</v>
      </c>
      <c r="BW11" s="13"/>
      <c r="BX11" s="13"/>
      <c r="BY11" s="35" t="s">
        <v>341</v>
      </c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>
        <f t="shared" si="3"/>
        <v>5</v>
      </c>
    </row>
    <row r="12" spans="1:91" ht="25.5" customHeight="1" thickBot="1">
      <c r="A12" s="395"/>
      <c r="B12" s="413" t="s">
        <v>217</v>
      </c>
      <c r="C12" s="414" t="s">
        <v>20</v>
      </c>
      <c r="D12" s="414"/>
      <c r="E12" s="415">
        <v>46031</v>
      </c>
      <c r="F12" s="415">
        <v>46035</v>
      </c>
      <c r="G12" s="415">
        <v>46043</v>
      </c>
      <c r="H12" s="415" t="s">
        <v>16</v>
      </c>
      <c r="I12" s="415">
        <f t="shared" ref="I12:I17" si="4">G12+7</f>
        <v>46050</v>
      </c>
      <c r="J12" s="416">
        <f t="shared" ref="J12:J25" si="5">I12</f>
        <v>46050</v>
      </c>
      <c r="K12" s="415" t="s">
        <v>21</v>
      </c>
      <c r="L12" s="417">
        <v>177</v>
      </c>
      <c r="M12" s="417">
        <v>200</v>
      </c>
      <c r="N12" s="417">
        <v>1</v>
      </c>
      <c r="O12" s="417" t="s">
        <v>340</v>
      </c>
      <c r="P12" s="357">
        <f>SUM(M12:N12) / Capacity!$B$2</f>
        <v>28.714285714285715</v>
      </c>
      <c r="Q12" s="357">
        <f>SUM(M12:N12)/Capacity!$B$3</f>
        <v>25.125</v>
      </c>
      <c r="R12" s="13" t="s">
        <v>146</v>
      </c>
      <c r="S12" s="13"/>
      <c r="T12" s="13"/>
      <c r="U12" s="13" t="s">
        <v>146</v>
      </c>
      <c r="V12" s="13" t="s">
        <v>146</v>
      </c>
      <c r="W12" s="13" t="s">
        <v>146</v>
      </c>
      <c r="X12" s="13" t="s">
        <v>146</v>
      </c>
      <c r="Y12" s="13"/>
      <c r="Z12" s="13"/>
      <c r="AA12" s="13"/>
      <c r="AB12" s="13"/>
      <c r="AC12" s="13"/>
      <c r="AD12" s="13" t="s">
        <v>18</v>
      </c>
      <c r="AE12" s="13" t="s">
        <v>18</v>
      </c>
      <c r="AF12" s="13" t="s">
        <v>18</v>
      </c>
      <c r="AG12" s="13" t="s">
        <v>18</v>
      </c>
      <c r="AH12" s="13" t="s">
        <v>18</v>
      </c>
      <c r="AI12" s="13" t="s">
        <v>18</v>
      </c>
      <c r="AJ12" s="13"/>
      <c r="AK12" s="13"/>
      <c r="AL12" s="13"/>
      <c r="AM12" s="13"/>
      <c r="AN12" s="13"/>
      <c r="AO12" s="13"/>
      <c r="AP12" s="13"/>
      <c r="AQ12" s="13"/>
      <c r="AR12" s="13" t="s">
        <v>18</v>
      </c>
      <c r="AS12" s="13" t="s">
        <v>18</v>
      </c>
      <c r="AT12" s="13" t="s">
        <v>18</v>
      </c>
      <c r="AU12" s="13" t="s">
        <v>18</v>
      </c>
      <c r="AV12" s="13" t="s">
        <v>18</v>
      </c>
      <c r="AW12" s="13" t="s">
        <v>18</v>
      </c>
      <c r="AX12" s="13" t="s">
        <v>18</v>
      </c>
      <c r="AY12" s="13" t="s">
        <v>18</v>
      </c>
      <c r="AZ12" s="13" t="s">
        <v>18</v>
      </c>
      <c r="BA12" s="13" t="s">
        <v>18</v>
      </c>
      <c r="BB12" s="13"/>
      <c r="BC12" s="13"/>
      <c r="BD12" s="13"/>
      <c r="BE12" s="13" t="s">
        <v>146</v>
      </c>
      <c r="BF12" s="13" t="s">
        <v>146</v>
      </c>
      <c r="BG12" s="13" t="s">
        <v>146</v>
      </c>
      <c r="BH12" s="13" t="s">
        <v>146</v>
      </c>
      <c r="BI12" s="13" t="s">
        <v>146</v>
      </c>
      <c r="BJ12" s="13"/>
      <c r="BK12" s="13" t="s">
        <v>146</v>
      </c>
      <c r="BL12" s="13" t="s">
        <v>146</v>
      </c>
      <c r="BM12" s="13" t="s">
        <v>146</v>
      </c>
      <c r="BN12" s="13" t="s">
        <v>146</v>
      </c>
      <c r="BO12" s="13" t="s">
        <v>146</v>
      </c>
      <c r="BP12" s="13"/>
      <c r="BQ12" s="13"/>
      <c r="BR12" s="13" t="s">
        <v>146</v>
      </c>
      <c r="BS12" s="13" t="s">
        <v>146</v>
      </c>
      <c r="BT12" s="13" t="s">
        <v>146</v>
      </c>
      <c r="BU12" s="13" t="s">
        <v>146</v>
      </c>
      <c r="BV12" s="13" t="s">
        <v>146</v>
      </c>
      <c r="BW12" s="13"/>
      <c r="BX12" s="13"/>
      <c r="BY12" s="13" t="s">
        <v>146</v>
      </c>
      <c r="BZ12" s="13" t="s">
        <v>146</v>
      </c>
      <c r="CA12" s="13" t="s">
        <v>146</v>
      </c>
      <c r="CB12" s="13" t="s">
        <v>146</v>
      </c>
      <c r="CC12" s="35" t="s">
        <v>341</v>
      </c>
      <c r="CD12" s="13"/>
      <c r="CE12" s="13"/>
      <c r="CF12" s="13"/>
      <c r="CG12" s="13"/>
      <c r="CH12" s="13"/>
      <c r="CI12" s="13"/>
      <c r="CJ12" s="13"/>
      <c r="CK12" s="13"/>
      <c r="CL12" s="13"/>
      <c r="CM12" s="13">
        <f t="shared" si="3"/>
        <v>24</v>
      </c>
    </row>
    <row r="13" spans="1:91" ht="25.5" customHeight="1">
      <c r="A13" s="395"/>
      <c r="B13" s="413" t="s">
        <v>22</v>
      </c>
      <c r="C13" s="414" t="s">
        <v>23</v>
      </c>
      <c r="D13" s="414"/>
      <c r="E13" s="420" t="s">
        <v>24</v>
      </c>
      <c r="F13" s="421">
        <v>46008</v>
      </c>
      <c r="G13" s="422">
        <v>46037</v>
      </c>
      <c r="H13" s="415" t="s">
        <v>16</v>
      </c>
      <c r="I13" s="415">
        <f t="shared" si="4"/>
        <v>46044</v>
      </c>
      <c r="J13" s="416">
        <f t="shared" si="5"/>
        <v>46044</v>
      </c>
      <c r="K13" s="415" t="s">
        <v>25</v>
      </c>
      <c r="L13" s="417">
        <v>260</v>
      </c>
      <c r="M13" s="417">
        <v>180</v>
      </c>
      <c r="N13" s="417">
        <v>4</v>
      </c>
      <c r="O13" s="417" t="s">
        <v>352</v>
      </c>
      <c r="P13" s="357">
        <f>SUM(M13:N13) / Capacity!$B$2</f>
        <v>26.285714285714285</v>
      </c>
      <c r="Q13" s="357">
        <f>SUM(M13:N13)/(Capacity!$B$3*2)</f>
        <v>11.5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 t="s">
        <v>146</v>
      </c>
      <c r="BI13" s="13"/>
      <c r="BJ13" s="13"/>
      <c r="BK13" s="13" t="s">
        <v>146</v>
      </c>
      <c r="BL13" s="13" t="s">
        <v>146</v>
      </c>
      <c r="BM13" s="13" t="s">
        <v>146</v>
      </c>
      <c r="BN13" s="13" t="s">
        <v>146</v>
      </c>
      <c r="BO13" s="13" t="s">
        <v>146</v>
      </c>
      <c r="BP13" s="13"/>
      <c r="BQ13" s="13"/>
      <c r="BR13" s="13" t="s">
        <v>146</v>
      </c>
      <c r="BS13" s="13" t="s">
        <v>146</v>
      </c>
      <c r="BT13" s="13" t="s">
        <v>146</v>
      </c>
      <c r="BU13" s="13" t="s">
        <v>146</v>
      </c>
      <c r="BV13" s="13" t="s">
        <v>146</v>
      </c>
      <c r="BW13" s="13"/>
      <c r="BX13" s="13"/>
      <c r="BY13" s="13" t="s">
        <v>146</v>
      </c>
      <c r="BZ13" s="35" t="s">
        <v>341</v>
      </c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>
        <f t="shared" si="3"/>
        <v>12</v>
      </c>
    </row>
    <row r="14" spans="1:91" ht="25.5" customHeight="1">
      <c r="A14" s="395"/>
      <c r="B14" s="413" t="s">
        <v>26</v>
      </c>
      <c r="C14" s="414" t="s">
        <v>23</v>
      </c>
      <c r="D14" s="414" t="s">
        <v>27</v>
      </c>
      <c r="E14" s="420" t="s">
        <v>28</v>
      </c>
      <c r="F14" s="415">
        <v>46015</v>
      </c>
      <c r="G14" s="422">
        <v>46037</v>
      </c>
      <c r="H14" s="415" t="s">
        <v>16</v>
      </c>
      <c r="I14" s="415">
        <f t="shared" si="4"/>
        <v>46044</v>
      </c>
      <c r="J14" s="416">
        <f t="shared" si="5"/>
        <v>46044</v>
      </c>
      <c r="K14" s="415" t="s">
        <v>29</v>
      </c>
      <c r="L14" s="417">
        <v>120</v>
      </c>
      <c r="M14" s="417">
        <v>120</v>
      </c>
      <c r="N14" s="417">
        <v>4</v>
      </c>
      <c r="O14" s="417" t="s">
        <v>354</v>
      </c>
      <c r="P14" s="357">
        <f>SUM(M14:N14) / Capacity!$B$2</f>
        <v>17.714285714285715</v>
      </c>
      <c r="Q14" s="357">
        <f>SUM(M14:N14)/Capacity!$B$3</f>
        <v>15.5</v>
      </c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 t="s">
        <v>146</v>
      </c>
      <c r="BE14" s="13" t="s">
        <v>146</v>
      </c>
      <c r="BF14" s="13" t="s">
        <v>146</v>
      </c>
      <c r="BG14" s="13" t="s">
        <v>146</v>
      </c>
      <c r="BH14" s="13" t="s">
        <v>146</v>
      </c>
      <c r="BI14" s="13"/>
      <c r="BJ14" s="13"/>
      <c r="BK14" s="13" t="s">
        <v>146</v>
      </c>
      <c r="BL14" s="13" t="s">
        <v>146</v>
      </c>
      <c r="BM14" s="13" t="s">
        <v>146</v>
      </c>
      <c r="BN14" s="13" t="s">
        <v>146</v>
      </c>
      <c r="BO14" s="13" t="s">
        <v>146</v>
      </c>
      <c r="BP14" s="13"/>
      <c r="BQ14" s="13"/>
      <c r="BR14" s="13" t="s">
        <v>146</v>
      </c>
      <c r="BS14" s="13" t="s">
        <v>146</v>
      </c>
      <c r="BT14" s="13" t="s">
        <v>146</v>
      </c>
      <c r="BU14" s="13" t="s">
        <v>146</v>
      </c>
      <c r="BV14" s="13" t="s">
        <v>146</v>
      </c>
      <c r="BW14" s="13"/>
      <c r="BX14" s="13"/>
      <c r="BY14" s="13" t="s">
        <v>146</v>
      </c>
      <c r="BZ14" s="35" t="s">
        <v>341</v>
      </c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>
        <f t="shared" si="3"/>
        <v>16</v>
      </c>
    </row>
    <row r="15" spans="1:91" ht="25.5" customHeight="1">
      <c r="A15" s="395"/>
      <c r="B15" s="413" t="s">
        <v>30</v>
      </c>
      <c r="C15" s="414" t="s">
        <v>23</v>
      </c>
      <c r="D15" s="414" t="s">
        <v>27</v>
      </c>
      <c r="E15" s="420" t="s">
        <v>31</v>
      </c>
      <c r="F15" s="390">
        <v>46010</v>
      </c>
      <c r="G15" s="415" t="s">
        <v>16</v>
      </c>
      <c r="H15" s="415">
        <v>46031</v>
      </c>
      <c r="I15" s="415">
        <f>H15+7</f>
        <v>46038</v>
      </c>
      <c r="J15" s="416">
        <f t="shared" si="5"/>
        <v>46038</v>
      </c>
      <c r="K15" s="415" t="s">
        <v>32</v>
      </c>
      <c r="L15" s="417">
        <v>35</v>
      </c>
      <c r="M15" s="417">
        <v>35</v>
      </c>
      <c r="N15" s="417">
        <v>5</v>
      </c>
      <c r="O15" s="417" t="s">
        <v>356</v>
      </c>
      <c r="P15" s="357">
        <f>SUM(M15:N15) / Capacity!$B$2</f>
        <v>5.7142857142857144</v>
      </c>
      <c r="Q15" s="357">
        <f>SUM(M15:N15)/Capacity!$B$3</f>
        <v>5</v>
      </c>
      <c r="R15" s="13" t="s">
        <v>18</v>
      </c>
      <c r="S15" s="13"/>
      <c r="T15" s="13"/>
      <c r="U15" s="13" t="s">
        <v>146</v>
      </c>
      <c r="V15" s="13" t="s">
        <v>146</v>
      </c>
      <c r="W15" s="13" t="s">
        <v>146</v>
      </c>
      <c r="X15" s="13" t="s">
        <v>146</v>
      </c>
      <c r="Y15" s="13" t="s">
        <v>146</v>
      </c>
      <c r="Z15" s="13"/>
      <c r="AA15" s="13"/>
      <c r="AB15" s="35" t="s">
        <v>341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>
        <f t="shared" si="3"/>
        <v>5</v>
      </c>
    </row>
    <row r="16" spans="1:91" s="40" customFormat="1" ht="25.5" customHeight="1">
      <c r="A16" s="395"/>
      <c r="B16" s="423" t="s">
        <v>33</v>
      </c>
      <c r="C16" s="424" t="s">
        <v>23</v>
      </c>
      <c r="D16" s="424"/>
      <c r="E16" s="425" t="s">
        <v>31</v>
      </c>
      <c r="F16" s="386">
        <v>46010</v>
      </c>
      <c r="G16" s="386" t="s">
        <v>16</v>
      </c>
      <c r="H16" s="386">
        <v>46031</v>
      </c>
      <c r="I16" s="386">
        <f>H16+7</f>
        <v>46038</v>
      </c>
      <c r="J16" s="387">
        <f t="shared" si="5"/>
        <v>46038</v>
      </c>
      <c r="K16" s="386" t="s">
        <v>34</v>
      </c>
      <c r="L16" s="426">
        <v>40</v>
      </c>
      <c r="M16" s="427">
        <v>0</v>
      </c>
      <c r="N16" s="426" t="s">
        <v>18</v>
      </c>
      <c r="O16" s="426" t="s">
        <v>16</v>
      </c>
      <c r="P16" s="412">
        <f>SUM(M16:N16) / Capacity!$B$2</f>
        <v>0</v>
      </c>
      <c r="Q16" s="412">
        <f>SUM(M16:N16)/Capacity!$B$3</f>
        <v>0</v>
      </c>
      <c r="R16" s="39"/>
      <c r="S16" s="39" t="s">
        <v>18</v>
      </c>
      <c r="T16" s="39" t="s">
        <v>18</v>
      </c>
      <c r="U16" s="39" t="s">
        <v>18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>
        <f t="shared" si="3"/>
        <v>0</v>
      </c>
    </row>
    <row r="17" spans="1:91" ht="25.5" customHeight="1">
      <c r="A17" s="395"/>
      <c r="B17" s="413" t="s">
        <v>35</v>
      </c>
      <c r="C17" s="428" t="s">
        <v>23</v>
      </c>
      <c r="D17" s="428"/>
      <c r="E17" s="420" t="s">
        <v>24</v>
      </c>
      <c r="F17" s="390">
        <v>46008</v>
      </c>
      <c r="G17" s="429">
        <v>46044</v>
      </c>
      <c r="H17" s="415" t="s">
        <v>16</v>
      </c>
      <c r="I17" s="415">
        <f t="shared" si="4"/>
        <v>46051</v>
      </c>
      <c r="J17" s="416">
        <f t="shared" si="5"/>
        <v>46051</v>
      </c>
      <c r="K17" s="415" t="s">
        <v>36</v>
      </c>
      <c r="L17" s="417">
        <v>80</v>
      </c>
      <c r="M17" s="417">
        <v>60</v>
      </c>
      <c r="N17" s="417">
        <v>5</v>
      </c>
      <c r="O17" s="417" t="s">
        <v>356</v>
      </c>
      <c r="P17" s="357">
        <f>SUM(M17:N17) / Capacity!$B$2</f>
        <v>9.2857142857142865</v>
      </c>
      <c r="Q17" s="357">
        <f>SUM(M17:N17)/Capacity!$B$3</f>
        <v>8.125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 t="s">
        <v>18</v>
      </c>
      <c r="AM17" s="13" t="s">
        <v>18</v>
      </c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 t="s">
        <v>146</v>
      </c>
      <c r="BE17" s="13" t="s">
        <v>146</v>
      </c>
      <c r="BF17" s="13" t="s">
        <v>146</v>
      </c>
      <c r="BG17" s="13" t="s">
        <v>146</v>
      </c>
      <c r="BH17" s="13" t="s">
        <v>146</v>
      </c>
      <c r="BI17" s="13"/>
      <c r="BJ17" s="13"/>
      <c r="BK17" s="13" t="s">
        <v>146</v>
      </c>
      <c r="BL17" s="13" t="s">
        <v>146</v>
      </c>
      <c r="BM17" s="13" t="s">
        <v>146</v>
      </c>
      <c r="BN17" s="35" t="s">
        <v>341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>
        <f t="shared" si="3"/>
        <v>8</v>
      </c>
    </row>
    <row r="18" spans="1:91" ht="25.5" customHeight="1">
      <c r="A18" s="395"/>
      <c r="B18" s="430"/>
      <c r="C18" s="431"/>
      <c r="D18" s="431"/>
      <c r="E18" s="432"/>
      <c r="F18" s="432"/>
      <c r="G18" s="432"/>
      <c r="H18" s="432"/>
      <c r="I18" s="432"/>
      <c r="J18" s="432"/>
      <c r="K18" s="432"/>
      <c r="L18" s="433"/>
      <c r="M18" s="433"/>
      <c r="N18" s="433"/>
      <c r="O18" s="433"/>
      <c r="P18" s="357">
        <f>SUM(M18:N18) / Capacity!$B$2</f>
        <v>0</v>
      </c>
      <c r="Q18" s="357">
        <f>SUM(M18:N18)/Capacity!$B$3</f>
        <v>0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>
        <f t="shared" si="3"/>
        <v>0</v>
      </c>
    </row>
    <row r="19" spans="1:91" ht="25.5" customHeight="1">
      <c r="A19" s="395"/>
      <c r="B19" s="413" t="s">
        <v>37</v>
      </c>
      <c r="C19" s="414" t="s">
        <v>38</v>
      </c>
      <c r="D19" s="414"/>
      <c r="E19" s="420" t="s">
        <v>39</v>
      </c>
      <c r="F19" s="415">
        <v>46015</v>
      </c>
      <c r="G19" s="415" t="s">
        <v>16</v>
      </c>
      <c r="H19" s="415">
        <v>46031</v>
      </c>
      <c r="I19" s="415">
        <f>H19+7</f>
        <v>46038</v>
      </c>
      <c r="J19" s="416">
        <f t="shared" si="5"/>
        <v>46038</v>
      </c>
      <c r="K19" s="415" t="s">
        <v>40</v>
      </c>
      <c r="L19" s="417">
        <v>20</v>
      </c>
      <c r="M19" s="417">
        <v>20</v>
      </c>
      <c r="N19" s="417">
        <v>6</v>
      </c>
      <c r="O19" s="417" t="s">
        <v>354</v>
      </c>
      <c r="P19" s="357">
        <f>SUM(M19:N19) / Capacity!$B$2</f>
        <v>3.7142857142857144</v>
      </c>
      <c r="Q19" s="357">
        <f>SUM(M19:N19)/Capacity!$B$3</f>
        <v>3.25</v>
      </c>
      <c r="R19" s="13"/>
      <c r="S19" s="13"/>
      <c r="T19" s="13"/>
      <c r="U19" s="13" t="s">
        <v>146</v>
      </c>
      <c r="V19" s="13" t="s">
        <v>146</v>
      </c>
      <c r="W19" s="13" t="s">
        <v>146</v>
      </c>
      <c r="X19" s="13" t="s">
        <v>18</v>
      </c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>
        <f t="shared" si="3"/>
        <v>3</v>
      </c>
    </row>
    <row r="20" spans="1:91" ht="25.5" customHeight="1">
      <c r="A20" s="395"/>
      <c r="B20" s="413" t="s">
        <v>41</v>
      </c>
      <c r="C20" s="414" t="s">
        <v>42</v>
      </c>
      <c r="D20" s="414"/>
      <c r="E20" s="434" t="s">
        <v>43</v>
      </c>
      <c r="F20" s="415" t="s">
        <v>44</v>
      </c>
      <c r="G20" s="434">
        <v>46051</v>
      </c>
      <c r="H20" s="415" t="s">
        <v>16</v>
      </c>
      <c r="I20" s="434">
        <f>G20+7</f>
        <v>46058</v>
      </c>
      <c r="J20" s="416">
        <f t="shared" si="5"/>
        <v>46058</v>
      </c>
      <c r="K20" s="415" t="s">
        <v>45</v>
      </c>
      <c r="L20" s="417">
        <v>140</v>
      </c>
      <c r="M20" s="417">
        <v>100</v>
      </c>
      <c r="N20" s="417">
        <v>5</v>
      </c>
      <c r="O20" s="417" t="s">
        <v>354</v>
      </c>
      <c r="P20" s="357">
        <f>SUM(M20:N20) / Capacity!$B$2</f>
        <v>15</v>
      </c>
      <c r="Q20" s="357">
        <f>SUM(M20:N20)/Capacity!$B$3</f>
        <v>13.125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 t="s">
        <v>146</v>
      </c>
      <c r="AQ20" s="13" t="s">
        <v>146</v>
      </c>
      <c r="AR20" s="13" t="s">
        <v>146</v>
      </c>
      <c r="AS20" s="13" t="s">
        <v>146</v>
      </c>
      <c r="AT20" s="13" t="s">
        <v>146</v>
      </c>
      <c r="AU20" s="13"/>
      <c r="AV20" s="13"/>
      <c r="AW20" s="13" t="s">
        <v>146</v>
      </c>
      <c r="AX20" s="13" t="s">
        <v>146</v>
      </c>
      <c r="AY20" s="13" t="s">
        <v>146</v>
      </c>
      <c r="AZ20" s="13" t="s">
        <v>146</v>
      </c>
      <c r="BA20" s="13" t="s">
        <v>146</v>
      </c>
      <c r="BB20" s="13"/>
      <c r="BC20" s="13"/>
      <c r="BD20" s="13"/>
      <c r="BE20" s="13" t="s">
        <v>146</v>
      </c>
      <c r="BF20" s="13" t="s">
        <v>146</v>
      </c>
      <c r="BG20" s="13" t="s">
        <v>146</v>
      </c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>
        <f t="shared" si="3"/>
        <v>13</v>
      </c>
    </row>
    <row r="21" spans="1:91" ht="25.5" customHeight="1">
      <c r="A21" s="395"/>
      <c r="B21" s="413" t="s">
        <v>46</v>
      </c>
      <c r="C21" s="414" t="s">
        <v>47</v>
      </c>
      <c r="D21" s="414"/>
      <c r="E21" s="415">
        <v>46045</v>
      </c>
      <c r="F21" s="415">
        <v>46052</v>
      </c>
      <c r="G21" s="415" t="s">
        <v>16</v>
      </c>
      <c r="H21" s="415">
        <v>46059</v>
      </c>
      <c r="I21" s="415">
        <f>H21+7</f>
        <v>46066</v>
      </c>
      <c r="J21" s="416">
        <f t="shared" si="5"/>
        <v>46066</v>
      </c>
      <c r="K21" s="415" t="s">
        <v>40</v>
      </c>
      <c r="L21" s="417">
        <v>90</v>
      </c>
      <c r="M21" s="417">
        <v>60</v>
      </c>
      <c r="N21" s="417" t="s">
        <v>18</v>
      </c>
      <c r="O21" s="418" t="s">
        <v>352</v>
      </c>
      <c r="P21" s="357">
        <f>SUM(M21:N21) / Capacity!$B$2</f>
        <v>8.5714285714285712</v>
      </c>
      <c r="Q21" s="357">
        <f>SUM(M21:N21)/Capacity!$B$3</f>
        <v>7.5</v>
      </c>
      <c r="R21" s="13"/>
      <c r="S21" s="13"/>
      <c r="T21" s="13"/>
      <c r="U21" s="13" t="s">
        <v>18</v>
      </c>
      <c r="V21" s="13" t="s">
        <v>18</v>
      </c>
      <c r="W21" s="13"/>
      <c r="X21" s="13"/>
      <c r="Y21" s="13"/>
      <c r="Z21" s="13"/>
      <c r="AA21" s="13"/>
      <c r="AB21" s="13" t="s">
        <v>146</v>
      </c>
      <c r="AC21" s="13" t="s">
        <v>146</v>
      </c>
      <c r="AD21" s="13" t="s">
        <v>146</v>
      </c>
      <c r="AE21" s="13" t="s">
        <v>146</v>
      </c>
      <c r="AF21" s="13" t="s">
        <v>146</v>
      </c>
      <c r="AG21" s="13"/>
      <c r="AH21" s="13"/>
      <c r="AI21" s="13" t="s">
        <v>146</v>
      </c>
      <c r="AJ21" s="13" t="s">
        <v>146</v>
      </c>
      <c r="AK21" s="13" t="s">
        <v>146</v>
      </c>
      <c r="AL21" s="35" t="s">
        <v>341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 t="s">
        <v>18</v>
      </c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>
        <f t="shared" si="3"/>
        <v>8</v>
      </c>
    </row>
    <row r="22" spans="1:91" ht="25.5" customHeight="1">
      <c r="A22" s="395"/>
      <c r="B22" s="413" t="s">
        <v>48</v>
      </c>
      <c r="C22" s="414" t="s">
        <v>20</v>
      </c>
      <c r="D22" s="414"/>
      <c r="E22" s="434">
        <v>46045</v>
      </c>
      <c r="F22" s="422">
        <v>46050</v>
      </c>
      <c r="G22" s="415">
        <v>46059</v>
      </c>
      <c r="H22" s="415" t="s">
        <v>16</v>
      </c>
      <c r="I22" s="415">
        <f>G22+7</f>
        <v>46066</v>
      </c>
      <c r="J22" s="416">
        <f t="shared" si="5"/>
        <v>46066</v>
      </c>
      <c r="K22" s="422" t="s">
        <v>49</v>
      </c>
      <c r="L22" s="435">
        <v>350</v>
      </c>
      <c r="M22" s="418">
        <v>215</v>
      </c>
      <c r="N22" s="435">
        <v>4</v>
      </c>
      <c r="O22" s="435" t="s">
        <v>340</v>
      </c>
      <c r="P22" s="357">
        <f>SUM(M22:N22) / Capacity!$B$2</f>
        <v>31.285714285714285</v>
      </c>
      <c r="Q22" s="357">
        <f>SUM(M22:N22)/Capacity!$B$3</f>
        <v>27.375</v>
      </c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 t="s">
        <v>18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>
        <f t="shared" si="3"/>
        <v>0</v>
      </c>
    </row>
    <row r="23" spans="1:91" ht="25.5" customHeight="1">
      <c r="A23" s="395"/>
      <c r="B23" s="413" t="s">
        <v>50</v>
      </c>
      <c r="C23" s="414" t="s">
        <v>38</v>
      </c>
      <c r="D23" s="414"/>
      <c r="E23" s="436" t="s">
        <v>413</v>
      </c>
      <c r="F23" s="436" t="s">
        <v>414</v>
      </c>
      <c r="G23" s="415">
        <v>46051</v>
      </c>
      <c r="H23" s="415" t="s">
        <v>16</v>
      </c>
      <c r="I23" s="415">
        <f>G23+7</f>
        <v>46058</v>
      </c>
      <c r="J23" s="416">
        <f t="shared" si="5"/>
        <v>46058</v>
      </c>
      <c r="K23" s="415" t="s">
        <v>40</v>
      </c>
      <c r="L23" s="417">
        <v>40</v>
      </c>
      <c r="M23" s="417">
        <v>40</v>
      </c>
      <c r="N23" s="417">
        <v>2</v>
      </c>
      <c r="O23" s="418" t="s">
        <v>361</v>
      </c>
      <c r="P23" s="357">
        <f>SUM(M23:N23) / Capacity!$B$2</f>
        <v>6</v>
      </c>
      <c r="Q23" s="357">
        <f>SUM(M23:N23)/Capacity!$B$3</f>
        <v>5.25</v>
      </c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 t="s">
        <v>146</v>
      </c>
      <c r="BE23" s="13" t="s">
        <v>146</v>
      </c>
      <c r="BF23" s="13" t="s">
        <v>146</v>
      </c>
      <c r="BG23" s="13" t="s">
        <v>146</v>
      </c>
      <c r="BH23" s="13" t="s">
        <v>146</v>
      </c>
      <c r="BI23" s="13"/>
      <c r="BJ23" s="13"/>
      <c r="BK23" s="13" t="s">
        <v>146</v>
      </c>
      <c r="BL23" s="35" t="s">
        <v>341</v>
      </c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>
        <f t="shared" si="3"/>
        <v>6</v>
      </c>
    </row>
    <row r="24" spans="1:91" ht="25.5" customHeight="1">
      <c r="A24" s="395"/>
      <c r="B24" s="413" t="s">
        <v>51</v>
      </c>
      <c r="C24" s="414" t="s">
        <v>38</v>
      </c>
      <c r="D24" s="414"/>
      <c r="E24" s="415">
        <v>46031</v>
      </c>
      <c r="F24" s="415">
        <v>46036</v>
      </c>
      <c r="G24" s="415" t="s">
        <v>16</v>
      </c>
      <c r="H24" s="415">
        <v>46038</v>
      </c>
      <c r="I24" s="415">
        <f>H24+7</f>
        <v>46045</v>
      </c>
      <c r="J24" s="416">
        <f t="shared" si="5"/>
        <v>46045</v>
      </c>
      <c r="K24" s="415" t="s">
        <v>52</v>
      </c>
      <c r="L24" s="417">
        <v>90</v>
      </c>
      <c r="M24" s="417">
        <v>80</v>
      </c>
      <c r="N24" s="417">
        <v>3</v>
      </c>
      <c r="O24" s="418" t="s">
        <v>352</v>
      </c>
      <c r="P24" s="357">
        <f>SUM(M24:N24) / Capacity!$B$2</f>
        <v>11.857142857142858</v>
      </c>
      <c r="Q24" s="357">
        <f>SUM(M24:N24)/Capacity!$B$3</f>
        <v>10.375</v>
      </c>
      <c r="R24" s="13"/>
      <c r="S24" s="13"/>
      <c r="T24" s="13"/>
      <c r="U24" s="13" t="s">
        <v>18</v>
      </c>
      <c r="V24" s="13" t="s">
        <v>18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 t="s">
        <v>146</v>
      </c>
      <c r="AM24" s="13" t="s">
        <v>146</v>
      </c>
      <c r="AN24" s="13"/>
      <c r="AO24" s="13"/>
      <c r="AP24" s="13" t="s">
        <v>146</v>
      </c>
      <c r="AQ24" s="13" t="s">
        <v>146</v>
      </c>
      <c r="AR24" s="13" t="s">
        <v>146</v>
      </c>
      <c r="AS24" s="13" t="s">
        <v>146</v>
      </c>
      <c r="AT24" s="13" t="s">
        <v>146</v>
      </c>
      <c r="AU24" s="13"/>
      <c r="AV24" s="13"/>
      <c r="AW24" s="13" t="s">
        <v>146</v>
      </c>
      <c r="AX24" s="13" t="s">
        <v>146</v>
      </c>
      <c r="AY24" s="13" t="s">
        <v>146</v>
      </c>
      <c r="AZ24" s="35" t="s">
        <v>341</v>
      </c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 t="s">
        <v>18</v>
      </c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>
        <f t="shared" si="3"/>
        <v>10</v>
      </c>
    </row>
    <row r="25" spans="1:91" ht="25.5" customHeight="1">
      <c r="A25" s="395"/>
      <c r="B25" s="413" t="s">
        <v>53</v>
      </c>
      <c r="C25" s="414" t="s">
        <v>38</v>
      </c>
      <c r="D25" s="414"/>
      <c r="E25" s="415">
        <v>46038</v>
      </c>
      <c r="F25" s="415" t="s">
        <v>16</v>
      </c>
      <c r="G25" s="415" t="s">
        <v>16</v>
      </c>
      <c r="H25" s="415">
        <v>46038</v>
      </c>
      <c r="I25" s="415">
        <f>H25+7</f>
        <v>46045</v>
      </c>
      <c r="J25" s="416">
        <f t="shared" si="5"/>
        <v>46045</v>
      </c>
      <c r="K25" s="415" t="s">
        <v>40</v>
      </c>
      <c r="L25" s="417">
        <v>40</v>
      </c>
      <c r="M25" s="417">
        <v>40</v>
      </c>
      <c r="N25" s="417">
        <v>3</v>
      </c>
      <c r="O25" s="417" t="s">
        <v>354</v>
      </c>
      <c r="P25" s="357">
        <f>SUM(M25:N25) / Capacity!$B$2</f>
        <v>6.1428571428571432</v>
      </c>
      <c r="Q25" s="357">
        <f>SUM(M25:N25)/Capacity!$B$3</f>
        <v>5.375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 t="s">
        <v>18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>
        <f t="shared" si="3"/>
        <v>0</v>
      </c>
    </row>
    <row r="26" spans="1:91" ht="25.5" customHeight="1">
      <c r="A26" s="395"/>
      <c r="B26" s="413" t="s">
        <v>54</v>
      </c>
      <c r="C26" s="414" t="s">
        <v>38</v>
      </c>
      <c r="D26" s="414"/>
      <c r="E26" s="415">
        <v>46052</v>
      </c>
      <c r="F26" s="415">
        <v>46059</v>
      </c>
      <c r="G26" s="415" t="s">
        <v>16</v>
      </c>
      <c r="H26" s="415">
        <v>46066</v>
      </c>
      <c r="I26" s="434" t="s">
        <v>55</v>
      </c>
      <c r="J26" s="415"/>
      <c r="K26" s="415" t="s">
        <v>56</v>
      </c>
      <c r="L26" s="417">
        <v>10</v>
      </c>
      <c r="M26" s="417">
        <v>11</v>
      </c>
      <c r="N26" s="417" t="s">
        <v>18</v>
      </c>
      <c r="O26" s="417" t="s">
        <v>354</v>
      </c>
      <c r="P26" s="357">
        <f>SUM(M26:N26) / Capacity!$B$2</f>
        <v>1.5714285714285714</v>
      </c>
      <c r="Q26" s="357">
        <f>SUM(M26:N26)/Capacity!$B$3</f>
        <v>1.375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 t="s">
        <v>18</v>
      </c>
      <c r="BQ26" s="13"/>
      <c r="BR26" s="13" t="s">
        <v>18</v>
      </c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>
        <f t="shared" si="3"/>
        <v>0</v>
      </c>
    </row>
    <row r="27" spans="1:91" ht="25.5" customHeight="1">
      <c r="A27" s="395"/>
      <c r="B27" s="413" t="s">
        <v>57</v>
      </c>
      <c r="C27" s="414" t="s">
        <v>23</v>
      </c>
      <c r="D27" s="414"/>
      <c r="E27" s="420" t="s">
        <v>58</v>
      </c>
      <c r="F27" s="420" t="s">
        <v>58</v>
      </c>
      <c r="G27" s="437" t="s">
        <v>58</v>
      </c>
      <c r="H27" s="437" t="s">
        <v>58</v>
      </c>
      <c r="I27" s="437" t="s">
        <v>58</v>
      </c>
      <c r="J27" s="437" t="s">
        <v>58</v>
      </c>
      <c r="K27" s="415" t="s">
        <v>59</v>
      </c>
      <c r="L27" s="417" t="s">
        <v>60</v>
      </c>
      <c r="M27" s="417" t="s">
        <v>60</v>
      </c>
      <c r="N27" s="417" t="s">
        <v>18</v>
      </c>
      <c r="O27" s="417" t="s">
        <v>356</v>
      </c>
      <c r="P27" s="357">
        <f>SUM(M27:N27) / Capacity!$B$2</f>
        <v>0</v>
      </c>
      <c r="Q27" s="357">
        <f>SUM(M27:N27)/Capacity!$B$3</f>
        <v>0</v>
      </c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 t="s">
        <v>18</v>
      </c>
      <c r="BR27" s="13"/>
      <c r="BS27" s="13" t="s">
        <v>18</v>
      </c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>
        <f t="shared" si="3"/>
        <v>0</v>
      </c>
    </row>
    <row r="28" spans="1:91" ht="25.5" customHeight="1">
      <c r="A28" s="395"/>
      <c r="B28" s="413" t="s">
        <v>61</v>
      </c>
      <c r="C28" s="414" t="s">
        <v>23</v>
      </c>
      <c r="D28" s="414"/>
      <c r="E28" s="420" t="s">
        <v>58</v>
      </c>
      <c r="F28" s="420" t="s">
        <v>58</v>
      </c>
      <c r="G28" s="437" t="s">
        <v>58</v>
      </c>
      <c r="H28" s="437" t="s">
        <v>58</v>
      </c>
      <c r="I28" s="437" t="s">
        <v>58</v>
      </c>
      <c r="J28" s="437" t="s">
        <v>58</v>
      </c>
      <c r="K28" s="415" t="s">
        <v>62</v>
      </c>
      <c r="L28" s="417">
        <v>19</v>
      </c>
      <c r="M28" s="417">
        <v>19</v>
      </c>
      <c r="N28" s="417" t="s">
        <v>18</v>
      </c>
      <c r="O28" s="417" t="s">
        <v>356</v>
      </c>
      <c r="P28" s="357">
        <f>SUM(M28:N28) / Capacity!$B$2</f>
        <v>2.7142857142857144</v>
      </c>
      <c r="Q28" s="357">
        <f>SUM(M28:N28)/Capacity!$B$3</f>
        <v>2.375</v>
      </c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 t="s">
        <v>146</v>
      </c>
      <c r="AC28" s="13" t="s">
        <v>146</v>
      </c>
      <c r="AD28" s="35" t="s">
        <v>341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 t="s">
        <v>18</v>
      </c>
      <c r="BS28" s="13"/>
      <c r="BT28" s="13" t="s">
        <v>18</v>
      </c>
      <c r="BU28" s="13" t="s">
        <v>18</v>
      </c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>
        <f t="shared" si="3"/>
        <v>2</v>
      </c>
    </row>
    <row r="29" spans="1:91" ht="25.5" customHeight="1">
      <c r="A29" s="395"/>
      <c r="B29" s="413" t="s">
        <v>63</v>
      </c>
      <c r="C29" s="414" t="s">
        <v>23</v>
      </c>
      <c r="D29" s="414"/>
      <c r="E29" s="420" t="s">
        <v>58</v>
      </c>
      <c r="F29" s="420" t="s">
        <v>58</v>
      </c>
      <c r="G29" s="437" t="s">
        <v>58</v>
      </c>
      <c r="H29" s="437" t="s">
        <v>58</v>
      </c>
      <c r="I29" s="437" t="s">
        <v>58</v>
      </c>
      <c r="J29" s="437" t="s">
        <v>58</v>
      </c>
      <c r="K29" s="415" t="s">
        <v>64</v>
      </c>
      <c r="L29" s="417">
        <v>41</v>
      </c>
      <c r="M29" s="417">
        <v>41</v>
      </c>
      <c r="N29" s="417" t="s">
        <v>18</v>
      </c>
      <c r="O29" s="417" t="s">
        <v>352</v>
      </c>
      <c r="P29" s="357">
        <f>SUM(M29:N29) / Capacity!$B$2</f>
        <v>5.8571428571428568</v>
      </c>
      <c r="Q29" s="357">
        <f>SUM(M29:N29)/Capacity!$B$3</f>
        <v>5.125</v>
      </c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 t="s">
        <v>146</v>
      </c>
      <c r="BA29" s="13" t="s">
        <v>146</v>
      </c>
      <c r="BB29" s="13"/>
      <c r="BC29" s="13"/>
      <c r="BD29" s="13" t="s">
        <v>146</v>
      </c>
      <c r="BE29" s="13" t="s">
        <v>146</v>
      </c>
      <c r="BF29" s="13" t="s">
        <v>146</v>
      </c>
      <c r="BG29" s="13" t="s">
        <v>146</v>
      </c>
      <c r="BH29" s="35" t="s">
        <v>341</v>
      </c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 t="s">
        <v>18</v>
      </c>
      <c r="BT29" s="13" t="s">
        <v>18</v>
      </c>
      <c r="BU29" s="13"/>
      <c r="BV29" s="13" t="s">
        <v>18</v>
      </c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>
        <f t="shared" si="3"/>
        <v>6</v>
      </c>
    </row>
    <row r="30" spans="1:91" ht="25.5" customHeight="1">
      <c r="A30" s="395"/>
      <c r="B30" s="430"/>
      <c r="C30" s="431"/>
      <c r="D30" s="431"/>
      <c r="E30" s="432"/>
      <c r="F30" s="432"/>
      <c r="G30" s="432"/>
      <c r="H30" s="432"/>
      <c r="I30" s="432"/>
      <c r="J30" s="432"/>
      <c r="K30" s="432"/>
      <c r="L30" s="432"/>
      <c r="M30" s="432"/>
      <c r="N30" s="432"/>
      <c r="O30" s="432"/>
      <c r="P30" s="357">
        <f>SUM(M30:N30) / Capacity!$B$2</f>
        <v>0</v>
      </c>
      <c r="Q30" s="357">
        <f>SUM(M30:N30)/Capacity!$B$3</f>
        <v>0</v>
      </c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>
        <f t="shared" si="3"/>
        <v>0</v>
      </c>
    </row>
    <row r="31" spans="1:91" ht="25.5" customHeight="1">
      <c r="A31" s="395"/>
      <c r="B31" s="413" t="s">
        <v>65</v>
      </c>
      <c r="C31" s="438"/>
      <c r="D31" s="438"/>
      <c r="E31" s="420" t="s">
        <v>58</v>
      </c>
      <c r="F31" s="420" t="s">
        <v>58</v>
      </c>
      <c r="G31" s="437" t="s">
        <v>58</v>
      </c>
      <c r="H31" s="437" t="s">
        <v>58</v>
      </c>
      <c r="I31" s="420" t="s">
        <v>58</v>
      </c>
      <c r="J31" s="420" t="s">
        <v>58</v>
      </c>
      <c r="K31" s="417" t="s">
        <v>66</v>
      </c>
      <c r="L31" s="417">
        <v>47</v>
      </c>
      <c r="M31" s="417">
        <v>47</v>
      </c>
      <c r="N31" s="417" t="s">
        <v>18</v>
      </c>
      <c r="O31" s="417" t="s">
        <v>356</v>
      </c>
      <c r="P31" s="357">
        <f>SUM(M31:N31) / Capacity!$B$2</f>
        <v>6.7142857142857144</v>
      </c>
      <c r="Q31" s="357">
        <f>SUM(M31:N31)/Capacity!$B$3</f>
        <v>5.875</v>
      </c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 t="s">
        <v>146</v>
      </c>
      <c r="AQ31" s="13" t="s">
        <v>146</v>
      </c>
      <c r="AR31" s="13" t="s">
        <v>146</v>
      </c>
      <c r="AS31" s="13" t="s">
        <v>146</v>
      </c>
      <c r="AT31" s="13" t="s">
        <v>146</v>
      </c>
      <c r="AU31" s="13"/>
      <c r="AV31" s="13"/>
      <c r="AW31" s="13" t="s">
        <v>146</v>
      </c>
      <c r="AX31" s="35" t="s">
        <v>341</v>
      </c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>
        <f t="shared" si="3"/>
        <v>6</v>
      </c>
    </row>
    <row r="32" spans="1:91" ht="25.5" customHeight="1">
      <c r="A32" s="395"/>
      <c r="B32" s="439" t="s">
        <v>67</v>
      </c>
      <c r="C32" s="440"/>
      <c r="D32" s="440"/>
      <c r="E32" s="441" t="s">
        <v>58</v>
      </c>
      <c r="F32" s="441" t="s">
        <v>58</v>
      </c>
      <c r="G32" s="442" t="s">
        <v>58</v>
      </c>
      <c r="H32" s="442" t="s">
        <v>58</v>
      </c>
      <c r="I32" s="441" t="s">
        <v>58</v>
      </c>
      <c r="J32" s="441" t="s">
        <v>58</v>
      </c>
      <c r="K32" s="443" t="s">
        <v>68</v>
      </c>
      <c r="L32" s="443">
        <v>5</v>
      </c>
      <c r="M32" s="443">
        <v>5</v>
      </c>
      <c r="N32" s="443" t="s">
        <v>18</v>
      </c>
      <c r="O32" s="443" t="s">
        <v>356</v>
      </c>
      <c r="P32" s="357">
        <f>SUM(M32:N32) / Capacity!$B$2</f>
        <v>0.7142857142857143</v>
      </c>
      <c r="Q32" s="357">
        <f>SUM(M32:N32)/Capacity!$B$3</f>
        <v>0.625</v>
      </c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 t="s">
        <v>146</v>
      </c>
      <c r="AY32" s="35" t="s">
        <v>341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>
        <f t="shared" si="3"/>
        <v>1</v>
      </c>
    </row>
    <row r="33" spans="1:91" ht="15.75" customHeight="1">
      <c r="A33" s="395"/>
      <c r="B33" s="99"/>
      <c r="C33" s="20"/>
      <c r="D33" s="20"/>
      <c r="E33" s="408"/>
      <c r="F33" s="408"/>
      <c r="G33" s="408"/>
      <c r="H33" s="408"/>
      <c r="I33" s="408"/>
      <c r="J33" s="408"/>
      <c r="K33" s="408"/>
      <c r="L33" s="409">
        <f>SUM(L3:L32)</f>
        <v>2179</v>
      </c>
      <c r="M33" s="409">
        <f>SUM(M4:M32)</f>
        <v>1768</v>
      </c>
      <c r="N33" s="410">
        <f>SUM(M3:N32)</f>
        <v>2333</v>
      </c>
      <c r="O33" s="410"/>
      <c r="P33" s="410">
        <f>SUM(P3:P32)</f>
        <v>333.28571428571428</v>
      </c>
      <c r="Q33" s="410">
        <f>SUM(Q3:Q32)</f>
        <v>249.1875</v>
      </c>
      <c r="R33" s="22">
        <f t="shared" ref="R33:AW33" si="6">COUNTIF(R3:R32, "X")</f>
        <v>1</v>
      </c>
      <c r="S33" s="22">
        <f t="shared" si="6"/>
        <v>0</v>
      </c>
      <c r="T33" s="22">
        <f t="shared" si="6"/>
        <v>0</v>
      </c>
      <c r="U33" s="22">
        <f t="shared" si="6"/>
        <v>3</v>
      </c>
      <c r="V33" s="22">
        <f t="shared" si="6"/>
        <v>3</v>
      </c>
      <c r="W33" s="22">
        <f t="shared" si="6"/>
        <v>3</v>
      </c>
      <c r="X33" s="22">
        <f t="shared" si="6"/>
        <v>2</v>
      </c>
      <c r="Y33" s="22">
        <f t="shared" si="6"/>
        <v>3</v>
      </c>
      <c r="Z33" s="22">
        <f t="shared" si="6"/>
        <v>0</v>
      </c>
      <c r="AA33" s="22">
        <f t="shared" si="6"/>
        <v>0</v>
      </c>
      <c r="AB33" s="22">
        <f t="shared" si="6"/>
        <v>4</v>
      </c>
      <c r="AC33" s="22">
        <f t="shared" si="6"/>
        <v>4</v>
      </c>
      <c r="AD33" s="22">
        <f t="shared" si="6"/>
        <v>3</v>
      </c>
      <c r="AE33" s="22">
        <f t="shared" si="6"/>
        <v>3</v>
      </c>
      <c r="AF33" s="22">
        <f t="shared" si="6"/>
        <v>3</v>
      </c>
      <c r="AG33" s="22">
        <f t="shared" si="6"/>
        <v>0</v>
      </c>
      <c r="AH33" s="22">
        <f t="shared" si="6"/>
        <v>0</v>
      </c>
      <c r="AI33" s="22">
        <f t="shared" si="6"/>
        <v>3</v>
      </c>
      <c r="AJ33" s="22">
        <f t="shared" si="6"/>
        <v>2</v>
      </c>
      <c r="AK33" s="22">
        <f t="shared" si="6"/>
        <v>3</v>
      </c>
      <c r="AL33" s="22">
        <f t="shared" si="6"/>
        <v>3</v>
      </c>
      <c r="AM33" s="22">
        <f t="shared" si="6"/>
        <v>3</v>
      </c>
      <c r="AN33" s="22">
        <f t="shared" si="6"/>
        <v>0</v>
      </c>
      <c r="AO33" s="22">
        <f t="shared" si="6"/>
        <v>0</v>
      </c>
      <c r="AP33" s="22">
        <f t="shared" si="6"/>
        <v>5</v>
      </c>
      <c r="AQ33" s="22">
        <f t="shared" si="6"/>
        <v>5</v>
      </c>
      <c r="AR33" s="22">
        <f t="shared" si="6"/>
        <v>4</v>
      </c>
      <c r="AS33" s="22">
        <f t="shared" si="6"/>
        <v>5</v>
      </c>
      <c r="AT33" s="22">
        <f t="shared" si="6"/>
        <v>5</v>
      </c>
      <c r="AU33" s="22">
        <f t="shared" si="6"/>
        <v>0</v>
      </c>
      <c r="AV33" s="22">
        <f t="shared" si="6"/>
        <v>0</v>
      </c>
      <c r="AW33" s="22">
        <f t="shared" si="6"/>
        <v>5</v>
      </c>
      <c r="AX33" s="22">
        <f t="shared" ref="AX33:CC33" si="7">COUNTIF(AX3:AX32, "X")</f>
        <v>5</v>
      </c>
      <c r="AY33" s="22">
        <f t="shared" si="7"/>
        <v>4</v>
      </c>
      <c r="AZ33" s="22">
        <f t="shared" si="7"/>
        <v>4</v>
      </c>
      <c r="BA33" s="22">
        <f t="shared" si="7"/>
        <v>4</v>
      </c>
      <c r="BB33" s="22">
        <f t="shared" si="7"/>
        <v>0</v>
      </c>
      <c r="BC33" s="22">
        <f t="shared" si="7"/>
        <v>0</v>
      </c>
      <c r="BD33" s="22">
        <f t="shared" si="7"/>
        <v>5</v>
      </c>
      <c r="BE33" s="22">
        <f t="shared" si="7"/>
        <v>8</v>
      </c>
      <c r="BF33" s="22">
        <f t="shared" si="7"/>
        <v>8</v>
      </c>
      <c r="BG33" s="22">
        <f t="shared" si="7"/>
        <v>7</v>
      </c>
      <c r="BH33" s="22">
        <f t="shared" si="7"/>
        <v>7</v>
      </c>
      <c r="BI33" s="22">
        <f t="shared" si="7"/>
        <v>1</v>
      </c>
      <c r="BJ33" s="22">
        <f t="shared" si="7"/>
        <v>0</v>
      </c>
      <c r="BK33" s="22">
        <f t="shared" si="7"/>
        <v>7</v>
      </c>
      <c r="BL33" s="22">
        <f t="shared" si="7"/>
        <v>6</v>
      </c>
      <c r="BM33" s="22">
        <f t="shared" si="7"/>
        <v>5</v>
      </c>
      <c r="BN33" s="22">
        <f t="shared" si="7"/>
        <v>4</v>
      </c>
      <c r="BO33" s="22">
        <f t="shared" si="7"/>
        <v>4</v>
      </c>
      <c r="BP33" s="22">
        <f t="shared" si="7"/>
        <v>0</v>
      </c>
      <c r="BQ33" s="22">
        <f t="shared" si="7"/>
        <v>0</v>
      </c>
      <c r="BR33" s="22">
        <f t="shared" si="7"/>
        <v>5</v>
      </c>
      <c r="BS33" s="22">
        <f t="shared" si="7"/>
        <v>5</v>
      </c>
      <c r="BT33" s="22">
        <f t="shared" si="7"/>
        <v>5</v>
      </c>
      <c r="BU33" s="22">
        <f t="shared" si="7"/>
        <v>5</v>
      </c>
      <c r="BV33" s="22">
        <f t="shared" si="7"/>
        <v>5</v>
      </c>
      <c r="BW33" s="22">
        <f t="shared" si="7"/>
        <v>0</v>
      </c>
      <c r="BX33" s="22">
        <f t="shared" si="7"/>
        <v>0</v>
      </c>
      <c r="BY33" s="22">
        <f t="shared" si="7"/>
        <v>4</v>
      </c>
      <c r="BZ33" s="22">
        <f t="shared" si="7"/>
        <v>1</v>
      </c>
      <c r="CA33" s="22">
        <f t="shared" si="7"/>
        <v>1</v>
      </c>
      <c r="CB33" s="22">
        <f t="shared" si="7"/>
        <v>1</v>
      </c>
      <c r="CC33" s="22">
        <f t="shared" si="7"/>
        <v>0</v>
      </c>
      <c r="CD33" s="22">
        <f t="shared" ref="CD33:CL33" si="8">COUNTIF(CD3:CD32, "X")</f>
        <v>0</v>
      </c>
      <c r="CE33" s="22">
        <f t="shared" si="8"/>
        <v>0</v>
      </c>
      <c r="CF33" s="22">
        <f t="shared" si="8"/>
        <v>0</v>
      </c>
      <c r="CG33" s="22">
        <f t="shared" si="8"/>
        <v>0</v>
      </c>
      <c r="CH33" s="22">
        <f t="shared" si="8"/>
        <v>0</v>
      </c>
      <c r="CI33" s="22">
        <f t="shared" si="8"/>
        <v>0</v>
      </c>
      <c r="CJ33" s="22">
        <f t="shared" si="8"/>
        <v>0</v>
      </c>
      <c r="CK33" s="22">
        <f t="shared" si="8"/>
        <v>0</v>
      </c>
      <c r="CL33" s="22">
        <f t="shared" si="8"/>
        <v>0</v>
      </c>
      <c r="CM33" s="22">
        <f>SUM(CM4:CM32)</f>
        <v>186</v>
      </c>
    </row>
    <row r="34" spans="1:91" ht="15.75" customHeight="1">
      <c r="C34" s="1"/>
      <c r="D34" s="1"/>
    </row>
    <row r="35" spans="1:91" ht="15.75" customHeight="1">
      <c r="C35" s="1"/>
      <c r="D35" s="1"/>
    </row>
    <row r="36" spans="1:91" ht="15.75" customHeight="1">
      <c r="C36" s="1"/>
      <c r="D36" s="1"/>
    </row>
    <row r="37" spans="1:91" ht="15.75" customHeight="1">
      <c r="C37" s="1"/>
      <c r="D37" s="1"/>
    </row>
    <row r="38" spans="1:91" ht="15.75" customHeight="1">
      <c r="C38" s="1"/>
      <c r="D38" s="1"/>
    </row>
    <row r="39" spans="1:91" ht="15.75" customHeight="1">
      <c r="C39" s="1"/>
      <c r="D39" s="1"/>
    </row>
    <row r="40" spans="1:91" ht="15.75" customHeight="1">
      <c r="C40" s="1"/>
      <c r="D40" s="1"/>
    </row>
    <row r="41" spans="1:91" ht="15.75" customHeight="1">
      <c r="C41" s="1"/>
      <c r="D41" s="1"/>
    </row>
    <row r="42" spans="1:91" ht="15.75" customHeight="1">
      <c r="C42" s="1"/>
      <c r="D42" s="1"/>
    </row>
    <row r="43" spans="1:91" ht="15.75" customHeight="1">
      <c r="C43" s="1"/>
      <c r="D43" s="1"/>
    </row>
    <row r="44" spans="1:91" ht="15.75" customHeight="1">
      <c r="C44" s="1"/>
      <c r="D44" s="1"/>
    </row>
    <row r="45" spans="1:91" ht="15.75" customHeight="1">
      <c r="C45" s="1"/>
      <c r="D45" s="1"/>
    </row>
    <row r="46" spans="1:91" ht="15.75" customHeight="1">
      <c r="C46" s="1"/>
      <c r="D46" s="1"/>
    </row>
    <row r="47" spans="1:91" ht="15.75" customHeight="1">
      <c r="C47" s="1"/>
      <c r="D47" s="1"/>
    </row>
    <row r="48" spans="1:91" ht="15.75" customHeight="1">
      <c r="C48" s="1"/>
      <c r="D48" s="1"/>
    </row>
    <row r="49" spans="3:4" ht="15.75" customHeight="1">
      <c r="C49" s="1"/>
      <c r="D49" s="1"/>
    </row>
    <row r="50" spans="3:4" ht="15.75" customHeight="1">
      <c r="C50" s="1"/>
      <c r="D50" s="1"/>
    </row>
    <row r="51" spans="3:4" ht="15.75" customHeight="1">
      <c r="C51" s="1"/>
      <c r="D51" s="1"/>
    </row>
    <row r="52" spans="3:4" ht="15.75" customHeight="1">
      <c r="C52" s="1"/>
      <c r="D52" s="1"/>
    </row>
    <row r="53" spans="3:4" ht="15.75" customHeight="1">
      <c r="C53" s="1"/>
      <c r="D53" s="1"/>
    </row>
    <row r="54" spans="3:4" ht="15.75" customHeight="1">
      <c r="C54" s="1"/>
      <c r="D54" s="1"/>
    </row>
    <row r="55" spans="3:4" ht="15.75" customHeight="1">
      <c r="C55" s="1"/>
      <c r="D55" s="1"/>
    </row>
    <row r="56" spans="3:4" ht="15.75" customHeight="1">
      <c r="C56" s="1"/>
      <c r="D56" s="1"/>
    </row>
    <row r="57" spans="3:4" ht="15.75" customHeight="1">
      <c r="C57" s="1"/>
      <c r="D57" s="1"/>
    </row>
    <row r="58" spans="3:4" ht="15.75" customHeight="1">
      <c r="C58" s="1"/>
      <c r="D58" s="1"/>
    </row>
    <row r="59" spans="3:4" ht="15.75" customHeight="1">
      <c r="C59" s="1"/>
      <c r="D59" s="1"/>
    </row>
    <row r="60" spans="3:4" ht="15.75" customHeight="1">
      <c r="C60" s="1"/>
      <c r="D60" s="1"/>
    </row>
    <row r="61" spans="3:4" ht="15.75" customHeight="1">
      <c r="C61" s="1"/>
      <c r="D61" s="1"/>
    </row>
    <row r="62" spans="3:4" ht="15.75" customHeight="1">
      <c r="C62" s="1"/>
      <c r="D62" s="1"/>
    </row>
    <row r="63" spans="3:4" ht="15.75" customHeight="1">
      <c r="C63" s="1"/>
      <c r="D63" s="1"/>
    </row>
    <row r="64" spans="3:4" ht="15.75" customHeight="1">
      <c r="C64" s="1"/>
      <c r="D64" s="1"/>
    </row>
    <row r="65" spans="3:4" ht="15.75" customHeight="1">
      <c r="C65" s="1"/>
      <c r="D65" s="1"/>
    </row>
    <row r="66" spans="3:4" ht="15.75" customHeight="1">
      <c r="C66" s="1"/>
      <c r="D66" s="1"/>
    </row>
    <row r="67" spans="3:4" ht="15.75" customHeight="1">
      <c r="C67" s="1"/>
      <c r="D67" s="1"/>
    </row>
    <row r="68" spans="3:4" ht="15.75" customHeight="1">
      <c r="C68" s="1"/>
      <c r="D68" s="1"/>
    </row>
    <row r="69" spans="3:4" ht="15.75" customHeight="1">
      <c r="C69" s="1"/>
      <c r="D69" s="1"/>
    </row>
    <row r="70" spans="3:4" ht="15.75" customHeight="1">
      <c r="C70" s="1"/>
      <c r="D70" s="1"/>
    </row>
    <row r="71" spans="3:4" ht="15.75" customHeight="1">
      <c r="C71" s="1"/>
      <c r="D71" s="1"/>
    </row>
    <row r="72" spans="3:4" ht="15.75" customHeight="1">
      <c r="C72" s="1"/>
      <c r="D72" s="1"/>
    </row>
    <row r="73" spans="3:4" ht="15.75" customHeight="1">
      <c r="C73" s="1"/>
      <c r="D73" s="1"/>
    </row>
    <row r="74" spans="3:4" ht="15.75" customHeight="1">
      <c r="C74" s="1"/>
      <c r="D74" s="1"/>
    </row>
    <row r="75" spans="3:4" ht="15.75" customHeight="1">
      <c r="C75" s="1"/>
      <c r="D75" s="1"/>
    </row>
    <row r="76" spans="3:4" ht="15.75" customHeight="1">
      <c r="C76" s="1"/>
      <c r="D76" s="1"/>
    </row>
    <row r="77" spans="3:4" ht="15.75" customHeight="1">
      <c r="C77" s="1"/>
      <c r="D77" s="1"/>
    </row>
    <row r="78" spans="3:4" ht="15.75" customHeight="1">
      <c r="C78" s="1"/>
      <c r="D78" s="1"/>
    </row>
    <row r="79" spans="3:4" ht="15.75" customHeight="1">
      <c r="C79" s="1"/>
      <c r="D79" s="1"/>
    </row>
    <row r="80" spans="3:4" ht="15.75" customHeight="1">
      <c r="C80" s="1"/>
      <c r="D80" s="1"/>
    </row>
    <row r="81" spans="3:4" ht="15.75" customHeight="1">
      <c r="C81" s="1"/>
      <c r="D81" s="1"/>
    </row>
    <row r="82" spans="3:4" ht="15.75" customHeight="1">
      <c r="C82" s="1"/>
      <c r="D82" s="1"/>
    </row>
    <row r="83" spans="3:4" ht="15.75" customHeight="1">
      <c r="C83" s="1"/>
      <c r="D83" s="1"/>
    </row>
    <row r="84" spans="3:4" ht="15.75" customHeight="1">
      <c r="C84" s="1"/>
      <c r="D84" s="1"/>
    </row>
    <row r="85" spans="3:4" ht="15.75" customHeight="1">
      <c r="C85" s="1"/>
      <c r="D85" s="1"/>
    </row>
    <row r="86" spans="3:4" ht="15.75" customHeight="1">
      <c r="C86" s="1"/>
      <c r="D86" s="1"/>
    </row>
    <row r="87" spans="3:4" ht="15.75" customHeight="1">
      <c r="C87" s="1"/>
      <c r="D87" s="1"/>
    </row>
    <row r="88" spans="3:4" ht="15.75" customHeight="1">
      <c r="C88" s="1"/>
      <c r="D88" s="1"/>
    </row>
    <row r="89" spans="3:4" ht="15.75" customHeight="1">
      <c r="C89" s="1"/>
      <c r="D89" s="1"/>
    </row>
    <row r="90" spans="3:4" ht="15.75" customHeight="1">
      <c r="C90" s="1"/>
      <c r="D90" s="1"/>
    </row>
    <row r="91" spans="3:4" ht="15.75" customHeight="1">
      <c r="C91" s="1"/>
      <c r="D91" s="1"/>
    </row>
    <row r="92" spans="3:4" ht="15.75" customHeight="1">
      <c r="C92" s="1"/>
      <c r="D92" s="1"/>
    </row>
    <row r="93" spans="3:4" ht="15.75" customHeight="1">
      <c r="C93" s="1"/>
      <c r="D93" s="1"/>
    </row>
    <row r="94" spans="3:4" ht="15.75" customHeight="1">
      <c r="C94" s="1"/>
      <c r="D94" s="1"/>
    </row>
    <row r="95" spans="3:4" ht="15.75" customHeight="1">
      <c r="C95" s="1"/>
      <c r="D95" s="1"/>
    </row>
    <row r="96" spans="3:4" ht="15.75" customHeight="1">
      <c r="C96" s="1"/>
      <c r="D96" s="1"/>
    </row>
    <row r="97" spans="3:4" ht="15.75" customHeight="1">
      <c r="C97" s="1"/>
      <c r="D97" s="1"/>
    </row>
    <row r="98" spans="3:4" ht="15.75" customHeight="1">
      <c r="C98" s="1"/>
      <c r="D98" s="1"/>
    </row>
    <row r="99" spans="3:4" ht="15.75" customHeight="1">
      <c r="C99" s="1"/>
      <c r="D99" s="1"/>
    </row>
    <row r="100" spans="3:4" ht="15.75" customHeight="1">
      <c r="C100" s="1"/>
      <c r="D100" s="1"/>
    </row>
    <row r="101" spans="3:4" ht="15.75" customHeight="1">
      <c r="C101" s="1"/>
      <c r="D101" s="1"/>
    </row>
    <row r="102" spans="3:4" ht="15.75" customHeight="1">
      <c r="C102" s="1"/>
      <c r="D102" s="1"/>
    </row>
    <row r="103" spans="3:4" ht="15.75" customHeight="1">
      <c r="C103" s="1"/>
      <c r="D103" s="1"/>
    </row>
    <row r="104" spans="3:4" ht="15.75" customHeight="1">
      <c r="C104" s="1"/>
      <c r="D104" s="1"/>
    </row>
    <row r="105" spans="3:4" ht="15.75" customHeight="1">
      <c r="C105" s="1"/>
      <c r="D105" s="1"/>
    </row>
    <row r="106" spans="3:4" ht="15.75" customHeight="1">
      <c r="C106" s="1"/>
      <c r="D106" s="1"/>
    </row>
    <row r="107" spans="3:4" ht="15.75" customHeight="1">
      <c r="C107" s="1"/>
      <c r="D107" s="1"/>
    </row>
    <row r="108" spans="3:4" ht="15.75" customHeight="1">
      <c r="C108" s="1"/>
      <c r="D108" s="1"/>
    </row>
    <row r="109" spans="3:4" ht="15.75" customHeight="1">
      <c r="C109" s="1"/>
      <c r="D109" s="1"/>
    </row>
    <row r="110" spans="3:4" ht="15.75" customHeight="1">
      <c r="C110" s="1"/>
      <c r="D110" s="1"/>
    </row>
    <row r="111" spans="3:4" ht="15.75" customHeight="1">
      <c r="C111" s="1"/>
      <c r="D111" s="1"/>
    </row>
    <row r="112" spans="3:4" ht="15.75" customHeight="1">
      <c r="C112" s="1"/>
      <c r="D112" s="1"/>
    </row>
    <row r="113" spans="3:4" ht="15.75" customHeight="1">
      <c r="C113" s="1"/>
      <c r="D113" s="1"/>
    </row>
    <row r="114" spans="3:4" ht="15.75" customHeight="1">
      <c r="C114" s="1"/>
      <c r="D114" s="1"/>
    </row>
    <row r="115" spans="3:4" ht="15.75" customHeight="1">
      <c r="C115" s="1"/>
      <c r="D115" s="1"/>
    </row>
    <row r="116" spans="3:4" ht="15.75" customHeight="1">
      <c r="C116" s="1"/>
      <c r="D116" s="1"/>
    </row>
    <row r="117" spans="3:4" ht="15.75" customHeight="1">
      <c r="C117" s="1"/>
      <c r="D117" s="1"/>
    </row>
    <row r="118" spans="3:4" ht="15.75" customHeight="1">
      <c r="C118" s="1"/>
      <c r="D118" s="1"/>
    </row>
    <row r="119" spans="3:4" ht="15.75" customHeight="1">
      <c r="C119" s="1"/>
      <c r="D119" s="1"/>
    </row>
    <row r="120" spans="3:4" ht="15.75" customHeight="1">
      <c r="C120" s="1"/>
      <c r="D120" s="1"/>
    </row>
    <row r="121" spans="3:4" ht="15.75" customHeight="1">
      <c r="C121" s="1"/>
      <c r="D121" s="1"/>
    </row>
    <row r="122" spans="3:4" ht="15.75" customHeight="1">
      <c r="C122" s="1"/>
      <c r="D122" s="1"/>
    </row>
    <row r="123" spans="3:4" ht="15.75" customHeight="1">
      <c r="C123" s="1"/>
      <c r="D123" s="1"/>
    </row>
    <row r="124" spans="3:4" ht="15.75" customHeight="1">
      <c r="C124" s="1"/>
      <c r="D124" s="1"/>
    </row>
    <row r="125" spans="3:4" ht="15.75" customHeight="1">
      <c r="C125" s="1"/>
      <c r="D125" s="1"/>
    </row>
    <row r="126" spans="3:4" ht="15.75" customHeight="1">
      <c r="C126" s="1"/>
      <c r="D126" s="1"/>
    </row>
    <row r="127" spans="3:4" ht="15.75" customHeight="1">
      <c r="C127" s="1"/>
      <c r="D127" s="1"/>
    </row>
    <row r="128" spans="3:4" ht="15.75" customHeight="1">
      <c r="C128" s="1"/>
      <c r="D128" s="1"/>
    </row>
    <row r="129" spans="3:4" ht="15.75" customHeight="1">
      <c r="C129" s="1"/>
      <c r="D129" s="1"/>
    </row>
    <row r="130" spans="3:4" ht="15.75" customHeight="1">
      <c r="C130" s="1"/>
      <c r="D130" s="1"/>
    </row>
    <row r="131" spans="3:4" ht="15.75" customHeight="1">
      <c r="C131" s="1"/>
      <c r="D131" s="1"/>
    </row>
    <row r="132" spans="3:4" ht="15.75" customHeight="1">
      <c r="C132" s="1"/>
      <c r="D132" s="1"/>
    </row>
    <row r="133" spans="3:4" ht="15.75" customHeight="1">
      <c r="C133" s="1"/>
      <c r="D133" s="1"/>
    </row>
    <row r="134" spans="3:4" ht="15.75" customHeight="1">
      <c r="C134" s="1"/>
      <c r="D134" s="1"/>
    </row>
    <row r="135" spans="3:4" ht="15.75" customHeight="1">
      <c r="C135" s="1"/>
      <c r="D135" s="1"/>
    </row>
    <row r="136" spans="3:4" ht="15.75" customHeight="1">
      <c r="C136" s="1"/>
      <c r="D136" s="1"/>
    </row>
    <row r="137" spans="3:4" ht="15.75" customHeight="1">
      <c r="C137" s="1"/>
      <c r="D137" s="1"/>
    </row>
    <row r="138" spans="3:4" ht="15.75" customHeight="1">
      <c r="C138" s="1"/>
      <c r="D138" s="1"/>
    </row>
    <row r="139" spans="3:4" ht="15.75" customHeight="1">
      <c r="C139" s="1"/>
      <c r="D139" s="1"/>
    </row>
    <row r="140" spans="3:4" ht="15.75" customHeight="1">
      <c r="C140" s="1"/>
      <c r="D140" s="1"/>
    </row>
    <row r="141" spans="3:4" ht="15.75" customHeight="1">
      <c r="C141" s="1"/>
      <c r="D141" s="1"/>
    </row>
    <row r="142" spans="3:4" ht="15.75" customHeight="1">
      <c r="C142" s="1"/>
      <c r="D142" s="1"/>
    </row>
    <row r="143" spans="3:4" ht="15.75" customHeight="1">
      <c r="C143" s="1"/>
      <c r="D143" s="1"/>
    </row>
    <row r="144" spans="3:4" ht="15.75" customHeight="1">
      <c r="C144" s="1"/>
      <c r="D144" s="1"/>
    </row>
    <row r="145" spans="3:4" ht="15.75" customHeight="1">
      <c r="C145" s="1"/>
      <c r="D145" s="1"/>
    </row>
    <row r="146" spans="3:4" ht="15.75" customHeight="1">
      <c r="C146" s="1"/>
      <c r="D146" s="1"/>
    </row>
    <row r="147" spans="3:4" ht="15.75" customHeight="1">
      <c r="C147" s="1"/>
      <c r="D147" s="1"/>
    </row>
    <row r="148" spans="3:4" ht="15.75" customHeight="1">
      <c r="C148" s="1"/>
      <c r="D148" s="1"/>
    </row>
    <row r="149" spans="3:4" ht="15.75" customHeight="1">
      <c r="C149" s="1"/>
      <c r="D149" s="1"/>
    </row>
    <row r="150" spans="3:4" ht="15.75" customHeight="1">
      <c r="C150" s="1"/>
      <c r="D150" s="1"/>
    </row>
    <row r="151" spans="3:4" ht="15.75" customHeight="1">
      <c r="C151" s="1"/>
      <c r="D151" s="1"/>
    </row>
    <row r="152" spans="3:4" ht="15.75" customHeight="1">
      <c r="C152" s="1"/>
      <c r="D152" s="1"/>
    </row>
    <row r="153" spans="3:4" ht="15.75" customHeight="1">
      <c r="C153" s="1"/>
      <c r="D153" s="1"/>
    </row>
    <row r="154" spans="3:4" ht="15.75" customHeight="1">
      <c r="C154" s="1"/>
      <c r="D154" s="1"/>
    </row>
    <row r="155" spans="3:4" ht="15.75" customHeight="1">
      <c r="C155" s="1"/>
      <c r="D155" s="1"/>
    </row>
    <row r="156" spans="3:4" ht="15.75" customHeight="1">
      <c r="C156" s="1"/>
      <c r="D156" s="1"/>
    </row>
    <row r="157" spans="3:4" ht="15.75" customHeight="1">
      <c r="C157" s="1"/>
      <c r="D157" s="1"/>
    </row>
    <row r="158" spans="3:4" ht="15.75" customHeight="1">
      <c r="C158" s="1"/>
      <c r="D158" s="1"/>
    </row>
    <row r="159" spans="3:4" ht="15.75" customHeight="1">
      <c r="C159" s="1"/>
      <c r="D159" s="1"/>
    </row>
    <row r="160" spans="3:4" ht="15.75" customHeight="1">
      <c r="C160" s="1"/>
      <c r="D160" s="1"/>
    </row>
    <row r="161" spans="3:4" ht="15.75" customHeight="1">
      <c r="C161" s="1"/>
      <c r="D161" s="1"/>
    </row>
    <row r="162" spans="3:4" ht="15.75" customHeight="1">
      <c r="C162" s="1"/>
      <c r="D162" s="1"/>
    </row>
    <row r="163" spans="3:4" ht="15.75" customHeight="1">
      <c r="C163" s="1"/>
      <c r="D163" s="1"/>
    </row>
    <row r="164" spans="3:4" ht="15.75" customHeight="1">
      <c r="C164" s="1"/>
      <c r="D164" s="1"/>
    </row>
    <row r="165" spans="3:4" ht="15.75" customHeight="1">
      <c r="C165" s="1"/>
      <c r="D165" s="1"/>
    </row>
    <row r="166" spans="3:4" ht="15.75" customHeight="1">
      <c r="C166" s="1"/>
      <c r="D166" s="1"/>
    </row>
    <row r="167" spans="3:4" ht="15.75" customHeight="1">
      <c r="C167" s="1"/>
      <c r="D167" s="1"/>
    </row>
    <row r="168" spans="3:4" ht="15.75" customHeight="1">
      <c r="C168" s="1"/>
      <c r="D168" s="1"/>
    </row>
    <row r="169" spans="3:4" ht="15.75" customHeight="1">
      <c r="C169" s="1"/>
      <c r="D169" s="1"/>
    </row>
    <row r="170" spans="3:4" ht="15.75" customHeight="1">
      <c r="C170" s="1"/>
      <c r="D170" s="1"/>
    </row>
    <row r="171" spans="3:4" ht="15.75" customHeight="1">
      <c r="C171" s="1"/>
      <c r="D171" s="1"/>
    </row>
    <row r="172" spans="3:4" ht="15.75" customHeight="1">
      <c r="C172" s="1"/>
      <c r="D172" s="1"/>
    </row>
    <row r="173" spans="3:4" ht="15.75" customHeight="1">
      <c r="C173" s="1"/>
      <c r="D173" s="1"/>
    </row>
    <row r="174" spans="3:4" ht="15.75" customHeight="1">
      <c r="C174" s="1"/>
      <c r="D174" s="1"/>
    </row>
    <row r="175" spans="3:4" ht="15.75" customHeight="1">
      <c r="C175" s="1"/>
      <c r="D175" s="1"/>
    </row>
    <row r="176" spans="3:4" ht="15.75" customHeight="1">
      <c r="C176" s="1"/>
      <c r="D176" s="1"/>
    </row>
    <row r="177" spans="3:4" ht="15.75" customHeight="1">
      <c r="C177" s="1"/>
      <c r="D177" s="1"/>
    </row>
    <row r="178" spans="3:4" ht="15.75" customHeight="1">
      <c r="C178" s="1"/>
      <c r="D178" s="1"/>
    </row>
    <row r="179" spans="3:4" ht="15.75" customHeight="1">
      <c r="C179" s="1"/>
      <c r="D179" s="1"/>
    </row>
    <row r="180" spans="3:4" ht="15.75" customHeight="1">
      <c r="C180" s="1"/>
      <c r="D180" s="1"/>
    </row>
    <row r="181" spans="3:4" ht="15.75" customHeight="1">
      <c r="C181" s="1"/>
      <c r="D181" s="1"/>
    </row>
    <row r="182" spans="3:4" ht="15.75" customHeight="1">
      <c r="C182" s="1"/>
      <c r="D182" s="1"/>
    </row>
    <row r="183" spans="3:4" ht="15.75" customHeight="1">
      <c r="C183" s="1"/>
      <c r="D183" s="1"/>
    </row>
    <row r="184" spans="3:4" ht="15.75" customHeight="1">
      <c r="C184" s="1"/>
      <c r="D184" s="1"/>
    </row>
    <row r="185" spans="3:4" ht="15.75" customHeight="1">
      <c r="C185" s="1"/>
      <c r="D185" s="1"/>
    </row>
    <row r="186" spans="3:4" ht="15.75" customHeight="1">
      <c r="C186" s="1"/>
      <c r="D186" s="1"/>
    </row>
    <row r="187" spans="3:4" ht="15.75" customHeight="1">
      <c r="C187" s="1"/>
      <c r="D187" s="1"/>
    </row>
    <row r="188" spans="3:4" ht="15.75" customHeight="1">
      <c r="C188" s="1"/>
      <c r="D188" s="1"/>
    </row>
    <row r="189" spans="3:4" ht="15.75" customHeight="1">
      <c r="C189" s="1"/>
      <c r="D189" s="1"/>
    </row>
    <row r="190" spans="3:4" ht="15.75" customHeight="1">
      <c r="C190" s="1"/>
      <c r="D190" s="1"/>
    </row>
    <row r="191" spans="3:4" ht="15.75" customHeight="1">
      <c r="C191" s="1"/>
      <c r="D191" s="1"/>
    </row>
    <row r="192" spans="3:4" ht="15.75" customHeight="1">
      <c r="C192" s="1"/>
      <c r="D192" s="1"/>
    </row>
    <row r="193" spans="3:4" ht="15.75" customHeight="1">
      <c r="C193" s="1"/>
      <c r="D193" s="1"/>
    </row>
    <row r="194" spans="3:4" ht="15.75" customHeight="1">
      <c r="C194" s="1"/>
      <c r="D194" s="1"/>
    </row>
    <row r="195" spans="3:4" ht="15.75" customHeight="1">
      <c r="C195" s="1"/>
      <c r="D195" s="1"/>
    </row>
    <row r="196" spans="3:4" ht="15.75" customHeight="1">
      <c r="C196" s="1"/>
      <c r="D196" s="1"/>
    </row>
    <row r="197" spans="3:4" ht="15.75" customHeight="1">
      <c r="C197" s="1"/>
      <c r="D197" s="1"/>
    </row>
    <row r="198" spans="3:4" ht="15.75" customHeight="1">
      <c r="C198" s="1"/>
      <c r="D198" s="1"/>
    </row>
    <row r="199" spans="3:4" ht="15.75" customHeight="1">
      <c r="C199" s="1"/>
      <c r="D199" s="1"/>
    </row>
    <row r="200" spans="3:4" ht="15.75" customHeight="1">
      <c r="C200" s="1"/>
      <c r="D200" s="1"/>
    </row>
    <row r="201" spans="3:4" ht="15.75" customHeight="1">
      <c r="C201" s="1"/>
      <c r="D201" s="1"/>
    </row>
    <row r="202" spans="3:4" ht="15.75" customHeight="1">
      <c r="C202" s="1"/>
      <c r="D202" s="1"/>
    </row>
    <row r="203" spans="3:4" ht="15.75" customHeight="1">
      <c r="C203" s="1"/>
      <c r="D203" s="1"/>
    </row>
    <row r="204" spans="3:4" ht="15.75" customHeight="1">
      <c r="C204" s="1"/>
      <c r="D204" s="1"/>
    </row>
    <row r="205" spans="3:4" ht="15.75" customHeight="1">
      <c r="C205" s="1"/>
      <c r="D205" s="1"/>
    </row>
    <row r="206" spans="3:4" ht="15.75" customHeight="1">
      <c r="C206" s="1"/>
      <c r="D206" s="1"/>
    </row>
    <row r="207" spans="3:4" ht="15.75" customHeight="1">
      <c r="C207" s="1"/>
      <c r="D207" s="1"/>
    </row>
    <row r="208" spans="3:4" ht="15.75" customHeight="1">
      <c r="C208" s="1"/>
      <c r="D208" s="1"/>
    </row>
    <row r="209" spans="3:4" ht="15.75" customHeight="1">
      <c r="C209" s="1"/>
      <c r="D209" s="1"/>
    </row>
    <row r="210" spans="3:4" ht="15.75" customHeight="1">
      <c r="C210" s="1"/>
      <c r="D210" s="1"/>
    </row>
    <row r="211" spans="3:4" ht="15.75" customHeight="1">
      <c r="C211" s="1"/>
      <c r="D211" s="1"/>
    </row>
    <row r="212" spans="3:4" ht="15.75" customHeight="1">
      <c r="C212" s="1"/>
      <c r="D212" s="1"/>
    </row>
    <row r="213" spans="3:4" ht="15.75" customHeight="1">
      <c r="C213" s="1"/>
      <c r="D213" s="1"/>
    </row>
    <row r="214" spans="3:4" ht="15.75" customHeight="1">
      <c r="C214" s="1"/>
      <c r="D214" s="1"/>
    </row>
    <row r="215" spans="3:4" ht="15.75" customHeight="1">
      <c r="C215" s="1"/>
      <c r="D215" s="1"/>
    </row>
    <row r="216" spans="3:4" ht="15.75" customHeight="1">
      <c r="C216" s="1"/>
      <c r="D216" s="1"/>
    </row>
    <row r="217" spans="3:4" ht="15.75" customHeight="1">
      <c r="C217" s="1"/>
      <c r="D217" s="1"/>
    </row>
    <row r="218" spans="3:4" ht="15.75" customHeight="1">
      <c r="C218" s="1"/>
      <c r="D218" s="1"/>
    </row>
    <row r="219" spans="3:4" ht="15.75" customHeight="1">
      <c r="C219" s="1"/>
      <c r="D219" s="1"/>
    </row>
    <row r="220" spans="3:4" ht="15.75" customHeight="1">
      <c r="C220" s="1"/>
      <c r="D220" s="1"/>
    </row>
    <row r="221" spans="3:4" ht="15.75" customHeight="1">
      <c r="C221" s="1"/>
      <c r="D221" s="1"/>
    </row>
    <row r="222" spans="3:4" ht="15.75" customHeight="1">
      <c r="C222" s="1"/>
      <c r="D222" s="1"/>
    </row>
    <row r="223" spans="3:4" ht="15.75" customHeight="1">
      <c r="C223" s="1"/>
      <c r="D223" s="1"/>
    </row>
    <row r="224" spans="3:4" ht="15.75" customHeight="1">
      <c r="C224" s="1"/>
      <c r="D224" s="1"/>
    </row>
    <row r="225" spans="3:4" ht="15.75" customHeight="1">
      <c r="C225" s="1"/>
      <c r="D225" s="1"/>
    </row>
    <row r="226" spans="3:4" ht="15.75" customHeight="1">
      <c r="C226" s="1"/>
      <c r="D226" s="1"/>
    </row>
    <row r="227" spans="3:4" ht="15.75" customHeight="1">
      <c r="C227" s="1"/>
      <c r="D227" s="1"/>
    </row>
    <row r="228" spans="3:4" ht="15.75" customHeight="1">
      <c r="C228" s="1"/>
      <c r="D228" s="1"/>
    </row>
    <row r="229" spans="3:4" ht="15.75" customHeight="1">
      <c r="C229" s="1"/>
      <c r="D229" s="1"/>
    </row>
    <row r="230" spans="3:4" ht="15.75" customHeight="1">
      <c r="C230" s="1"/>
      <c r="D230" s="1"/>
    </row>
    <row r="231" spans="3:4" ht="15.75" customHeight="1">
      <c r="C231" s="1"/>
      <c r="D231" s="1"/>
    </row>
    <row r="232" spans="3:4" ht="15.75" customHeight="1">
      <c r="C232" s="1"/>
      <c r="D232" s="1"/>
    </row>
    <row r="233" spans="3:4" ht="15.75" customHeight="1">
      <c r="C233" s="1"/>
      <c r="D233" s="1"/>
    </row>
    <row r="234" spans="3:4" ht="15.75" customHeight="1">
      <c r="C234" s="1"/>
      <c r="D234" s="1"/>
    </row>
    <row r="235" spans="3:4" ht="15.75" customHeight="1">
      <c r="C235" s="1"/>
      <c r="D235" s="1"/>
    </row>
    <row r="236" spans="3:4" ht="15.75" customHeight="1">
      <c r="C236" s="1"/>
      <c r="D236" s="1"/>
    </row>
    <row r="237" spans="3:4" ht="15.75" customHeight="1">
      <c r="C237" s="1"/>
      <c r="D237" s="1"/>
    </row>
    <row r="238" spans="3:4" ht="15.75" customHeight="1">
      <c r="C238" s="1"/>
      <c r="D238" s="1"/>
    </row>
    <row r="239" spans="3:4" ht="15.75" customHeight="1">
      <c r="C239" s="1"/>
      <c r="D239" s="1"/>
    </row>
    <row r="240" spans="3:4" ht="15.75" customHeight="1">
      <c r="C240" s="1"/>
      <c r="D240" s="1"/>
    </row>
    <row r="241" spans="3:4" ht="15.75" customHeight="1">
      <c r="C241" s="1"/>
      <c r="D241" s="1"/>
    </row>
    <row r="242" spans="3:4" ht="15.75" customHeight="1">
      <c r="C242" s="1"/>
      <c r="D242" s="1"/>
    </row>
    <row r="243" spans="3:4" ht="15.75" customHeight="1">
      <c r="C243" s="1"/>
      <c r="D243" s="1"/>
    </row>
    <row r="244" spans="3:4" ht="15.75" customHeight="1">
      <c r="C244" s="1"/>
      <c r="D244" s="1"/>
    </row>
    <row r="245" spans="3:4" ht="15.75" customHeight="1">
      <c r="C245" s="1"/>
      <c r="D245" s="1"/>
    </row>
    <row r="246" spans="3:4" ht="15.75" customHeight="1">
      <c r="C246" s="1"/>
      <c r="D246" s="1"/>
    </row>
    <row r="247" spans="3:4" ht="15.75" customHeight="1">
      <c r="C247" s="1"/>
      <c r="D247" s="1"/>
    </row>
    <row r="248" spans="3:4" ht="15.75" customHeight="1">
      <c r="C248" s="1"/>
      <c r="D248" s="1"/>
    </row>
    <row r="249" spans="3:4" ht="15.75" customHeight="1">
      <c r="C249" s="1"/>
      <c r="D249" s="1"/>
    </row>
    <row r="250" spans="3:4" ht="15.75" customHeight="1">
      <c r="C250" s="1"/>
      <c r="D250" s="1"/>
    </row>
    <row r="251" spans="3:4" ht="15.75" customHeight="1">
      <c r="C251" s="1"/>
      <c r="D251" s="1"/>
    </row>
    <row r="252" spans="3:4" ht="15.75" customHeight="1">
      <c r="C252" s="1"/>
      <c r="D252" s="1"/>
    </row>
    <row r="253" spans="3:4" ht="15.75" customHeight="1">
      <c r="C253" s="1"/>
      <c r="D253" s="1"/>
    </row>
    <row r="254" spans="3:4" ht="15.75" customHeight="1">
      <c r="C254" s="1"/>
      <c r="D254" s="1"/>
    </row>
    <row r="255" spans="3:4" ht="15.75" customHeight="1">
      <c r="C255" s="1"/>
      <c r="D255" s="1"/>
    </row>
    <row r="256" spans="3:4" ht="15.75" customHeight="1">
      <c r="C256" s="1"/>
      <c r="D256" s="1"/>
    </row>
    <row r="257" spans="3:4" ht="15.75" customHeight="1">
      <c r="C257" s="1"/>
      <c r="D257" s="1"/>
    </row>
    <row r="258" spans="3:4" ht="15.75" customHeight="1">
      <c r="C258" s="1"/>
      <c r="D258" s="1"/>
    </row>
    <row r="259" spans="3:4" ht="15.75" customHeight="1">
      <c r="C259" s="1"/>
      <c r="D259" s="1"/>
    </row>
    <row r="260" spans="3:4" ht="15.75" customHeight="1">
      <c r="C260" s="1"/>
      <c r="D260" s="1"/>
    </row>
    <row r="261" spans="3:4" ht="15.75" customHeight="1">
      <c r="C261" s="1"/>
      <c r="D261" s="1"/>
    </row>
    <row r="262" spans="3:4" ht="15.75" customHeight="1">
      <c r="C262" s="1"/>
      <c r="D262" s="1"/>
    </row>
    <row r="263" spans="3:4" ht="15.75" customHeight="1">
      <c r="C263" s="1"/>
      <c r="D263" s="1"/>
    </row>
    <row r="264" spans="3:4" ht="15.75" customHeight="1">
      <c r="C264" s="1"/>
      <c r="D264" s="1"/>
    </row>
    <row r="265" spans="3:4" ht="15.75" customHeight="1">
      <c r="C265" s="1"/>
      <c r="D265" s="1"/>
    </row>
    <row r="266" spans="3:4" ht="15.75" customHeight="1">
      <c r="C266" s="1"/>
      <c r="D266" s="1"/>
    </row>
    <row r="267" spans="3:4" ht="15.75" customHeight="1">
      <c r="C267" s="1"/>
      <c r="D267" s="1"/>
    </row>
    <row r="268" spans="3:4" ht="15.75" customHeight="1">
      <c r="C268" s="1"/>
      <c r="D268" s="1"/>
    </row>
    <row r="269" spans="3:4" ht="15.75" customHeight="1">
      <c r="C269" s="1"/>
      <c r="D269" s="1"/>
    </row>
    <row r="270" spans="3:4" ht="15.75" customHeight="1">
      <c r="C270" s="1"/>
      <c r="D270" s="1"/>
    </row>
    <row r="271" spans="3:4" ht="15.75" customHeight="1">
      <c r="C271" s="1"/>
      <c r="D271" s="1"/>
    </row>
    <row r="272" spans="3:4" ht="15.75" customHeight="1">
      <c r="C272" s="1"/>
      <c r="D272" s="1"/>
    </row>
    <row r="273" spans="3:4" ht="15.75" customHeight="1">
      <c r="C273" s="1"/>
      <c r="D273" s="1"/>
    </row>
    <row r="274" spans="3:4" ht="15.75" customHeight="1">
      <c r="C274" s="1"/>
      <c r="D274" s="1"/>
    </row>
    <row r="275" spans="3:4" ht="15.75" customHeight="1">
      <c r="C275" s="1"/>
      <c r="D275" s="1"/>
    </row>
    <row r="276" spans="3:4" ht="15.75" customHeight="1">
      <c r="C276" s="1"/>
      <c r="D276" s="1"/>
    </row>
    <row r="277" spans="3:4" ht="15.75" customHeight="1">
      <c r="C277" s="1"/>
      <c r="D277" s="1"/>
    </row>
    <row r="278" spans="3:4" ht="15.75" customHeight="1">
      <c r="C278" s="1"/>
      <c r="D278" s="1"/>
    </row>
    <row r="279" spans="3:4" ht="15.75" customHeight="1">
      <c r="C279" s="1"/>
      <c r="D279" s="1"/>
    </row>
    <row r="280" spans="3:4" ht="15.75" customHeight="1">
      <c r="C280" s="1"/>
      <c r="D280" s="1"/>
    </row>
    <row r="281" spans="3:4" ht="15.75" customHeight="1">
      <c r="C281" s="1"/>
      <c r="D281" s="1"/>
    </row>
    <row r="282" spans="3:4" ht="15.75" customHeight="1">
      <c r="C282" s="1"/>
      <c r="D282" s="1"/>
    </row>
    <row r="283" spans="3:4" ht="15.75" customHeight="1">
      <c r="C283" s="1"/>
      <c r="D283" s="1"/>
    </row>
    <row r="284" spans="3:4" ht="15.75" customHeight="1">
      <c r="C284" s="1"/>
      <c r="D284" s="1"/>
    </row>
    <row r="285" spans="3:4" ht="15.75" customHeight="1">
      <c r="C285" s="1"/>
      <c r="D285" s="1"/>
    </row>
    <row r="286" spans="3:4" ht="15.75" customHeight="1">
      <c r="C286" s="1"/>
      <c r="D286" s="1"/>
    </row>
    <row r="287" spans="3:4" ht="15.75" customHeight="1">
      <c r="C287" s="1"/>
      <c r="D287" s="1"/>
    </row>
    <row r="288" spans="3:4" ht="15.75" customHeight="1">
      <c r="C288" s="1"/>
      <c r="D288" s="1"/>
    </row>
    <row r="289" spans="3:4" ht="15.75" customHeight="1">
      <c r="C289" s="1"/>
      <c r="D289" s="1"/>
    </row>
    <row r="290" spans="3:4" ht="15.75" customHeight="1">
      <c r="C290" s="1"/>
      <c r="D290" s="1"/>
    </row>
    <row r="291" spans="3:4" ht="15.75" customHeight="1">
      <c r="C291" s="1"/>
      <c r="D291" s="1"/>
    </row>
    <row r="292" spans="3:4" ht="15.75" customHeight="1">
      <c r="C292" s="1"/>
      <c r="D292" s="1"/>
    </row>
    <row r="293" spans="3:4" ht="15.75" customHeight="1">
      <c r="C293" s="1"/>
      <c r="D293" s="1"/>
    </row>
    <row r="294" spans="3:4" ht="15.75" customHeight="1">
      <c r="C294" s="1"/>
      <c r="D294" s="1"/>
    </row>
    <row r="295" spans="3:4" ht="15.75" customHeight="1">
      <c r="C295" s="1"/>
      <c r="D295" s="1"/>
    </row>
    <row r="296" spans="3:4" ht="15.75" customHeight="1">
      <c r="C296" s="1"/>
      <c r="D296" s="1"/>
    </row>
    <row r="297" spans="3:4" ht="15.75" customHeight="1">
      <c r="C297" s="1"/>
      <c r="D297" s="1"/>
    </row>
    <row r="298" spans="3:4" ht="15.75" customHeight="1">
      <c r="C298" s="1"/>
      <c r="D298" s="1"/>
    </row>
    <row r="299" spans="3:4" ht="15.75" customHeight="1">
      <c r="C299" s="1"/>
      <c r="D299" s="1"/>
    </row>
    <row r="300" spans="3:4" ht="15.75" customHeight="1">
      <c r="C300" s="1"/>
      <c r="D300" s="1"/>
    </row>
    <row r="301" spans="3:4" ht="15.75" customHeight="1">
      <c r="C301" s="1"/>
      <c r="D301" s="1"/>
    </row>
    <row r="302" spans="3:4" ht="15.75" customHeight="1">
      <c r="C302" s="1"/>
      <c r="D302" s="1"/>
    </row>
    <row r="303" spans="3:4" ht="15.75" customHeight="1">
      <c r="C303" s="1"/>
      <c r="D303" s="1"/>
    </row>
    <row r="304" spans="3:4" ht="15.75" customHeight="1">
      <c r="C304" s="1"/>
      <c r="D304" s="1"/>
    </row>
    <row r="305" spans="3:4" ht="15.75" customHeight="1">
      <c r="C305" s="1"/>
      <c r="D305" s="1"/>
    </row>
    <row r="306" spans="3:4" ht="15.75" customHeight="1">
      <c r="C306" s="1"/>
      <c r="D306" s="1"/>
    </row>
    <row r="307" spans="3:4" ht="15.75" customHeight="1">
      <c r="C307" s="1"/>
      <c r="D307" s="1"/>
    </row>
    <row r="308" spans="3:4" ht="15.75" customHeight="1">
      <c r="C308" s="1"/>
      <c r="D308" s="1"/>
    </row>
    <row r="309" spans="3:4" ht="15.75" customHeight="1">
      <c r="C309" s="1"/>
      <c r="D309" s="1"/>
    </row>
    <row r="310" spans="3:4" ht="15.75" customHeight="1">
      <c r="C310" s="1"/>
      <c r="D310" s="1"/>
    </row>
    <row r="311" spans="3:4" ht="15.75" customHeight="1">
      <c r="C311" s="1"/>
      <c r="D311" s="1"/>
    </row>
    <row r="312" spans="3:4" ht="15.75" customHeight="1">
      <c r="C312" s="1"/>
      <c r="D312" s="1"/>
    </row>
    <row r="313" spans="3:4" ht="15.75" customHeight="1">
      <c r="C313" s="1"/>
      <c r="D313" s="1"/>
    </row>
    <row r="314" spans="3:4" ht="15.75" customHeight="1">
      <c r="C314" s="1"/>
      <c r="D314" s="1"/>
    </row>
    <row r="315" spans="3:4" ht="15.75" customHeight="1">
      <c r="C315" s="1"/>
      <c r="D315" s="1"/>
    </row>
    <row r="316" spans="3:4" ht="15.75" customHeight="1">
      <c r="C316" s="1"/>
      <c r="D316" s="1"/>
    </row>
    <row r="317" spans="3:4" ht="15.75" customHeight="1">
      <c r="C317" s="1"/>
      <c r="D317" s="1"/>
    </row>
    <row r="318" spans="3:4" ht="15.75" customHeight="1">
      <c r="C318" s="1"/>
      <c r="D318" s="1"/>
    </row>
    <row r="319" spans="3:4" ht="15.75" customHeight="1">
      <c r="C319" s="1"/>
      <c r="D319" s="1"/>
    </row>
    <row r="320" spans="3:4" ht="15.75" customHeight="1">
      <c r="C320" s="1"/>
      <c r="D320" s="1"/>
    </row>
    <row r="321" spans="3:4" ht="15.75" customHeight="1">
      <c r="C321" s="1"/>
      <c r="D321" s="1"/>
    </row>
    <row r="322" spans="3:4" ht="15.75" customHeight="1">
      <c r="C322" s="1"/>
      <c r="D322" s="1"/>
    </row>
    <row r="323" spans="3:4" ht="15.75" customHeight="1">
      <c r="C323" s="1"/>
      <c r="D323" s="1"/>
    </row>
    <row r="324" spans="3:4" ht="15.75" customHeight="1">
      <c r="C324" s="1"/>
      <c r="D324" s="1"/>
    </row>
    <row r="325" spans="3:4" ht="15.75" customHeight="1">
      <c r="C325" s="1"/>
      <c r="D325" s="1"/>
    </row>
    <row r="326" spans="3:4" ht="15.75" customHeight="1">
      <c r="C326" s="1"/>
      <c r="D326" s="1"/>
    </row>
    <row r="327" spans="3:4" ht="15.75" customHeight="1">
      <c r="C327" s="1"/>
      <c r="D327" s="1"/>
    </row>
    <row r="328" spans="3:4" ht="15.75" customHeight="1">
      <c r="C328" s="1"/>
      <c r="D328" s="1"/>
    </row>
    <row r="329" spans="3:4" ht="15.75" customHeight="1">
      <c r="C329" s="1"/>
      <c r="D329" s="1"/>
    </row>
    <row r="330" spans="3:4" ht="15.75" customHeight="1">
      <c r="C330" s="1"/>
      <c r="D330" s="1"/>
    </row>
    <row r="331" spans="3:4" ht="15.75" customHeight="1">
      <c r="C331" s="1"/>
      <c r="D331" s="1"/>
    </row>
    <row r="332" spans="3:4" ht="15.75" customHeight="1">
      <c r="C332" s="1"/>
      <c r="D332" s="1"/>
    </row>
    <row r="333" spans="3:4" ht="15.75" customHeight="1">
      <c r="C333" s="1"/>
      <c r="D333" s="1"/>
    </row>
    <row r="334" spans="3:4" ht="15.75" customHeight="1">
      <c r="C334" s="1"/>
      <c r="D334" s="1"/>
    </row>
    <row r="335" spans="3:4" ht="15.75" customHeight="1">
      <c r="C335" s="1"/>
      <c r="D335" s="1"/>
    </row>
    <row r="336" spans="3:4" ht="15.75" customHeight="1">
      <c r="C336" s="1"/>
      <c r="D336" s="1"/>
    </row>
    <row r="337" spans="3:4" ht="15.75" customHeight="1">
      <c r="C337" s="1"/>
      <c r="D337" s="1"/>
    </row>
    <row r="338" spans="3:4" ht="15.75" customHeight="1">
      <c r="C338" s="1"/>
      <c r="D338" s="1"/>
    </row>
    <row r="339" spans="3:4" ht="15.75" customHeight="1">
      <c r="C339" s="1"/>
      <c r="D339" s="1"/>
    </row>
    <row r="340" spans="3:4" ht="15.75" customHeight="1">
      <c r="C340" s="1"/>
      <c r="D340" s="1"/>
    </row>
    <row r="341" spans="3:4" ht="15.75" customHeight="1">
      <c r="C341" s="1"/>
      <c r="D341" s="1"/>
    </row>
    <row r="342" spans="3:4" ht="15.75" customHeight="1">
      <c r="C342" s="1"/>
      <c r="D342" s="1"/>
    </row>
    <row r="343" spans="3:4" ht="15.75" customHeight="1">
      <c r="C343" s="1"/>
      <c r="D343" s="1"/>
    </row>
    <row r="344" spans="3:4" ht="15.75" customHeight="1">
      <c r="C344" s="1"/>
      <c r="D344" s="1"/>
    </row>
    <row r="345" spans="3:4" ht="15.75" customHeight="1">
      <c r="C345" s="1"/>
      <c r="D345" s="1"/>
    </row>
    <row r="346" spans="3:4" ht="15.75" customHeight="1">
      <c r="C346" s="1"/>
      <c r="D346" s="1"/>
    </row>
    <row r="347" spans="3:4" ht="15.75" customHeight="1">
      <c r="C347" s="1"/>
      <c r="D347" s="1"/>
    </row>
    <row r="348" spans="3:4" ht="15.75" customHeight="1">
      <c r="C348" s="1"/>
      <c r="D348" s="1"/>
    </row>
    <row r="349" spans="3:4" ht="15.75" customHeight="1">
      <c r="C349" s="1"/>
      <c r="D349" s="1"/>
    </row>
    <row r="350" spans="3:4" ht="15.75" customHeight="1">
      <c r="C350" s="1"/>
      <c r="D350" s="1"/>
    </row>
    <row r="351" spans="3:4" ht="15.75" customHeight="1">
      <c r="C351" s="1"/>
      <c r="D351" s="1"/>
    </row>
    <row r="352" spans="3:4" ht="15.75" customHeight="1">
      <c r="C352" s="1"/>
      <c r="D352" s="1"/>
    </row>
    <row r="353" spans="3:4" ht="15.75" customHeight="1">
      <c r="C353" s="1"/>
      <c r="D353" s="1"/>
    </row>
    <row r="354" spans="3:4" ht="15.75" customHeight="1">
      <c r="C354" s="1"/>
      <c r="D354" s="1"/>
    </row>
    <row r="355" spans="3:4" ht="15.75" customHeight="1">
      <c r="C355" s="1"/>
      <c r="D355" s="1"/>
    </row>
    <row r="356" spans="3:4" ht="15.75" customHeight="1">
      <c r="C356" s="1"/>
      <c r="D356" s="1"/>
    </row>
    <row r="357" spans="3:4" ht="15.75" customHeight="1">
      <c r="C357" s="1"/>
      <c r="D357" s="1"/>
    </row>
    <row r="358" spans="3:4" ht="15.75" customHeight="1">
      <c r="C358" s="1"/>
      <c r="D358" s="1"/>
    </row>
    <row r="359" spans="3:4" ht="15.75" customHeight="1">
      <c r="C359" s="1"/>
      <c r="D359" s="1"/>
    </row>
    <row r="360" spans="3:4" ht="15.75" customHeight="1">
      <c r="C360" s="1"/>
      <c r="D360" s="1"/>
    </row>
    <row r="361" spans="3:4" ht="15.75" customHeight="1">
      <c r="C361" s="1"/>
      <c r="D361" s="1"/>
    </row>
    <row r="362" spans="3:4" ht="15.75" customHeight="1">
      <c r="C362" s="1"/>
      <c r="D362" s="1"/>
    </row>
    <row r="363" spans="3:4" ht="15.75" customHeight="1">
      <c r="C363" s="1"/>
      <c r="D363" s="1"/>
    </row>
    <row r="364" spans="3:4" ht="15.75" customHeight="1">
      <c r="C364" s="1"/>
      <c r="D364" s="1"/>
    </row>
    <row r="365" spans="3:4" ht="15.75" customHeight="1">
      <c r="C365" s="1"/>
      <c r="D365" s="1"/>
    </row>
    <row r="366" spans="3:4" ht="15.75" customHeight="1">
      <c r="C366" s="1"/>
      <c r="D366" s="1"/>
    </row>
    <row r="367" spans="3:4" ht="15.75" customHeight="1">
      <c r="C367" s="1"/>
      <c r="D367" s="1"/>
    </row>
    <row r="368" spans="3:4" ht="15.75" customHeight="1">
      <c r="C368" s="1"/>
      <c r="D368" s="1"/>
    </row>
    <row r="369" spans="3:4" ht="15.75" customHeight="1">
      <c r="C369" s="1"/>
      <c r="D369" s="1"/>
    </row>
    <row r="370" spans="3:4" ht="15.75" customHeight="1">
      <c r="C370" s="1"/>
      <c r="D370" s="1"/>
    </row>
    <row r="371" spans="3:4" ht="15.75" customHeight="1">
      <c r="C371" s="1"/>
      <c r="D371" s="1"/>
    </row>
    <row r="372" spans="3:4" ht="15.75" customHeight="1">
      <c r="C372" s="1"/>
      <c r="D372" s="1"/>
    </row>
    <row r="373" spans="3:4" ht="15.75" customHeight="1">
      <c r="C373" s="1"/>
      <c r="D373" s="1"/>
    </row>
    <row r="374" spans="3:4" ht="15.75" customHeight="1">
      <c r="C374" s="1"/>
      <c r="D374" s="1"/>
    </row>
    <row r="375" spans="3:4" ht="15.75" customHeight="1">
      <c r="C375" s="1"/>
      <c r="D375" s="1"/>
    </row>
    <row r="376" spans="3:4" ht="15.75" customHeight="1">
      <c r="C376" s="1"/>
      <c r="D376" s="1"/>
    </row>
    <row r="377" spans="3:4" ht="15.75" customHeight="1">
      <c r="C377" s="1"/>
      <c r="D377" s="1"/>
    </row>
    <row r="378" spans="3:4" ht="15.75" customHeight="1">
      <c r="C378" s="1"/>
      <c r="D378" s="1"/>
    </row>
    <row r="379" spans="3:4" ht="15.75" customHeight="1">
      <c r="C379" s="1"/>
      <c r="D379" s="1"/>
    </row>
    <row r="380" spans="3:4" ht="15.75" customHeight="1">
      <c r="C380" s="1"/>
      <c r="D380" s="1"/>
    </row>
    <row r="381" spans="3:4" ht="15.75" customHeight="1">
      <c r="C381" s="1"/>
      <c r="D381" s="1"/>
    </row>
    <row r="382" spans="3:4" ht="15.75" customHeight="1">
      <c r="C382" s="1"/>
      <c r="D382" s="1"/>
    </row>
    <row r="383" spans="3:4" ht="15.75" customHeight="1">
      <c r="C383" s="1"/>
      <c r="D383" s="1"/>
    </row>
    <row r="384" spans="3:4" ht="15.75" customHeight="1">
      <c r="C384" s="1"/>
      <c r="D384" s="1"/>
    </row>
    <row r="385" spans="3:4" ht="15.75" customHeight="1">
      <c r="C385" s="1"/>
      <c r="D385" s="1"/>
    </row>
    <row r="386" spans="3:4" ht="15.75" customHeight="1">
      <c r="C386" s="1"/>
      <c r="D386" s="1"/>
    </row>
    <row r="387" spans="3:4" ht="15.75" customHeight="1">
      <c r="C387" s="1"/>
      <c r="D387" s="1"/>
    </row>
    <row r="388" spans="3:4" ht="15.75" customHeight="1">
      <c r="C388" s="1"/>
      <c r="D388" s="1"/>
    </row>
    <row r="389" spans="3:4" ht="15.75" customHeight="1">
      <c r="C389" s="1"/>
      <c r="D389" s="1"/>
    </row>
    <row r="390" spans="3:4" ht="15.75" customHeight="1">
      <c r="C390" s="1"/>
      <c r="D390" s="1"/>
    </row>
    <row r="391" spans="3:4" ht="15.75" customHeight="1">
      <c r="C391" s="1"/>
      <c r="D391" s="1"/>
    </row>
    <row r="392" spans="3:4" ht="15.75" customHeight="1">
      <c r="C392" s="1"/>
      <c r="D392" s="1"/>
    </row>
    <row r="393" spans="3:4" ht="15.75" customHeight="1">
      <c r="C393" s="1"/>
      <c r="D393" s="1"/>
    </row>
    <row r="394" spans="3:4" ht="15.75" customHeight="1">
      <c r="C394" s="1"/>
      <c r="D394" s="1"/>
    </row>
    <row r="395" spans="3:4" ht="15.75" customHeight="1">
      <c r="C395" s="1"/>
      <c r="D395" s="1"/>
    </row>
    <row r="396" spans="3:4" ht="15.75" customHeight="1">
      <c r="C396" s="1"/>
      <c r="D396" s="1"/>
    </row>
    <row r="397" spans="3:4" ht="15.75" customHeight="1">
      <c r="C397" s="1"/>
      <c r="D397" s="1"/>
    </row>
    <row r="398" spans="3:4" ht="15.75" customHeight="1">
      <c r="C398" s="1"/>
      <c r="D398" s="1"/>
    </row>
    <row r="399" spans="3:4" ht="15.75" customHeight="1">
      <c r="C399" s="1"/>
      <c r="D399" s="1"/>
    </row>
    <row r="400" spans="3:4" ht="15.75" customHeight="1">
      <c r="C400" s="1"/>
      <c r="D400" s="1"/>
    </row>
    <row r="401" spans="3:4" ht="15.75" customHeight="1">
      <c r="C401" s="1"/>
      <c r="D401" s="1"/>
    </row>
    <row r="402" spans="3:4" ht="15.75" customHeight="1">
      <c r="C402" s="1"/>
      <c r="D402" s="1"/>
    </row>
    <row r="403" spans="3:4" ht="15.75" customHeight="1">
      <c r="C403" s="1"/>
      <c r="D403" s="1"/>
    </row>
    <row r="404" spans="3:4" ht="15.75" customHeight="1">
      <c r="C404" s="1"/>
      <c r="D404" s="1"/>
    </row>
    <row r="405" spans="3:4" ht="15.75" customHeight="1">
      <c r="C405" s="1"/>
      <c r="D405" s="1"/>
    </row>
    <row r="406" spans="3:4" ht="15.75" customHeight="1">
      <c r="C406" s="1"/>
      <c r="D406" s="1"/>
    </row>
    <row r="407" spans="3:4" ht="15.75" customHeight="1">
      <c r="C407" s="1"/>
      <c r="D407" s="1"/>
    </row>
    <row r="408" spans="3:4" ht="15.75" customHeight="1">
      <c r="C408" s="1"/>
      <c r="D408" s="1"/>
    </row>
    <row r="409" spans="3:4" ht="15.75" customHeight="1">
      <c r="C409" s="1"/>
      <c r="D409" s="1"/>
    </row>
    <row r="410" spans="3:4" ht="15.75" customHeight="1">
      <c r="C410" s="1"/>
      <c r="D410" s="1"/>
    </row>
    <row r="411" spans="3:4" ht="15.75" customHeight="1">
      <c r="C411" s="1"/>
      <c r="D411" s="1"/>
    </row>
    <row r="412" spans="3:4" ht="15.75" customHeight="1">
      <c r="C412" s="1"/>
      <c r="D412" s="1"/>
    </row>
    <row r="413" spans="3:4" ht="15.75" customHeight="1">
      <c r="C413" s="1"/>
      <c r="D413" s="1"/>
    </row>
    <row r="414" spans="3:4" ht="15.75" customHeight="1">
      <c r="C414" s="1"/>
      <c r="D414" s="1"/>
    </row>
    <row r="415" spans="3:4" ht="15.75" customHeight="1">
      <c r="C415" s="1"/>
      <c r="D415" s="1"/>
    </row>
    <row r="416" spans="3:4" ht="15.75" customHeight="1">
      <c r="C416" s="1"/>
      <c r="D416" s="1"/>
    </row>
    <row r="417" spans="3:4" ht="15.75" customHeight="1">
      <c r="C417" s="1"/>
      <c r="D417" s="1"/>
    </row>
    <row r="418" spans="3:4" ht="15.75" customHeight="1">
      <c r="C418" s="1"/>
      <c r="D418" s="1"/>
    </row>
    <row r="419" spans="3:4" ht="15.75" customHeight="1">
      <c r="C419" s="1"/>
      <c r="D419" s="1"/>
    </row>
    <row r="420" spans="3:4" ht="15.75" customHeight="1">
      <c r="C420" s="1"/>
      <c r="D420" s="1"/>
    </row>
    <row r="421" spans="3:4" ht="15.75" customHeight="1">
      <c r="C421" s="1"/>
      <c r="D421" s="1"/>
    </row>
    <row r="422" spans="3:4" ht="15.75" customHeight="1">
      <c r="C422" s="1"/>
      <c r="D422" s="1"/>
    </row>
    <row r="423" spans="3:4" ht="15.75" customHeight="1">
      <c r="C423" s="1"/>
      <c r="D423" s="1"/>
    </row>
    <row r="424" spans="3:4" ht="15.75" customHeight="1">
      <c r="C424" s="1"/>
      <c r="D424" s="1"/>
    </row>
    <row r="425" spans="3:4" ht="15.75" customHeight="1">
      <c r="C425" s="1"/>
      <c r="D425" s="1"/>
    </row>
    <row r="426" spans="3:4" ht="15.75" customHeight="1">
      <c r="C426" s="1"/>
      <c r="D426" s="1"/>
    </row>
    <row r="427" spans="3:4" ht="15.75" customHeight="1">
      <c r="C427" s="1"/>
      <c r="D427" s="1"/>
    </row>
    <row r="428" spans="3:4" ht="15.75" customHeight="1">
      <c r="C428" s="1"/>
      <c r="D428" s="1"/>
    </row>
    <row r="429" spans="3:4" ht="15.75" customHeight="1">
      <c r="C429" s="1"/>
      <c r="D429" s="1"/>
    </row>
    <row r="430" spans="3:4" ht="15.75" customHeight="1">
      <c r="C430" s="1"/>
      <c r="D430" s="1"/>
    </row>
    <row r="431" spans="3:4" ht="15.75" customHeight="1">
      <c r="C431" s="1"/>
      <c r="D431" s="1"/>
    </row>
    <row r="432" spans="3:4" ht="15.75" customHeight="1">
      <c r="C432" s="1"/>
      <c r="D432" s="1"/>
    </row>
    <row r="433" spans="3:4" ht="15.75" customHeight="1">
      <c r="C433" s="1"/>
      <c r="D433" s="1"/>
    </row>
    <row r="434" spans="3:4" ht="15.75" customHeight="1">
      <c r="C434" s="1"/>
      <c r="D434" s="1"/>
    </row>
    <row r="435" spans="3:4" ht="15.75" customHeight="1">
      <c r="C435" s="1"/>
      <c r="D435" s="1"/>
    </row>
    <row r="436" spans="3:4" ht="15.75" customHeight="1">
      <c r="C436" s="1"/>
      <c r="D436" s="1"/>
    </row>
    <row r="437" spans="3:4" ht="15.75" customHeight="1">
      <c r="C437" s="1"/>
      <c r="D437" s="1"/>
    </row>
    <row r="438" spans="3:4" ht="15.75" customHeight="1">
      <c r="C438" s="1"/>
      <c r="D438" s="1"/>
    </row>
    <row r="439" spans="3:4" ht="15.75" customHeight="1">
      <c r="C439" s="1"/>
      <c r="D439" s="1"/>
    </row>
    <row r="440" spans="3:4" ht="15.75" customHeight="1">
      <c r="C440" s="1"/>
      <c r="D440" s="1"/>
    </row>
    <row r="441" spans="3:4" ht="15.75" customHeight="1">
      <c r="C441" s="1"/>
      <c r="D441" s="1"/>
    </row>
    <row r="442" spans="3:4" ht="15.75" customHeight="1">
      <c r="C442" s="1"/>
      <c r="D442" s="1"/>
    </row>
    <row r="443" spans="3:4" ht="15.75" customHeight="1">
      <c r="C443" s="1"/>
      <c r="D443" s="1"/>
    </row>
    <row r="444" spans="3:4" ht="15.75" customHeight="1">
      <c r="C444" s="1"/>
      <c r="D444" s="1"/>
    </row>
    <row r="445" spans="3:4" ht="15.75" customHeight="1">
      <c r="C445" s="1"/>
      <c r="D445" s="1"/>
    </row>
    <row r="446" spans="3:4" ht="15.75" customHeight="1">
      <c r="C446" s="1"/>
      <c r="D446" s="1"/>
    </row>
    <row r="447" spans="3:4" ht="15.75" customHeight="1">
      <c r="C447" s="1"/>
      <c r="D447" s="1"/>
    </row>
    <row r="448" spans="3:4" ht="15.75" customHeight="1">
      <c r="C448" s="1"/>
      <c r="D448" s="1"/>
    </row>
    <row r="449" spans="3:4" ht="15.75" customHeight="1">
      <c r="C449" s="1"/>
      <c r="D449" s="1"/>
    </row>
    <row r="450" spans="3:4" ht="15.75" customHeight="1">
      <c r="C450" s="1"/>
      <c r="D450" s="1"/>
    </row>
    <row r="451" spans="3:4" ht="15.75" customHeight="1">
      <c r="C451" s="1"/>
      <c r="D451" s="1"/>
    </row>
    <row r="452" spans="3:4" ht="15.75" customHeight="1">
      <c r="C452" s="1"/>
      <c r="D452" s="1"/>
    </row>
    <row r="453" spans="3:4" ht="15.75" customHeight="1">
      <c r="C453" s="1"/>
      <c r="D453" s="1"/>
    </row>
    <row r="454" spans="3:4" ht="15.75" customHeight="1">
      <c r="C454" s="1"/>
      <c r="D454" s="1"/>
    </row>
    <row r="455" spans="3:4" ht="15.75" customHeight="1">
      <c r="C455" s="1"/>
      <c r="D455" s="1"/>
    </row>
    <row r="456" spans="3:4" ht="15.75" customHeight="1">
      <c r="C456" s="1"/>
      <c r="D456" s="1"/>
    </row>
    <row r="457" spans="3:4" ht="15.75" customHeight="1">
      <c r="C457" s="1"/>
      <c r="D457" s="1"/>
    </row>
    <row r="458" spans="3:4" ht="15.75" customHeight="1">
      <c r="C458" s="1"/>
      <c r="D458" s="1"/>
    </row>
    <row r="459" spans="3:4" ht="15.75" customHeight="1">
      <c r="C459" s="1"/>
      <c r="D459" s="1"/>
    </row>
    <row r="460" spans="3:4" ht="15.75" customHeight="1">
      <c r="C460" s="1"/>
      <c r="D460" s="1"/>
    </row>
    <row r="461" spans="3:4" ht="15.75" customHeight="1">
      <c r="C461" s="1"/>
      <c r="D461" s="1"/>
    </row>
    <row r="462" spans="3:4" ht="15.75" customHeight="1">
      <c r="C462" s="1"/>
      <c r="D462" s="1"/>
    </row>
    <row r="463" spans="3:4" ht="15.75" customHeight="1">
      <c r="C463" s="1"/>
      <c r="D463" s="1"/>
    </row>
    <row r="464" spans="3:4" ht="15.75" customHeight="1">
      <c r="C464" s="1"/>
      <c r="D464" s="1"/>
    </row>
    <row r="465" spans="3:4" ht="15.75" customHeight="1">
      <c r="C465" s="1"/>
      <c r="D465" s="1"/>
    </row>
    <row r="466" spans="3:4" ht="15.75" customHeight="1">
      <c r="C466" s="1"/>
      <c r="D466" s="1"/>
    </row>
    <row r="467" spans="3:4" ht="15.75" customHeight="1">
      <c r="C467" s="1"/>
      <c r="D467" s="1"/>
    </row>
    <row r="468" spans="3:4" ht="15.75" customHeight="1">
      <c r="C468" s="1"/>
      <c r="D468" s="1"/>
    </row>
    <row r="469" spans="3:4" ht="15.75" customHeight="1">
      <c r="C469" s="1"/>
      <c r="D469" s="1"/>
    </row>
    <row r="470" spans="3:4" ht="15.75" customHeight="1">
      <c r="C470" s="1"/>
      <c r="D470" s="1"/>
    </row>
    <row r="471" spans="3:4" ht="15.75" customHeight="1">
      <c r="C471" s="1"/>
      <c r="D471" s="1"/>
    </row>
    <row r="472" spans="3:4" ht="15.75" customHeight="1">
      <c r="C472" s="1"/>
      <c r="D472" s="1"/>
    </row>
    <row r="473" spans="3:4" ht="15.75" customHeight="1">
      <c r="C473" s="1"/>
      <c r="D473" s="1"/>
    </row>
    <row r="474" spans="3:4" ht="15.75" customHeight="1">
      <c r="C474" s="1"/>
      <c r="D474" s="1"/>
    </row>
    <row r="475" spans="3:4" ht="15.75" customHeight="1">
      <c r="C475" s="1"/>
      <c r="D475" s="1"/>
    </row>
    <row r="476" spans="3:4" ht="15.75" customHeight="1">
      <c r="C476" s="1"/>
      <c r="D476" s="1"/>
    </row>
    <row r="477" spans="3:4" ht="15.75" customHeight="1">
      <c r="C477" s="1"/>
      <c r="D477" s="1"/>
    </row>
    <row r="478" spans="3:4" ht="15.75" customHeight="1">
      <c r="C478" s="1"/>
      <c r="D478" s="1"/>
    </row>
    <row r="479" spans="3:4" ht="15.75" customHeight="1">
      <c r="C479" s="1"/>
      <c r="D479" s="1"/>
    </row>
    <row r="480" spans="3:4" ht="15.75" customHeight="1">
      <c r="C480" s="1"/>
      <c r="D480" s="1"/>
    </row>
    <row r="481" spans="3:4" ht="15.75" customHeight="1">
      <c r="C481" s="1"/>
      <c r="D481" s="1"/>
    </row>
    <row r="482" spans="3:4" ht="15.75" customHeight="1">
      <c r="C482" s="1"/>
      <c r="D482" s="1"/>
    </row>
    <row r="483" spans="3:4" ht="15.75" customHeight="1">
      <c r="C483" s="1"/>
      <c r="D483" s="1"/>
    </row>
    <row r="484" spans="3:4" ht="15.75" customHeight="1">
      <c r="C484" s="1"/>
      <c r="D484" s="1"/>
    </row>
    <row r="485" spans="3:4" ht="15.75" customHeight="1">
      <c r="C485" s="1"/>
      <c r="D485" s="1"/>
    </row>
    <row r="486" spans="3:4" ht="15.75" customHeight="1">
      <c r="C486" s="1"/>
      <c r="D486" s="1"/>
    </row>
    <row r="487" spans="3:4" ht="15.75" customHeight="1">
      <c r="C487" s="1"/>
      <c r="D487" s="1"/>
    </row>
    <row r="488" spans="3:4" ht="15.75" customHeight="1">
      <c r="C488" s="1"/>
      <c r="D488" s="1"/>
    </row>
    <row r="489" spans="3:4" ht="15.75" customHeight="1">
      <c r="C489" s="1"/>
      <c r="D489" s="1"/>
    </row>
    <row r="490" spans="3:4" ht="15.75" customHeight="1">
      <c r="C490" s="1"/>
      <c r="D490" s="1"/>
    </row>
    <row r="491" spans="3:4" ht="15.75" customHeight="1">
      <c r="C491" s="1"/>
      <c r="D491" s="1"/>
    </row>
    <row r="492" spans="3:4" ht="15.75" customHeight="1">
      <c r="C492" s="1"/>
      <c r="D492" s="1"/>
    </row>
    <row r="493" spans="3:4" ht="15.75" customHeight="1">
      <c r="C493" s="1"/>
      <c r="D493" s="1"/>
    </row>
    <row r="494" spans="3:4" ht="15.75" customHeight="1">
      <c r="C494" s="1"/>
      <c r="D494" s="1"/>
    </row>
    <row r="495" spans="3:4" ht="15.75" customHeight="1">
      <c r="C495" s="1"/>
      <c r="D495" s="1"/>
    </row>
    <row r="496" spans="3:4" ht="15.75" customHeight="1">
      <c r="C496" s="1"/>
      <c r="D496" s="1"/>
    </row>
    <row r="497" spans="3:4" ht="15.75" customHeight="1">
      <c r="C497" s="1"/>
      <c r="D497" s="1"/>
    </row>
    <row r="498" spans="3:4" ht="15.75" customHeight="1">
      <c r="C498" s="1"/>
      <c r="D498" s="1"/>
    </row>
    <row r="499" spans="3:4" ht="15.75" customHeight="1">
      <c r="C499" s="1"/>
      <c r="D499" s="1"/>
    </row>
    <row r="500" spans="3:4" ht="15.75" customHeight="1">
      <c r="C500" s="1"/>
      <c r="D500" s="1"/>
    </row>
    <row r="501" spans="3:4" ht="15.75" customHeight="1">
      <c r="C501" s="1"/>
      <c r="D501" s="1"/>
    </row>
    <row r="502" spans="3:4" ht="15.75" customHeight="1">
      <c r="C502" s="1"/>
      <c r="D502" s="1"/>
    </row>
    <row r="503" spans="3:4" ht="15.75" customHeight="1">
      <c r="C503" s="1"/>
      <c r="D503" s="1"/>
    </row>
    <row r="504" spans="3:4" ht="15.75" customHeight="1">
      <c r="C504" s="1"/>
      <c r="D504" s="1"/>
    </row>
    <row r="505" spans="3:4" ht="15.75" customHeight="1">
      <c r="C505" s="1"/>
      <c r="D505" s="1"/>
    </row>
    <row r="506" spans="3:4" ht="15.75" customHeight="1">
      <c r="C506" s="1"/>
      <c r="D506" s="1"/>
    </row>
    <row r="507" spans="3:4" ht="15.75" customHeight="1">
      <c r="C507" s="1"/>
      <c r="D507" s="1"/>
    </row>
    <row r="508" spans="3:4" ht="15.75" customHeight="1">
      <c r="C508" s="1"/>
      <c r="D508" s="1"/>
    </row>
    <row r="509" spans="3:4" ht="15.75" customHeight="1">
      <c r="C509" s="1"/>
      <c r="D509" s="1"/>
    </row>
    <row r="510" spans="3:4" ht="15.75" customHeight="1">
      <c r="C510" s="1"/>
      <c r="D510" s="1"/>
    </row>
    <row r="511" spans="3:4" ht="15.75" customHeight="1">
      <c r="C511" s="1"/>
      <c r="D511" s="1"/>
    </row>
    <row r="512" spans="3:4" ht="15.75" customHeight="1">
      <c r="C512" s="1"/>
      <c r="D512" s="1"/>
    </row>
    <row r="513" spans="3:4" ht="15.75" customHeight="1">
      <c r="C513" s="1"/>
      <c r="D513" s="1"/>
    </row>
    <row r="514" spans="3:4" ht="15.75" customHeight="1">
      <c r="C514" s="1"/>
      <c r="D514" s="1"/>
    </row>
    <row r="515" spans="3:4" ht="15.75" customHeight="1">
      <c r="C515" s="1"/>
      <c r="D515" s="1"/>
    </row>
    <row r="516" spans="3:4" ht="15.75" customHeight="1">
      <c r="C516" s="1"/>
      <c r="D516" s="1"/>
    </row>
    <row r="517" spans="3:4" ht="15.75" customHeight="1">
      <c r="C517" s="1"/>
      <c r="D517" s="1"/>
    </row>
    <row r="518" spans="3:4" ht="15.75" customHeight="1">
      <c r="C518" s="1"/>
      <c r="D518" s="1"/>
    </row>
    <row r="519" spans="3:4" ht="15.75" customHeight="1">
      <c r="C519" s="1"/>
      <c r="D519" s="1"/>
    </row>
    <row r="520" spans="3:4" ht="15.75" customHeight="1">
      <c r="C520" s="1"/>
      <c r="D520" s="1"/>
    </row>
    <row r="521" spans="3:4" ht="15.75" customHeight="1">
      <c r="C521" s="1"/>
      <c r="D521" s="1"/>
    </row>
    <row r="522" spans="3:4" ht="15.75" customHeight="1">
      <c r="C522" s="1"/>
      <c r="D522" s="1"/>
    </row>
    <row r="523" spans="3:4" ht="15.75" customHeight="1">
      <c r="C523" s="1"/>
      <c r="D523" s="1"/>
    </row>
    <row r="524" spans="3:4" ht="15.75" customHeight="1">
      <c r="C524" s="1"/>
      <c r="D524" s="1"/>
    </row>
    <row r="525" spans="3:4" ht="15.75" customHeight="1">
      <c r="C525" s="1"/>
      <c r="D525" s="1"/>
    </row>
    <row r="526" spans="3:4" ht="15.75" customHeight="1">
      <c r="C526" s="1"/>
      <c r="D526" s="1"/>
    </row>
    <row r="527" spans="3:4" ht="15.75" customHeight="1">
      <c r="C527" s="1"/>
      <c r="D527" s="1"/>
    </row>
    <row r="528" spans="3:4" ht="15.75" customHeight="1">
      <c r="C528" s="1"/>
      <c r="D528" s="1"/>
    </row>
    <row r="529" spans="3:4" ht="15.75" customHeight="1">
      <c r="C529" s="1"/>
      <c r="D529" s="1"/>
    </row>
    <row r="530" spans="3:4" ht="15.75" customHeight="1">
      <c r="C530" s="1"/>
      <c r="D530" s="1"/>
    </row>
    <row r="531" spans="3:4" ht="15.75" customHeight="1">
      <c r="C531" s="1"/>
      <c r="D531" s="1"/>
    </row>
    <row r="532" spans="3:4" ht="15.75" customHeight="1">
      <c r="C532" s="1"/>
      <c r="D532" s="1"/>
    </row>
    <row r="533" spans="3:4" ht="15.75" customHeight="1">
      <c r="C533" s="1"/>
      <c r="D533" s="1"/>
    </row>
    <row r="534" spans="3:4" ht="15.75" customHeight="1">
      <c r="C534" s="1"/>
      <c r="D534" s="1"/>
    </row>
    <row r="535" spans="3:4" ht="15.75" customHeight="1">
      <c r="C535" s="1"/>
      <c r="D535" s="1"/>
    </row>
    <row r="536" spans="3:4" ht="15.75" customHeight="1">
      <c r="C536" s="1"/>
      <c r="D536" s="1"/>
    </row>
    <row r="537" spans="3:4" ht="15.75" customHeight="1">
      <c r="C537" s="1"/>
      <c r="D537" s="1"/>
    </row>
    <row r="538" spans="3:4" ht="15.75" customHeight="1">
      <c r="C538" s="1"/>
      <c r="D538" s="1"/>
    </row>
    <row r="539" spans="3:4" ht="15.75" customHeight="1">
      <c r="C539" s="1"/>
      <c r="D539" s="1"/>
    </row>
    <row r="540" spans="3:4" ht="15.75" customHeight="1">
      <c r="C540" s="1"/>
      <c r="D540" s="1"/>
    </row>
    <row r="541" spans="3:4" ht="15.75" customHeight="1">
      <c r="C541" s="1"/>
      <c r="D541" s="1"/>
    </row>
    <row r="542" spans="3:4" ht="15.75" customHeight="1">
      <c r="C542" s="1"/>
      <c r="D542" s="1"/>
    </row>
    <row r="543" spans="3:4" ht="15.75" customHeight="1">
      <c r="C543" s="1"/>
      <c r="D543" s="1"/>
    </row>
    <row r="544" spans="3:4" ht="15.75" customHeight="1">
      <c r="C544" s="1"/>
      <c r="D544" s="1"/>
    </row>
    <row r="545" spans="3:4" ht="15.75" customHeight="1">
      <c r="C545" s="1"/>
      <c r="D545" s="1"/>
    </row>
    <row r="546" spans="3:4" ht="15.75" customHeight="1">
      <c r="C546" s="1"/>
      <c r="D546" s="1"/>
    </row>
    <row r="547" spans="3:4" ht="15.75" customHeight="1">
      <c r="C547" s="1"/>
      <c r="D547" s="1"/>
    </row>
    <row r="548" spans="3:4" ht="15.75" customHeight="1">
      <c r="C548" s="1"/>
      <c r="D548" s="1"/>
    </row>
    <row r="549" spans="3:4" ht="15.75" customHeight="1">
      <c r="C549" s="1"/>
      <c r="D549" s="1"/>
    </row>
    <row r="550" spans="3:4" ht="15.75" customHeight="1">
      <c r="C550" s="1"/>
      <c r="D550" s="1"/>
    </row>
    <row r="551" spans="3:4" ht="15.75" customHeight="1">
      <c r="C551" s="1"/>
      <c r="D551" s="1"/>
    </row>
    <row r="552" spans="3:4" ht="15.75" customHeight="1">
      <c r="C552" s="1"/>
      <c r="D552" s="1"/>
    </row>
    <row r="553" spans="3:4" ht="15.75" customHeight="1">
      <c r="C553" s="1"/>
      <c r="D553" s="1"/>
    </row>
    <row r="554" spans="3:4" ht="15.75" customHeight="1">
      <c r="C554" s="1"/>
      <c r="D554" s="1"/>
    </row>
    <row r="555" spans="3:4" ht="15.75" customHeight="1">
      <c r="C555" s="1"/>
      <c r="D555" s="1"/>
    </row>
    <row r="556" spans="3:4" ht="15.75" customHeight="1">
      <c r="C556" s="1"/>
      <c r="D556" s="1"/>
    </row>
    <row r="557" spans="3:4" ht="15.75" customHeight="1">
      <c r="C557" s="1"/>
      <c r="D557" s="1"/>
    </row>
    <row r="558" spans="3:4" ht="15.75" customHeight="1">
      <c r="C558" s="1"/>
      <c r="D558" s="1"/>
    </row>
    <row r="559" spans="3:4" ht="15.75" customHeight="1">
      <c r="C559" s="1"/>
      <c r="D559" s="1"/>
    </row>
    <row r="560" spans="3:4" ht="15.75" customHeight="1">
      <c r="C560" s="1"/>
      <c r="D560" s="1"/>
    </row>
    <row r="561" spans="3:4" ht="15.75" customHeight="1">
      <c r="C561" s="1"/>
      <c r="D561" s="1"/>
    </row>
    <row r="562" spans="3:4" ht="15.75" customHeight="1">
      <c r="C562" s="1"/>
      <c r="D562" s="1"/>
    </row>
    <row r="563" spans="3:4" ht="15.75" customHeight="1">
      <c r="C563" s="1"/>
      <c r="D563" s="1"/>
    </row>
    <row r="564" spans="3:4" ht="15.75" customHeight="1">
      <c r="C564" s="1"/>
      <c r="D564" s="1"/>
    </row>
    <row r="565" spans="3:4" ht="15.75" customHeight="1">
      <c r="C565" s="1"/>
      <c r="D565" s="1"/>
    </row>
    <row r="566" spans="3:4" ht="15.75" customHeight="1">
      <c r="C566" s="1"/>
      <c r="D566" s="1"/>
    </row>
    <row r="567" spans="3:4" ht="15.75" customHeight="1">
      <c r="C567" s="1"/>
      <c r="D567" s="1"/>
    </row>
    <row r="568" spans="3:4" ht="15.75" customHeight="1">
      <c r="C568" s="1"/>
      <c r="D568" s="1"/>
    </row>
    <row r="569" spans="3:4" ht="15.75" customHeight="1">
      <c r="C569" s="1"/>
      <c r="D569" s="1"/>
    </row>
    <row r="570" spans="3:4" ht="15.75" customHeight="1">
      <c r="C570" s="1"/>
      <c r="D570" s="1"/>
    </row>
    <row r="571" spans="3:4" ht="15.75" customHeight="1">
      <c r="C571" s="1"/>
      <c r="D571" s="1"/>
    </row>
    <row r="572" spans="3:4" ht="15.75" customHeight="1">
      <c r="C572" s="1"/>
      <c r="D572" s="1"/>
    </row>
    <row r="573" spans="3:4" ht="15.75" customHeight="1">
      <c r="C573" s="1"/>
      <c r="D573" s="1"/>
    </row>
    <row r="574" spans="3:4" ht="15.75" customHeight="1">
      <c r="C574" s="1"/>
      <c r="D574" s="1"/>
    </row>
    <row r="575" spans="3:4" ht="15.75" customHeight="1">
      <c r="C575" s="1"/>
      <c r="D575" s="1"/>
    </row>
    <row r="576" spans="3:4" ht="15.75" customHeight="1">
      <c r="C576" s="1"/>
      <c r="D576" s="1"/>
    </row>
    <row r="577" spans="3:4" ht="15.75" customHeight="1">
      <c r="C577" s="1"/>
      <c r="D577" s="1"/>
    </row>
    <row r="578" spans="3:4" ht="15.75" customHeight="1">
      <c r="C578" s="1"/>
      <c r="D578" s="1"/>
    </row>
    <row r="579" spans="3:4" ht="15.75" customHeight="1">
      <c r="C579" s="1"/>
      <c r="D579" s="1"/>
    </row>
    <row r="580" spans="3:4" ht="15.75" customHeight="1">
      <c r="C580" s="1"/>
      <c r="D580" s="1"/>
    </row>
    <row r="581" spans="3:4" ht="15.75" customHeight="1">
      <c r="C581" s="1"/>
      <c r="D581" s="1"/>
    </row>
    <row r="582" spans="3:4" ht="15.75" customHeight="1">
      <c r="C582" s="1"/>
      <c r="D582" s="1"/>
    </row>
    <row r="583" spans="3:4" ht="15.75" customHeight="1">
      <c r="C583" s="1"/>
      <c r="D583" s="1"/>
    </row>
    <row r="584" spans="3:4" ht="15.75" customHeight="1">
      <c r="C584" s="1"/>
      <c r="D584" s="1"/>
    </row>
    <row r="585" spans="3:4" ht="15.75" customHeight="1">
      <c r="C585" s="1"/>
      <c r="D585" s="1"/>
    </row>
    <row r="586" spans="3:4" ht="15.75" customHeight="1">
      <c r="C586" s="1"/>
      <c r="D586" s="1"/>
    </row>
    <row r="587" spans="3:4" ht="15.75" customHeight="1">
      <c r="C587" s="1"/>
      <c r="D587" s="1"/>
    </row>
    <row r="588" spans="3:4" ht="15.75" customHeight="1">
      <c r="C588" s="1"/>
      <c r="D588" s="1"/>
    </row>
    <row r="589" spans="3:4" ht="15.75" customHeight="1">
      <c r="C589" s="1"/>
      <c r="D589" s="1"/>
    </row>
    <row r="590" spans="3:4" ht="15.75" customHeight="1">
      <c r="C590" s="1"/>
      <c r="D590" s="1"/>
    </row>
    <row r="591" spans="3:4" ht="15.75" customHeight="1">
      <c r="C591" s="1"/>
      <c r="D591" s="1"/>
    </row>
    <row r="592" spans="3:4" ht="15.75" customHeight="1">
      <c r="C592" s="1"/>
      <c r="D592" s="1"/>
    </row>
    <row r="593" spans="3:4" ht="15.75" customHeight="1">
      <c r="C593" s="1"/>
      <c r="D593" s="1"/>
    </row>
    <row r="594" spans="3:4" ht="15.75" customHeight="1">
      <c r="C594" s="1"/>
      <c r="D594" s="1"/>
    </row>
    <row r="595" spans="3:4" ht="15.75" customHeight="1">
      <c r="C595" s="1"/>
      <c r="D595" s="1"/>
    </row>
    <row r="596" spans="3:4" ht="15.75" customHeight="1">
      <c r="C596" s="1"/>
      <c r="D596" s="1"/>
    </row>
    <row r="597" spans="3:4" ht="15.75" customHeight="1">
      <c r="C597" s="1"/>
      <c r="D597" s="1"/>
    </row>
    <row r="598" spans="3:4" ht="15.75" customHeight="1">
      <c r="C598" s="1"/>
      <c r="D598" s="1"/>
    </row>
    <row r="599" spans="3:4" ht="15.75" customHeight="1">
      <c r="C599" s="1"/>
      <c r="D599" s="1"/>
    </row>
    <row r="600" spans="3:4" ht="15.75" customHeight="1">
      <c r="C600" s="1"/>
      <c r="D600" s="1"/>
    </row>
    <row r="601" spans="3:4" ht="15.75" customHeight="1">
      <c r="C601" s="1"/>
      <c r="D601" s="1"/>
    </row>
    <row r="602" spans="3:4" ht="15.75" customHeight="1">
      <c r="C602" s="1"/>
      <c r="D602" s="1"/>
    </row>
    <row r="603" spans="3:4" ht="15.75" customHeight="1">
      <c r="C603" s="1"/>
      <c r="D603" s="1"/>
    </row>
    <row r="604" spans="3:4" ht="15.75" customHeight="1">
      <c r="C604" s="1"/>
      <c r="D604" s="1"/>
    </row>
    <row r="605" spans="3:4" ht="15.75" customHeight="1">
      <c r="C605" s="1"/>
      <c r="D605" s="1"/>
    </row>
    <row r="606" spans="3:4" ht="15.75" customHeight="1">
      <c r="C606" s="1"/>
      <c r="D606" s="1"/>
    </row>
    <row r="607" spans="3:4" ht="15.75" customHeight="1">
      <c r="C607" s="1"/>
      <c r="D607" s="1"/>
    </row>
    <row r="608" spans="3:4" ht="15.75" customHeight="1">
      <c r="C608" s="1"/>
      <c r="D608" s="1"/>
    </row>
    <row r="609" spans="3:4" ht="15.75" customHeight="1">
      <c r="C609" s="1"/>
      <c r="D609" s="1"/>
    </row>
    <row r="610" spans="3:4" ht="15.75" customHeight="1">
      <c r="C610" s="1"/>
      <c r="D610" s="1"/>
    </row>
    <row r="611" spans="3:4" ht="15.75" customHeight="1">
      <c r="C611" s="1"/>
      <c r="D611" s="1"/>
    </row>
    <row r="612" spans="3:4" ht="15.75" customHeight="1">
      <c r="C612" s="1"/>
      <c r="D612" s="1"/>
    </row>
    <row r="613" spans="3:4" ht="15.75" customHeight="1">
      <c r="C613" s="1"/>
      <c r="D613" s="1"/>
    </row>
    <row r="614" spans="3:4" ht="15.75" customHeight="1">
      <c r="C614" s="1"/>
      <c r="D614" s="1"/>
    </row>
    <row r="615" spans="3:4" ht="15.75" customHeight="1">
      <c r="C615" s="1"/>
      <c r="D615" s="1"/>
    </row>
    <row r="616" spans="3:4" ht="15.75" customHeight="1">
      <c r="C616" s="1"/>
      <c r="D616" s="1"/>
    </row>
    <row r="617" spans="3:4" ht="15.75" customHeight="1">
      <c r="C617" s="1"/>
      <c r="D617" s="1"/>
    </row>
    <row r="618" spans="3:4" ht="15.75" customHeight="1">
      <c r="C618" s="1"/>
      <c r="D618" s="1"/>
    </row>
    <row r="619" spans="3:4" ht="15.75" customHeight="1">
      <c r="C619" s="1"/>
      <c r="D619" s="1"/>
    </row>
    <row r="620" spans="3:4" ht="15.75" customHeight="1">
      <c r="C620" s="1"/>
      <c r="D620" s="1"/>
    </row>
    <row r="621" spans="3:4" ht="15.75" customHeight="1">
      <c r="C621" s="1"/>
      <c r="D621" s="1"/>
    </row>
    <row r="622" spans="3:4" ht="15.75" customHeight="1">
      <c r="C622" s="1"/>
      <c r="D622" s="1"/>
    </row>
    <row r="623" spans="3:4" ht="15.75" customHeight="1">
      <c r="C623" s="1"/>
      <c r="D623" s="1"/>
    </row>
    <row r="624" spans="3:4" ht="15.75" customHeight="1">
      <c r="C624" s="1"/>
      <c r="D624" s="1"/>
    </row>
    <row r="625" spans="3:4" ht="15.75" customHeight="1">
      <c r="C625" s="1"/>
      <c r="D625" s="1"/>
    </row>
    <row r="626" spans="3:4" ht="15.75" customHeight="1">
      <c r="C626" s="1"/>
      <c r="D626" s="1"/>
    </row>
    <row r="627" spans="3:4" ht="15.75" customHeight="1">
      <c r="C627" s="1"/>
      <c r="D627" s="1"/>
    </row>
    <row r="628" spans="3:4" ht="15.75" customHeight="1">
      <c r="C628" s="1"/>
      <c r="D628" s="1"/>
    </row>
    <row r="629" spans="3:4" ht="15.75" customHeight="1">
      <c r="C629" s="1"/>
      <c r="D629" s="1"/>
    </row>
    <row r="630" spans="3:4" ht="15.75" customHeight="1">
      <c r="C630" s="1"/>
      <c r="D630" s="1"/>
    </row>
    <row r="631" spans="3:4" ht="15.75" customHeight="1">
      <c r="C631" s="1"/>
      <c r="D631" s="1"/>
    </row>
    <row r="632" spans="3:4" ht="15.75" customHeight="1">
      <c r="C632" s="1"/>
      <c r="D632" s="1"/>
    </row>
    <row r="633" spans="3:4" ht="15.75" customHeight="1">
      <c r="C633" s="1"/>
      <c r="D633" s="1"/>
    </row>
    <row r="634" spans="3:4" ht="15.75" customHeight="1">
      <c r="C634" s="1"/>
      <c r="D634" s="1"/>
    </row>
    <row r="635" spans="3:4" ht="15.75" customHeight="1">
      <c r="C635" s="1"/>
      <c r="D635" s="1"/>
    </row>
    <row r="636" spans="3:4" ht="15.75" customHeight="1">
      <c r="C636" s="1"/>
      <c r="D636" s="1"/>
    </row>
    <row r="637" spans="3:4" ht="15.75" customHeight="1">
      <c r="C637" s="1"/>
      <c r="D637" s="1"/>
    </row>
    <row r="638" spans="3:4" ht="15.75" customHeight="1">
      <c r="C638" s="1"/>
      <c r="D638" s="1"/>
    </row>
    <row r="639" spans="3:4" ht="15.75" customHeight="1">
      <c r="C639" s="1"/>
      <c r="D639" s="1"/>
    </row>
    <row r="640" spans="3:4" ht="15.75" customHeight="1">
      <c r="C640" s="1"/>
      <c r="D640" s="1"/>
    </row>
    <row r="641" spans="3:4" ht="15.75" customHeight="1">
      <c r="C641" s="1"/>
      <c r="D641" s="1"/>
    </row>
    <row r="642" spans="3:4" ht="15.75" customHeight="1">
      <c r="C642" s="1"/>
      <c r="D642" s="1"/>
    </row>
    <row r="643" spans="3:4" ht="15.75" customHeight="1">
      <c r="C643" s="1"/>
      <c r="D643" s="1"/>
    </row>
    <row r="644" spans="3:4" ht="15.75" customHeight="1">
      <c r="C644" s="1"/>
      <c r="D644" s="1"/>
    </row>
    <row r="645" spans="3:4" ht="15.75" customHeight="1">
      <c r="C645" s="1"/>
      <c r="D645" s="1"/>
    </row>
    <row r="646" spans="3:4" ht="15.75" customHeight="1">
      <c r="C646" s="1"/>
      <c r="D646" s="1"/>
    </row>
    <row r="647" spans="3:4" ht="15.75" customHeight="1">
      <c r="C647" s="1"/>
      <c r="D647" s="1"/>
    </row>
    <row r="648" spans="3:4" ht="15.75" customHeight="1">
      <c r="C648" s="1"/>
      <c r="D648" s="1"/>
    </row>
    <row r="649" spans="3:4" ht="15.75" customHeight="1">
      <c r="C649" s="1"/>
      <c r="D649" s="1"/>
    </row>
    <row r="650" spans="3:4" ht="15.75" customHeight="1">
      <c r="C650" s="1"/>
      <c r="D650" s="1"/>
    </row>
    <row r="651" spans="3:4" ht="15.75" customHeight="1">
      <c r="C651" s="1"/>
      <c r="D651" s="1"/>
    </row>
    <row r="652" spans="3:4" ht="15.75" customHeight="1">
      <c r="C652" s="1"/>
      <c r="D652" s="1"/>
    </row>
    <row r="653" spans="3:4" ht="15.75" customHeight="1">
      <c r="C653" s="1"/>
      <c r="D653" s="1"/>
    </row>
    <row r="654" spans="3:4" ht="15.75" customHeight="1">
      <c r="C654" s="1"/>
      <c r="D654" s="1"/>
    </row>
    <row r="655" spans="3:4" ht="15.75" customHeight="1">
      <c r="C655" s="1"/>
      <c r="D655" s="1"/>
    </row>
    <row r="656" spans="3:4" ht="15.75" customHeight="1">
      <c r="C656" s="1"/>
      <c r="D656" s="1"/>
    </row>
    <row r="657" spans="3:4" ht="15.75" customHeight="1">
      <c r="C657" s="1"/>
      <c r="D657" s="1"/>
    </row>
    <row r="658" spans="3:4" ht="15.75" customHeight="1">
      <c r="C658" s="1"/>
      <c r="D658" s="1"/>
    </row>
    <row r="659" spans="3:4" ht="15.75" customHeight="1">
      <c r="C659" s="1"/>
      <c r="D659" s="1"/>
    </row>
    <row r="660" spans="3:4" ht="15.75" customHeight="1">
      <c r="C660" s="1"/>
      <c r="D660" s="1"/>
    </row>
    <row r="661" spans="3:4" ht="15.75" customHeight="1">
      <c r="C661" s="1"/>
      <c r="D661" s="1"/>
    </row>
    <row r="662" spans="3:4" ht="15.75" customHeight="1">
      <c r="C662" s="1"/>
      <c r="D662" s="1"/>
    </row>
    <row r="663" spans="3:4" ht="15.75" customHeight="1">
      <c r="C663" s="1"/>
      <c r="D663" s="1"/>
    </row>
    <row r="664" spans="3:4" ht="15.75" customHeight="1">
      <c r="C664" s="1"/>
      <c r="D664" s="1"/>
    </row>
    <row r="665" spans="3:4" ht="15.75" customHeight="1">
      <c r="C665" s="1"/>
      <c r="D665" s="1"/>
    </row>
    <row r="666" spans="3:4" ht="15.75" customHeight="1">
      <c r="C666" s="1"/>
      <c r="D666" s="1"/>
    </row>
    <row r="667" spans="3:4" ht="15.75" customHeight="1">
      <c r="C667" s="1"/>
      <c r="D667" s="1"/>
    </row>
    <row r="668" spans="3:4" ht="15.75" customHeight="1">
      <c r="C668" s="1"/>
      <c r="D668" s="1"/>
    </row>
    <row r="669" spans="3:4" ht="15.75" customHeight="1">
      <c r="C669" s="1"/>
      <c r="D669" s="1"/>
    </row>
    <row r="670" spans="3:4" ht="15.75" customHeight="1">
      <c r="C670" s="1"/>
      <c r="D670" s="1"/>
    </row>
    <row r="671" spans="3:4" ht="15.75" customHeight="1">
      <c r="C671" s="1"/>
      <c r="D671" s="1"/>
    </row>
    <row r="672" spans="3:4" ht="15.75" customHeight="1">
      <c r="C672" s="1"/>
      <c r="D672" s="1"/>
    </row>
    <row r="673" spans="3:4" ht="15.75" customHeight="1">
      <c r="C673" s="1"/>
      <c r="D673" s="1"/>
    </row>
    <row r="674" spans="3:4" ht="15.75" customHeight="1">
      <c r="C674" s="1"/>
      <c r="D674" s="1"/>
    </row>
    <row r="675" spans="3:4" ht="15.75" customHeight="1">
      <c r="C675" s="1"/>
      <c r="D675" s="1"/>
    </row>
    <row r="676" spans="3:4" ht="15.75" customHeight="1">
      <c r="C676" s="1"/>
      <c r="D676" s="1"/>
    </row>
    <row r="677" spans="3:4" ht="15.75" customHeight="1">
      <c r="C677" s="1"/>
      <c r="D677" s="1"/>
    </row>
    <row r="678" spans="3:4" ht="15.75" customHeight="1">
      <c r="C678" s="1"/>
      <c r="D678" s="1"/>
    </row>
    <row r="679" spans="3:4" ht="15.75" customHeight="1">
      <c r="C679" s="1"/>
      <c r="D679" s="1"/>
    </row>
    <row r="680" spans="3:4" ht="15.75" customHeight="1">
      <c r="C680" s="1"/>
      <c r="D680" s="1"/>
    </row>
    <row r="681" spans="3:4" ht="15.75" customHeight="1">
      <c r="C681" s="1"/>
      <c r="D681" s="1"/>
    </row>
    <row r="682" spans="3:4" ht="15.75" customHeight="1">
      <c r="C682" s="1"/>
      <c r="D682" s="1"/>
    </row>
    <row r="683" spans="3:4" ht="15.75" customHeight="1">
      <c r="C683" s="1"/>
      <c r="D683" s="1"/>
    </row>
    <row r="684" spans="3:4" ht="15.75" customHeight="1">
      <c r="C684" s="1"/>
      <c r="D684" s="1"/>
    </row>
    <row r="685" spans="3:4" ht="15.75" customHeight="1">
      <c r="C685" s="1"/>
      <c r="D685" s="1"/>
    </row>
    <row r="686" spans="3:4" ht="15.75" customHeight="1">
      <c r="C686" s="1"/>
      <c r="D686" s="1"/>
    </row>
    <row r="687" spans="3:4" ht="15.75" customHeight="1">
      <c r="C687" s="1"/>
      <c r="D687" s="1"/>
    </row>
    <row r="688" spans="3:4" ht="15.75" customHeight="1">
      <c r="C688" s="1"/>
      <c r="D688" s="1"/>
    </row>
    <row r="689" spans="3:4" ht="15.75" customHeight="1">
      <c r="C689" s="1"/>
      <c r="D689" s="1"/>
    </row>
    <row r="690" spans="3:4" ht="15.75" customHeight="1">
      <c r="C690" s="1"/>
      <c r="D690" s="1"/>
    </row>
    <row r="691" spans="3:4" ht="15.75" customHeight="1">
      <c r="C691" s="1"/>
      <c r="D691" s="1"/>
    </row>
    <row r="692" spans="3:4" ht="15.75" customHeight="1">
      <c r="C692" s="1"/>
      <c r="D692" s="1"/>
    </row>
    <row r="693" spans="3:4" ht="15.75" customHeight="1">
      <c r="C693" s="1"/>
      <c r="D693" s="1"/>
    </row>
    <row r="694" spans="3:4" ht="15.75" customHeight="1">
      <c r="C694" s="1"/>
      <c r="D694" s="1"/>
    </row>
    <row r="695" spans="3:4" ht="15.75" customHeight="1">
      <c r="C695" s="1"/>
      <c r="D695" s="1"/>
    </row>
    <row r="696" spans="3:4" ht="15.75" customHeight="1">
      <c r="C696" s="1"/>
      <c r="D696" s="1"/>
    </row>
    <row r="697" spans="3:4" ht="15.75" customHeight="1">
      <c r="C697" s="1"/>
      <c r="D697" s="1"/>
    </row>
    <row r="698" spans="3:4" ht="15.75" customHeight="1">
      <c r="C698" s="1"/>
      <c r="D698" s="1"/>
    </row>
    <row r="699" spans="3:4" ht="15.75" customHeight="1">
      <c r="C699" s="1"/>
      <c r="D699" s="1"/>
    </row>
    <row r="700" spans="3:4" ht="15.75" customHeight="1">
      <c r="C700" s="1"/>
      <c r="D700" s="1"/>
    </row>
    <row r="701" spans="3:4" ht="15.75" customHeight="1">
      <c r="C701" s="1"/>
      <c r="D701" s="1"/>
    </row>
    <row r="702" spans="3:4" ht="15.75" customHeight="1">
      <c r="C702" s="1"/>
      <c r="D702" s="1"/>
    </row>
    <row r="703" spans="3:4" ht="15.75" customHeight="1">
      <c r="C703" s="1"/>
      <c r="D703" s="1"/>
    </row>
    <row r="704" spans="3:4" ht="15.75" customHeight="1">
      <c r="C704" s="1"/>
      <c r="D704" s="1"/>
    </row>
    <row r="705" spans="3:4" ht="15.75" customHeight="1">
      <c r="C705" s="1"/>
      <c r="D705" s="1"/>
    </row>
    <row r="706" spans="3:4" ht="15.75" customHeight="1">
      <c r="C706" s="1"/>
      <c r="D706" s="1"/>
    </row>
    <row r="707" spans="3:4" ht="15.75" customHeight="1">
      <c r="C707" s="1"/>
      <c r="D707" s="1"/>
    </row>
    <row r="708" spans="3:4" ht="15.75" customHeight="1">
      <c r="C708" s="1"/>
      <c r="D708" s="1"/>
    </row>
    <row r="709" spans="3:4" ht="15.75" customHeight="1">
      <c r="C709" s="1"/>
      <c r="D709" s="1"/>
    </row>
    <row r="710" spans="3:4" ht="15.75" customHeight="1">
      <c r="C710" s="1"/>
      <c r="D710" s="1"/>
    </row>
    <row r="711" spans="3:4" ht="15.75" customHeight="1">
      <c r="C711" s="1"/>
      <c r="D711" s="1"/>
    </row>
    <row r="712" spans="3:4" ht="15.75" customHeight="1">
      <c r="C712" s="1"/>
      <c r="D712" s="1"/>
    </row>
    <row r="713" spans="3:4" ht="15.75" customHeight="1">
      <c r="C713" s="1"/>
      <c r="D713" s="1"/>
    </row>
    <row r="714" spans="3:4" ht="15.75" customHeight="1">
      <c r="C714" s="1"/>
      <c r="D714" s="1"/>
    </row>
    <row r="715" spans="3:4" ht="15.75" customHeight="1">
      <c r="C715" s="1"/>
      <c r="D715" s="1"/>
    </row>
    <row r="716" spans="3:4" ht="15.75" customHeight="1">
      <c r="C716" s="1"/>
      <c r="D716" s="1"/>
    </row>
    <row r="717" spans="3:4" ht="15.75" customHeight="1">
      <c r="C717" s="1"/>
      <c r="D717" s="1"/>
    </row>
    <row r="718" spans="3:4" ht="15.75" customHeight="1">
      <c r="C718" s="1"/>
      <c r="D718" s="1"/>
    </row>
    <row r="719" spans="3:4" ht="15.75" customHeight="1">
      <c r="C719" s="1"/>
      <c r="D719" s="1"/>
    </row>
    <row r="720" spans="3:4" ht="15.75" customHeight="1">
      <c r="C720" s="1"/>
      <c r="D720" s="1"/>
    </row>
    <row r="721" spans="3:4" ht="15.75" customHeight="1">
      <c r="C721" s="1"/>
      <c r="D721" s="1"/>
    </row>
    <row r="722" spans="3:4" ht="15.75" customHeight="1">
      <c r="C722" s="1"/>
      <c r="D722" s="1"/>
    </row>
    <row r="723" spans="3:4" ht="15.75" customHeight="1">
      <c r="C723" s="1"/>
      <c r="D723" s="1"/>
    </row>
    <row r="724" spans="3:4" ht="15.75" customHeight="1">
      <c r="C724" s="1"/>
      <c r="D724" s="1"/>
    </row>
    <row r="725" spans="3:4" ht="15.75" customHeight="1">
      <c r="C725" s="1"/>
      <c r="D725" s="1"/>
    </row>
    <row r="726" spans="3:4" ht="15.75" customHeight="1">
      <c r="C726" s="1"/>
      <c r="D726" s="1"/>
    </row>
    <row r="727" spans="3:4" ht="15.75" customHeight="1">
      <c r="C727" s="1"/>
      <c r="D727" s="1"/>
    </row>
    <row r="728" spans="3:4" ht="15.75" customHeight="1">
      <c r="C728" s="1"/>
      <c r="D728" s="1"/>
    </row>
    <row r="729" spans="3:4" ht="15.75" customHeight="1">
      <c r="C729" s="1"/>
      <c r="D729" s="1"/>
    </row>
    <row r="730" spans="3:4" ht="15.75" customHeight="1">
      <c r="C730" s="1"/>
      <c r="D730" s="1"/>
    </row>
    <row r="731" spans="3:4" ht="15.75" customHeight="1">
      <c r="C731" s="1"/>
      <c r="D731" s="1"/>
    </row>
    <row r="732" spans="3:4" ht="15.75" customHeight="1">
      <c r="C732" s="1"/>
      <c r="D732" s="1"/>
    </row>
    <row r="733" spans="3:4" ht="15.75" customHeight="1">
      <c r="C733" s="1"/>
      <c r="D733" s="1"/>
    </row>
    <row r="734" spans="3:4" ht="15.75" customHeight="1">
      <c r="C734" s="1"/>
      <c r="D734" s="1"/>
    </row>
    <row r="735" spans="3:4" ht="15.75" customHeight="1">
      <c r="C735" s="1"/>
      <c r="D735" s="1"/>
    </row>
    <row r="736" spans="3:4" ht="15.75" customHeight="1">
      <c r="C736" s="1"/>
      <c r="D736" s="1"/>
    </row>
    <row r="737" spans="3:4" ht="15.75" customHeight="1">
      <c r="C737" s="1"/>
      <c r="D737" s="1"/>
    </row>
    <row r="738" spans="3:4" ht="15.75" customHeight="1">
      <c r="C738" s="1"/>
      <c r="D738" s="1"/>
    </row>
    <row r="739" spans="3:4" ht="15.75" customHeight="1">
      <c r="C739" s="1"/>
      <c r="D739" s="1"/>
    </row>
    <row r="740" spans="3:4" ht="15.75" customHeight="1">
      <c r="C740" s="1"/>
      <c r="D740" s="1"/>
    </row>
    <row r="741" spans="3:4" ht="15.75" customHeight="1">
      <c r="C741" s="1"/>
      <c r="D741" s="1"/>
    </row>
    <row r="742" spans="3:4" ht="15.75" customHeight="1">
      <c r="C742" s="1"/>
      <c r="D742" s="1"/>
    </row>
    <row r="743" spans="3:4" ht="15.75" customHeight="1">
      <c r="C743" s="1"/>
      <c r="D743" s="1"/>
    </row>
    <row r="744" spans="3:4" ht="15.75" customHeight="1">
      <c r="C744" s="1"/>
      <c r="D744" s="1"/>
    </row>
    <row r="745" spans="3:4" ht="15.75" customHeight="1">
      <c r="C745" s="1"/>
      <c r="D745" s="1"/>
    </row>
    <row r="746" spans="3:4" ht="15.75" customHeight="1">
      <c r="C746" s="1"/>
      <c r="D746" s="1"/>
    </row>
    <row r="747" spans="3:4" ht="15.75" customHeight="1">
      <c r="C747" s="1"/>
      <c r="D747" s="1"/>
    </row>
    <row r="748" spans="3:4" ht="15.75" customHeight="1">
      <c r="C748" s="1"/>
      <c r="D748" s="1"/>
    </row>
    <row r="749" spans="3:4" ht="15.75" customHeight="1">
      <c r="C749" s="1"/>
      <c r="D749" s="1"/>
    </row>
    <row r="750" spans="3:4" ht="15.75" customHeight="1">
      <c r="C750" s="1"/>
      <c r="D750" s="1"/>
    </row>
    <row r="751" spans="3:4" ht="15.75" customHeight="1">
      <c r="C751" s="1"/>
      <c r="D751" s="1"/>
    </row>
    <row r="752" spans="3:4" ht="15.75" customHeight="1">
      <c r="C752" s="1"/>
      <c r="D752" s="1"/>
    </row>
    <row r="753" spans="3:4" ht="15.75" customHeight="1">
      <c r="C753" s="1"/>
      <c r="D753" s="1"/>
    </row>
    <row r="754" spans="3:4" ht="15.75" customHeight="1">
      <c r="C754" s="1"/>
      <c r="D754" s="1"/>
    </row>
    <row r="755" spans="3:4" ht="15.75" customHeight="1">
      <c r="C755" s="1"/>
      <c r="D755" s="1"/>
    </row>
    <row r="756" spans="3:4" ht="15.75" customHeight="1">
      <c r="C756" s="1"/>
      <c r="D756" s="1"/>
    </row>
    <row r="757" spans="3:4" ht="15.75" customHeight="1">
      <c r="C757" s="1"/>
      <c r="D757" s="1"/>
    </row>
    <row r="758" spans="3:4" ht="15.75" customHeight="1">
      <c r="C758" s="1"/>
      <c r="D758" s="1"/>
    </row>
    <row r="759" spans="3:4" ht="15.75" customHeight="1">
      <c r="C759" s="1"/>
      <c r="D759" s="1"/>
    </row>
    <row r="760" spans="3:4" ht="15.75" customHeight="1">
      <c r="C760" s="1"/>
      <c r="D760" s="1"/>
    </row>
    <row r="761" spans="3:4" ht="15.75" customHeight="1">
      <c r="C761" s="1"/>
      <c r="D761" s="1"/>
    </row>
    <row r="762" spans="3:4" ht="15.75" customHeight="1">
      <c r="C762" s="1"/>
      <c r="D762" s="1"/>
    </row>
    <row r="763" spans="3:4" ht="15.75" customHeight="1">
      <c r="C763" s="1"/>
      <c r="D763" s="1"/>
    </row>
    <row r="764" spans="3:4" ht="15.75" customHeight="1">
      <c r="C764" s="1"/>
      <c r="D764" s="1"/>
    </row>
    <row r="765" spans="3:4" ht="15.75" customHeight="1">
      <c r="C765" s="1"/>
      <c r="D765" s="1"/>
    </row>
    <row r="766" spans="3:4" ht="15.75" customHeight="1">
      <c r="C766" s="1"/>
      <c r="D766" s="1"/>
    </row>
    <row r="767" spans="3:4" ht="15.75" customHeight="1">
      <c r="C767" s="1"/>
      <c r="D767" s="1"/>
    </row>
    <row r="768" spans="3:4" ht="15.75" customHeight="1">
      <c r="C768" s="1"/>
      <c r="D768" s="1"/>
    </row>
    <row r="769" spans="3:4" ht="15.75" customHeight="1">
      <c r="C769" s="1"/>
      <c r="D769" s="1"/>
    </row>
    <row r="770" spans="3:4" ht="15.75" customHeight="1">
      <c r="C770" s="1"/>
      <c r="D770" s="1"/>
    </row>
    <row r="771" spans="3:4" ht="15.75" customHeight="1">
      <c r="C771" s="1"/>
      <c r="D771" s="1"/>
    </row>
    <row r="772" spans="3:4" ht="15.75" customHeight="1">
      <c r="C772" s="1"/>
      <c r="D772" s="1"/>
    </row>
    <row r="773" spans="3:4" ht="15.75" customHeight="1">
      <c r="C773" s="1"/>
      <c r="D773" s="1"/>
    </row>
    <row r="774" spans="3:4" ht="15.75" customHeight="1">
      <c r="C774" s="1"/>
      <c r="D774" s="1"/>
    </row>
    <row r="775" spans="3:4" ht="15.75" customHeight="1">
      <c r="C775" s="1"/>
      <c r="D775" s="1"/>
    </row>
    <row r="776" spans="3:4" ht="15.75" customHeight="1">
      <c r="C776" s="1"/>
      <c r="D776" s="1"/>
    </row>
    <row r="777" spans="3:4" ht="15.75" customHeight="1">
      <c r="C777" s="1"/>
      <c r="D777" s="1"/>
    </row>
    <row r="778" spans="3:4" ht="15.75" customHeight="1">
      <c r="C778" s="1"/>
      <c r="D778" s="1"/>
    </row>
    <row r="779" spans="3:4" ht="15.75" customHeight="1">
      <c r="C779" s="1"/>
      <c r="D779" s="1"/>
    </row>
    <row r="780" spans="3:4" ht="15.75" customHeight="1">
      <c r="C780" s="1"/>
      <c r="D780" s="1"/>
    </row>
    <row r="781" spans="3:4" ht="15.75" customHeight="1">
      <c r="C781" s="1"/>
      <c r="D781" s="1"/>
    </row>
    <row r="782" spans="3:4" ht="15.75" customHeight="1">
      <c r="C782" s="1"/>
      <c r="D782" s="1"/>
    </row>
    <row r="783" spans="3:4" ht="15.75" customHeight="1">
      <c r="C783" s="1"/>
      <c r="D783" s="1"/>
    </row>
    <row r="784" spans="3:4" ht="15.75" customHeight="1">
      <c r="C784" s="1"/>
      <c r="D784" s="1"/>
    </row>
    <row r="785" spans="3:4" ht="15.75" customHeight="1">
      <c r="C785" s="1"/>
      <c r="D785" s="1"/>
    </row>
    <row r="786" spans="3:4" ht="15.75" customHeight="1">
      <c r="C786" s="1"/>
      <c r="D786" s="1"/>
    </row>
    <row r="787" spans="3:4" ht="15.75" customHeight="1">
      <c r="C787" s="1"/>
      <c r="D787" s="1"/>
    </row>
    <row r="788" spans="3:4" ht="15.75" customHeight="1">
      <c r="C788" s="1"/>
      <c r="D788" s="1"/>
    </row>
    <row r="789" spans="3:4" ht="15.75" customHeight="1">
      <c r="C789" s="1"/>
      <c r="D789" s="1"/>
    </row>
    <row r="790" spans="3:4" ht="15.75" customHeight="1">
      <c r="C790" s="1"/>
      <c r="D790" s="1"/>
    </row>
    <row r="791" spans="3:4" ht="15.75" customHeight="1">
      <c r="C791" s="1"/>
      <c r="D791" s="1"/>
    </row>
    <row r="792" spans="3:4" ht="15.75" customHeight="1">
      <c r="C792" s="1"/>
      <c r="D792" s="1"/>
    </row>
    <row r="793" spans="3:4" ht="15.75" customHeight="1">
      <c r="C793" s="1"/>
      <c r="D793" s="1"/>
    </row>
    <row r="794" spans="3:4" ht="15.75" customHeight="1">
      <c r="C794" s="1"/>
      <c r="D794" s="1"/>
    </row>
    <row r="795" spans="3:4" ht="15.75" customHeight="1">
      <c r="C795" s="1"/>
      <c r="D795" s="1"/>
    </row>
    <row r="796" spans="3:4" ht="15.75" customHeight="1">
      <c r="C796" s="1"/>
      <c r="D796" s="1"/>
    </row>
    <row r="797" spans="3:4" ht="15.75" customHeight="1">
      <c r="C797" s="1"/>
      <c r="D797" s="1"/>
    </row>
    <row r="798" spans="3:4" ht="15.75" customHeight="1">
      <c r="C798" s="1"/>
      <c r="D798" s="1"/>
    </row>
    <row r="799" spans="3:4" ht="15.75" customHeight="1">
      <c r="C799" s="1"/>
      <c r="D799" s="1"/>
    </row>
    <row r="800" spans="3:4" ht="15.75" customHeight="1">
      <c r="C800" s="1"/>
      <c r="D800" s="1"/>
    </row>
    <row r="801" spans="3:4" ht="15.75" customHeight="1">
      <c r="C801" s="1"/>
      <c r="D801" s="1"/>
    </row>
    <row r="802" spans="3:4" ht="15.75" customHeight="1">
      <c r="C802" s="1"/>
      <c r="D802" s="1"/>
    </row>
    <row r="803" spans="3:4" ht="15.75" customHeight="1">
      <c r="C803" s="1"/>
      <c r="D803" s="1"/>
    </row>
    <row r="804" spans="3:4" ht="15.75" customHeight="1">
      <c r="C804" s="1"/>
      <c r="D804" s="1"/>
    </row>
    <row r="805" spans="3:4" ht="15.75" customHeight="1">
      <c r="C805" s="1"/>
      <c r="D805" s="1"/>
    </row>
    <row r="806" spans="3:4" ht="15.75" customHeight="1">
      <c r="C806" s="1"/>
      <c r="D806" s="1"/>
    </row>
    <row r="807" spans="3:4" ht="15.75" customHeight="1">
      <c r="C807" s="1"/>
      <c r="D807" s="1"/>
    </row>
    <row r="808" spans="3:4" ht="15.75" customHeight="1">
      <c r="C808" s="1"/>
      <c r="D808" s="1"/>
    </row>
    <row r="809" spans="3:4" ht="15.75" customHeight="1">
      <c r="C809" s="1"/>
      <c r="D809" s="1"/>
    </row>
    <row r="810" spans="3:4" ht="15.75" customHeight="1">
      <c r="C810" s="1"/>
      <c r="D810" s="1"/>
    </row>
    <row r="811" spans="3:4" ht="15.75" customHeight="1">
      <c r="C811" s="1"/>
      <c r="D811" s="1"/>
    </row>
    <row r="812" spans="3:4" ht="15.75" customHeight="1">
      <c r="C812" s="1"/>
      <c r="D812" s="1"/>
    </row>
    <row r="813" spans="3:4" ht="15.75" customHeight="1">
      <c r="C813" s="1"/>
      <c r="D813" s="1"/>
    </row>
    <row r="814" spans="3:4" ht="15.75" customHeight="1">
      <c r="C814" s="1"/>
      <c r="D814" s="1"/>
    </row>
    <row r="815" spans="3:4" ht="15.75" customHeight="1">
      <c r="C815" s="1"/>
      <c r="D815" s="1"/>
    </row>
    <row r="816" spans="3:4" ht="15.75" customHeight="1">
      <c r="C816" s="1"/>
      <c r="D816" s="1"/>
    </row>
    <row r="817" spans="3:4" ht="15.75" customHeight="1">
      <c r="C817" s="1"/>
      <c r="D817" s="1"/>
    </row>
    <row r="818" spans="3:4" ht="15.75" customHeight="1">
      <c r="C818" s="1"/>
      <c r="D818" s="1"/>
    </row>
    <row r="819" spans="3:4" ht="15.75" customHeight="1">
      <c r="C819" s="1"/>
      <c r="D819" s="1"/>
    </row>
    <row r="820" spans="3:4" ht="15.75" customHeight="1">
      <c r="C820" s="1"/>
      <c r="D820" s="1"/>
    </row>
    <row r="821" spans="3:4" ht="15.75" customHeight="1">
      <c r="C821" s="1"/>
      <c r="D821" s="1"/>
    </row>
    <row r="822" spans="3:4" ht="15.75" customHeight="1">
      <c r="C822" s="1"/>
      <c r="D822" s="1"/>
    </row>
    <row r="823" spans="3:4" ht="15.75" customHeight="1">
      <c r="C823" s="1"/>
      <c r="D823" s="1"/>
    </row>
    <row r="824" spans="3:4" ht="15.75" customHeight="1">
      <c r="C824" s="1"/>
      <c r="D824" s="1"/>
    </row>
    <row r="825" spans="3:4" ht="15.75" customHeight="1">
      <c r="C825" s="1"/>
      <c r="D825" s="1"/>
    </row>
    <row r="826" spans="3:4" ht="15.75" customHeight="1">
      <c r="C826" s="1"/>
      <c r="D826" s="1"/>
    </row>
    <row r="827" spans="3:4" ht="15.75" customHeight="1">
      <c r="C827" s="1"/>
      <c r="D827" s="1"/>
    </row>
    <row r="828" spans="3:4" ht="15.75" customHeight="1">
      <c r="C828" s="1"/>
      <c r="D828" s="1"/>
    </row>
    <row r="829" spans="3:4" ht="15.75" customHeight="1">
      <c r="C829" s="1"/>
      <c r="D829" s="1"/>
    </row>
    <row r="830" spans="3:4" ht="15.75" customHeight="1">
      <c r="C830" s="1"/>
      <c r="D830" s="1"/>
    </row>
    <row r="831" spans="3:4" ht="15.75" customHeight="1">
      <c r="C831" s="1"/>
      <c r="D831" s="1"/>
    </row>
    <row r="832" spans="3:4" ht="15.75" customHeight="1">
      <c r="C832" s="1"/>
      <c r="D832" s="1"/>
    </row>
    <row r="833" spans="3:4" ht="15.75" customHeight="1">
      <c r="C833" s="1"/>
      <c r="D833" s="1"/>
    </row>
    <row r="834" spans="3:4" ht="15.75" customHeight="1">
      <c r="C834" s="1"/>
      <c r="D834" s="1"/>
    </row>
    <row r="835" spans="3:4" ht="15.75" customHeight="1">
      <c r="C835" s="1"/>
      <c r="D835" s="1"/>
    </row>
    <row r="836" spans="3:4" ht="15.75" customHeight="1">
      <c r="C836" s="1"/>
      <c r="D836" s="1"/>
    </row>
    <row r="837" spans="3:4" ht="15.75" customHeight="1">
      <c r="C837" s="1"/>
      <c r="D837" s="1"/>
    </row>
    <row r="838" spans="3:4" ht="15.75" customHeight="1">
      <c r="C838" s="1"/>
      <c r="D838" s="1"/>
    </row>
    <row r="839" spans="3:4" ht="15.75" customHeight="1">
      <c r="C839" s="1"/>
      <c r="D839" s="1"/>
    </row>
    <row r="840" spans="3:4" ht="15.75" customHeight="1">
      <c r="C840" s="1"/>
      <c r="D840" s="1"/>
    </row>
    <row r="841" spans="3:4" ht="15.75" customHeight="1">
      <c r="C841" s="1"/>
      <c r="D841" s="1"/>
    </row>
    <row r="842" spans="3:4" ht="15.75" customHeight="1">
      <c r="C842" s="1"/>
      <c r="D842" s="1"/>
    </row>
    <row r="843" spans="3:4" ht="15.75" customHeight="1">
      <c r="C843" s="1"/>
      <c r="D843" s="1"/>
    </row>
    <row r="844" spans="3:4" ht="15.75" customHeight="1">
      <c r="C844" s="1"/>
      <c r="D844" s="1"/>
    </row>
    <row r="845" spans="3:4" ht="15.75" customHeight="1">
      <c r="C845" s="1"/>
      <c r="D845" s="1"/>
    </row>
    <row r="846" spans="3:4" ht="15.75" customHeight="1">
      <c r="C846" s="1"/>
      <c r="D846" s="1"/>
    </row>
    <row r="847" spans="3:4" ht="15.75" customHeight="1">
      <c r="C847" s="1"/>
      <c r="D847" s="1"/>
    </row>
    <row r="848" spans="3:4" ht="15.75" customHeight="1">
      <c r="C848" s="1"/>
      <c r="D848" s="1"/>
    </row>
    <row r="849" spans="3:4" ht="15.75" customHeight="1">
      <c r="C849" s="1"/>
      <c r="D849" s="1"/>
    </row>
    <row r="850" spans="3:4" ht="15.75" customHeight="1">
      <c r="C850" s="1"/>
      <c r="D850" s="1"/>
    </row>
    <row r="851" spans="3:4" ht="15.75" customHeight="1">
      <c r="C851" s="1"/>
      <c r="D851" s="1"/>
    </row>
    <row r="852" spans="3:4" ht="15.75" customHeight="1">
      <c r="C852" s="1"/>
      <c r="D852" s="1"/>
    </row>
    <row r="853" spans="3:4" ht="15.75" customHeight="1">
      <c r="C853" s="1"/>
      <c r="D853" s="1"/>
    </row>
    <row r="854" spans="3:4" ht="15.75" customHeight="1">
      <c r="C854" s="1"/>
      <c r="D854" s="1"/>
    </row>
    <row r="855" spans="3:4" ht="15.75" customHeight="1">
      <c r="C855" s="1"/>
      <c r="D855" s="1"/>
    </row>
    <row r="856" spans="3:4" ht="15.75" customHeight="1">
      <c r="C856" s="1"/>
      <c r="D856" s="1"/>
    </row>
    <row r="857" spans="3:4" ht="15.75" customHeight="1">
      <c r="C857" s="1"/>
      <c r="D857" s="1"/>
    </row>
    <row r="858" spans="3:4" ht="15.75" customHeight="1">
      <c r="C858" s="1"/>
      <c r="D858" s="1"/>
    </row>
    <row r="859" spans="3:4" ht="15.75" customHeight="1">
      <c r="C859" s="1"/>
      <c r="D859" s="1"/>
    </row>
    <row r="860" spans="3:4" ht="15.75" customHeight="1">
      <c r="C860" s="1"/>
      <c r="D860" s="1"/>
    </row>
    <row r="861" spans="3:4" ht="15.75" customHeight="1">
      <c r="C861" s="1"/>
      <c r="D861" s="1"/>
    </row>
    <row r="862" spans="3:4" ht="15.75" customHeight="1">
      <c r="C862" s="1"/>
      <c r="D862" s="1"/>
    </row>
    <row r="863" spans="3:4" ht="15.75" customHeight="1">
      <c r="C863" s="1"/>
      <c r="D863" s="1"/>
    </row>
    <row r="864" spans="3:4" ht="15.75" customHeight="1">
      <c r="C864" s="1"/>
      <c r="D864" s="1"/>
    </row>
    <row r="865" spans="3:4" ht="15.75" customHeight="1">
      <c r="C865" s="1"/>
      <c r="D865" s="1"/>
    </row>
    <row r="866" spans="3:4" ht="15.75" customHeight="1">
      <c r="C866" s="1"/>
      <c r="D866" s="1"/>
    </row>
    <row r="867" spans="3:4" ht="15.75" customHeight="1">
      <c r="C867" s="1"/>
      <c r="D867" s="1"/>
    </row>
    <row r="868" spans="3:4" ht="15.75" customHeight="1">
      <c r="C868" s="1"/>
      <c r="D868" s="1"/>
    </row>
    <row r="869" spans="3:4" ht="15.75" customHeight="1">
      <c r="C869" s="1"/>
      <c r="D869" s="1"/>
    </row>
    <row r="870" spans="3:4" ht="15.75" customHeight="1">
      <c r="C870" s="1"/>
      <c r="D870" s="1"/>
    </row>
    <row r="871" spans="3:4" ht="15.75" customHeight="1">
      <c r="C871" s="1"/>
      <c r="D871" s="1"/>
    </row>
    <row r="872" spans="3:4" ht="15.75" customHeight="1">
      <c r="C872" s="1"/>
      <c r="D872" s="1"/>
    </row>
    <row r="873" spans="3:4" ht="15.75" customHeight="1">
      <c r="C873" s="1"/>
      <c r="D873" s="1"/>
    </row>
    <row r="874" spans="3:4" ht="15.75" customHeight="1">
      <c r="C874" s="1"/>
      <c r="D874" s="1"/>
    </row>
    <row r="875" spans="3:4" ht="15.75" customHeight="1">
      <c r="C875" s="1"/>
      <c r="D875" s="1"/>
    </row>
    <row r="876" spans="3:4" ht="15.75" customHeight="1">
      <c r="C876" s="1"/>
      <c r="D876" s="1"/>
    </row>
    <row r="877" spans="3:4" ht="15.75" customHeight="1">
      <c r="C877" s="1"/>
      <c r="D877" s="1"/>
    </row>
    <row r="878" spans="3:4" ht="15.75" customHeight="1">
      <c r="C878" s="1"/>
      <c r="D878" s="1"/>
    </row>
    <row r="879" spans="3:4" ht="15.75" customHeight="1">
      <c r="C879" s="1"/>
      <c r="D879" s="1"/>
    </row>
    <row r="880" spans="3:4" ht="15.75" customHeight="1">
      <c r="C880" s="1"/>
      <c r="D880" s="1"/>
    </row>
    <row r="881" spans="3:4" ht="15.75" customHeight="1">
      <c r="C881" s="1"/>
      <c r="D881" s="1"/>
    </row>
    <row r="882" spans="3:4" ht="15.75" customHeight="1">
      <c r="C882" s="1"/>
      <c r="D882" s="1"/>
    </row>
    <row r="883" spans="3:4" ht="15.75" customHeight="1">
      <c r="C883" s="1"/>
      <c r="D883" s="1"/>
    </row>
    <row r="884" spans="3:4" ht="15.75" customHeight="1">
      <c r="C884" s="1"/>
      <c r="D884" s="1"/>
    </row>
    <row r="885" spans="3:4" ht="15.75" customHeight="1">
      <c r="C885" s="1"/>
      <c r="D885" s="1"/>
    </row>
    <row r="886" spans="3:4" ht="15.75" customHeight="1">
      <c r="C886" s="1"/>
      <c r="D886" s="1"/>
    </row>
    <row r="887" spans="3:4" ht="15.75" customHeight="1">
      <c r="C887" s="1"/>
      <c r="D887" s="1"/>
    </row>
    <row r="888" spans="3:4" ht="15.75" customHeight="1">
      <c r="C888" s="1"/>
      <c r="D888" s="1"/>
    </row>
    <row r="889" spans="3:4" ht="15.75" customHeight="1">
      <c r="C889" s="1"/>
      <c r="D889" s="1"/>
    </row>
    <row r="890" spans="3:4" ht="15.75" customHeight="1">
      <c r="C890" s="1"/>
      <c r="D890" s="1"/>
    </row>
    <row r="891" spans="3:4" ht="15.75" customHeight="1">
      <c r="C891" s="1"/>
      <c r="D891" s="1"/>
    </row>
    <row r="892" spans="3:4" ht="15.75" customHeight="1">
      <c r="C892" s="1"/>
      <c r="D892" s="1"/>
    </row>
    <row r="893" spans="3:4" ht="15.75" customHeight="1">
      <c r="C893" s="1"/>
      <c r="D893" s="1"/>
    </row>
    <row r="894" spans="3:4" ht="15.75" customHeight="1">
      <c r="C894" s="1"/>
      <c r="D894" s="1"/>
    </row>
    <row r="895" spans="3:4" ht="15.75" customHeight="1">
      <c r="C895" s="1"/>
      <c r="D895" s="1"/>
    </row>
    <row r="896" spans="3:4" ht="15.75" customHeight="1">
      <c r="C896" s="1"/>
      <c r="D896" s="1"/>
    </row>
    <row r="897" spans="3:4" ht="15.75" customHeight="1">
      <c r="C897" s="1"/>
      <c r="D897" s="1"/>
    </row>
    <row r="898" spans="3:4" ht="15.75" customHeight="1">
      <c r="C898" s="1"/>
      <c r="D898" s="1"/>
    </row>
    <row r="899" spans="3:4" ht="15.75" customHeight="1">
      <c r="C899" s="1"/>
      <c r="D899" s="1"/>
    </row>
    <row r="900" spans="3:4" ht="15.75" customHeight="1">
      <c r="C900" s="1"/>
      <c r="D900" s="1"/>
    </row>
    <row r="901" spans="3:4" ht="15.75" customHeight="1">
      <c r="C901" s="1"/>
      <c r="D901" s="1"/>
    </row>
    <row r="902" spans="3:4" ht="15.75" customHeight="1">
      <c r="C902" s="1"/>
      <c r="D902" s="1"/>
    </row>
    <row r="903" spans="3:4" ht="15.75" customHeight="1">
      <c r="C903" s="1"/>
      <c r="D903" s="1"/>
    </row>
    <row r="904" spans="3:4" ht="15.75" customHeight="1">
      <c r="C904" s="1"/>
      <c r="D904" s="1"/>
    </row>
    <row r="905" spans="3:4" ht="15.75" customHeight="1">
      <c r="C905" s="1"/>
      <c r="D905" s="1"/>
    </row>
    <row r="906" spans="3:4" ht="15.75" customHeight="1">
      <c r="C906" s="1"/>
      <c r="D906" s="1"/>
    </row>
    <row r="907" spans="3:4" ht="15.75" customHeight="1">
      <c r="C907" s="1"/>
      <c r="D907" s="1"/>
    </row>
    <row r="908" spans="3:4" ht="15.75" customHeight="1">
      <c r="C908" s="1"/>
      <c r="D908" s="1"/>
    </row>
    <row r="909" spans="3:4" ht="15.75" customHeight="1">
      <c r="C909" s="1"/>
      <c r="D909" s="1"/>
    </row>
    <row r="910" spans="3:4" ht="15.75" customHeight="1">
      <c r="C910" s="1"/>
      <c r="D910" s="1"/>
    </row>
    <row r="911" spans="3:4" ht="15.75" customHeight="1">
      <c r="C911" s="1"/>
      <c r="D911" s="1"/>
    </row>
    <row r="912" spans="3:4" ht="15.75" customHeight="1">
      <c r="C912" s="1"/>
      <c r="D912" s="1"/>
    </row>
    <row r="913" spans="3:4" ht="15.75" customHeight="1">
      <c r="C913" s="1"/>
      <c r="D913" s="1"/>
    </row>
    <row r="914" spans="3:4" ht="15.75" customHeight="1">
      <c r="C914" s="1"/>
      <c r="D914" s="1"/>
    </row>
    <row r="915" spans="3:4" ht="15.75" customHeight="1">
      <c r="C915" s="1"/>
      <c r="D915" s="1"/>
    </row>
    <row r="916" spans="3:4" ht="15.75" customHeight="1">
      <c r="C916" s="1"/>
      <c r="D916" s="1"/>
    </row>
    <row r="917" spans="3:4" ht="15.75" customHeight="1">
      <c r="C917" s="1"/>
      <c r="D917" s="1"/>
    </row>
    <row r="918" spans="3:4" ht="15.75" customHeight="1">
      <c r="C918" s="1"/>
      <c r="D918" s="1"/>
    </row>
    <row r="919" spans="3:4" ht="15.75" customHeight="1">
      <c r="C919" s="1"/>
      <c r="D919" s="1"/>
    </row>
    <row r="920" spans="3:4" ht="15.75" customHeight="1">
      <c r="C920" s="1"/>
      <c r="D920" s="1"/>
    </row>
    <row r="921" spans="3:4" ht="15.75" customHeight="1">
      <c r="C921" s="1"/>
      <c r="D921" s="1"/>
    </row>
    <row r="922" spans="3:4" ht="15.75" customHeight="1">
      <c r="C922" s="1"/>
      <c r="D922" s="1"/>
    </row>
    <row r="923" spans="3:4" ht="15.75" customHeight="1">
      <c r="C923" s="1"/>
      <c r="D923" s="1"/>
    </row>
    <row r="924" spans="3:4" ht="15.75" customHeight="1">
      <c r="C924" s="1"/>
      <c r="D924" s="1"/>
    </row>
    <row r="925" spans="3:4" ht="15.75" customHeight="1">
      <c r="C925" s="1"/>
      <c r="D925" s="1"/>
    </row>
    <row r="926" spans="3:4" ht="15.75" customHeight="1">
      <c r="C926" s="1"/>
      <c r="D926" s="1"/>
    </row>
    <row r="927" spans="3:4" ht="15.75" customHeight="1">
      <c r="C927" s="1"/>
      <c r="D927" s="1"/>
    </row>
    <row r="928" spans="3:4" ht="15.75" customHeight="1">
      <c r="C928" s="1"/>
      <c r="D928" s="1"/>
    </row>
    <row r="929" spans="3:4" ht="15.75" customHeight="1">
      <c r="C929" s="1"/>
      <c r="D929" s="1"/>
    </row>
    <row r="930" spans="3:4" ht="15.75" customHeight="1">
      <c r="C930" s="1"/>
      <c r="D930" s="1"/>
    </row>
    <row r="931" spans="3:4" ht="15.75" customHeight="1">
      <c r="C931" s="1"/>
      <c r="D931" s="1"/>
    </row>
    <row r="932" spans="3:4" ht="15.75" customHeight="1">
      <c r="C932" s="1"/>
      <c r="D932" s="1"/>
    </row>
    <row r="933" spans="3:4" ht="15.75" customHeight="1">
      <c r="C933" s="1"/>
      <c r="D933" s="1"/>
    </row>
    <row r="934" spans="3:4" ht="15.75" customHeight="1">
      <c r="C934" s="1"/>
      <c r="D934" s="1"/>
    </row>
    <row r="935" spans="3:4" ht="15.75" customHeight="1">
      <c r="C935" s="1"/>
      <c r="D935" s="1"/>
    </row>
    <row r="936" spans="3:4" ht="15.75" customHeight="1">
      <c r="C936" s="1"/>
      <c r="D936" s="1"/>
    </row>
    <row r="937" spans="3:4" ht="15.75" customHeight="1">
      <c r="C937" s="1"/>
      <c r="D937" s="1"/>
    </row>
    <row r="938" spans="3:4" ht="15.75" customHeight="1">
      <c r="C938" s="1"/>
      <c r="D938" s="1"/>
    </row>
    <row r="939" spans="3:4" ht="15.75" customHeight="1">
      <c r="C939" s="1"/>
      <c r="D939" s="1"/>
    </row>
    <row r="940" spans="3:4" ht="15.75" customHeight="1">
      <c r="C940" s="1"/>
      <c r="D940" s="1"/>
    </row>
    <row r="941" spans="3:4" ht="15.75" customHeight="1">
      <c r="C941" s="1"/>
      <c r="D941" s="1"/>
    </row>
    <row r="942" spans="3:4" ht="15.75" customHeight="1">
      <c r="C942" s="1"/>
      <c r="D942" s="1"/>
    </row>
    <row r="943" spans="3:4" ht="15.75" customHeight="1">
      <c r="C943" s="1"/>
      <c r="D943" s="1"/>
    </row>
    <row r="944" spans="3:4" ht="15.75" customHeight="1">
      <c r="C944" s="1"/>
      <c r="D944" s="1"/>
    </row>
    <row r="945" spans="3:4" ht="15.75" customHeight="1">
      <c r="C945" s="1"/>
      <c r="D945" s="1"/>
    </row>
    <row r="946" spans="3:4" ht="15.75" customHeight="1">
      <c r="C946" s="1"/>
      <c r="D946" s="1"/>
    </row>
    <row r="947" spans="3:4" ht="15.75" customHeight="1">
      <c r="C947" s="1"/>
      <c r="D947" s="1"/>
    </row>
    <row r="948" spans="3:4" ht="15.75" customHeight="1">
      <c r="C948" s="1"/>
      <c r="D948" s="1"/>
    </row>
    <row r="949" spans="3:4" ht="15.75" customHeight="1">
      <c r="C949" s="1"/>
      <c r="D949" s="1"/>
    </row>
    <row r="950" spans="3:4" ht="15.75" customHeight="1">
      <c r="C950" s="1"/>
      <c r="D950" s="1"/>
    </row>
    <row r="951" spans="3:4" ht="15.75" customHeight="1">
      <c r="C951" s="1"/>
      <c r="D951" s="1"/>
    </row>
    <row r="952" spans="3:4" ht="15.75" customHeight="1">
      <c r="C952" s="1"/>
      <c r="D952" s="1"/>
    </row>
    <row r="953" spans="3:4" ht="15.75" customHeight="1">
      <c r="C953" s="1"/>
      <c r="D953" s="1"/>
    </row>
    <row r="954" spans="3:4" ht="15.75" customHeight="1">
      <c r="C954" s="1"/>
      <c r="D954" s="1"/>
    </row>
    <row r="955" spans="3:4" ht="15.75" customHeight="1">
      <c r="C955" s="1"/>
      <c r="D955" s="1"/>
    </row>
    <row r="956" spans="3:4" ht="15.75" customHeight="1">
      <c r="C956" s="1"/>
      <c r="D956" s="1"/>
    </row>
    <row r="957" spans="3:4" ht="15.75" customHeight="1">
      <c r="C957" s="1"/>
      <c r="D957" s="1"/>
    </row>
    <row r="958" spans="3:4" ht="15.75" customHeight="1">
      <c r="C958" s="1"/>
      <c r="D958" s="1"/>
    </row>
    <row r="959" spans="3:4" ht="15.75" customHeight="1">
      <c r="C959" s="1"/>
      <c r="D959" s="1"/>
    </row>
    <row r="960" spans="3:4" ht="15.75" customHeight="1">
      <c r="C960" s="1"/>
      <c r="D960" s="1"/>
    </row>
    <row r="961" spans="3:4" ht="15.75" customHeight="1">
      <c r="C961" s="1"/>
      <c r="D961" s="1"/>
    </row>
    <row r="962" spans="3:4" ht="15.75" customHeight="1">
      <c r="C962" s="1"/>
      <c r="D962" s="1"/>
    </row>
    <row r="963" spans="3:4" ht="15.75" customHeight="1">
      <c r="C963" s="1"/>
      <c r="D963" s="1"/>
    </row>
    <row r="964" spans="3:4" ht="15.75" customHeight="1">
      <c r="C964" s="1"/>
      <c r="D964" s="1"/>
    </row>
    <row r="965" spans="3:4" ht="15.75" customHeight="1">
      <c r="C965" s="1"/>
      <c r="D965" s="1"/>
    </row>
    <row r="966" spans="3:4" ht="15.75" customHeight="1">
      <c r="C966" s="1"/>
      <c r="D966" s="1"/>
    </row>
    <row r="967" spans="3:4" ht="15.75" customHeight="1">
      <c r="C967" s="1"/>
      <c r="D967" s="1"/>
    </row>
    <row r="968" spans="3:4" ht="15.75" customHeight="1">
      <c r="C968" s="1"/>
      <c r="D968" s="1"/>
    </row>
    <row r="969" spans="3:4" ht="15.75" customHeight="1">
      <c r="C969" s="1"/>
      <c r="D969" s="1"/>
    </row>
    <row r="970" spans="3:4" ht="15.75" customHeight="1">
      <c r="C970" s="1"/>
      <c r="D970" s="1"/>
    </row>
    <row r="971" spans="3:4" ht="15.75" customHeight="1">
      <c r="C971" s="1"/>
      <c r="D971" s="1"/>
    </row>
    <row r="972" spans="3:4" ht="15.75" customHeight="1">
      <c r="C972" s="1"/>
      <c r="D972" s="1"/>
    </row>
    <row r="973" spans="3:4" ht="15.75" customHeight="1">
      <c r="C973" s="1"/>
      <c r="D973" s="1"/>
    </row>
    <row r="974" spans="3:4" ht="15.75" customHeight="1">
      <c r="C974" s="1"/>
      <c r="D974" s="1"/>
    </row>
    <row r="975" spans="3:4" ht="15.75" customHeight="1">
      <c r="C975" s="1"/>
      <c r="D975" s="1"/>
    </row>
    <row r="976" spans="3:4" ht="15.75" customHeight="1">
      <c r="C976" s="1"/>
      <c r="D976" s="1"/>
    </row>
    <row r="977" spans="3:4" ht="15.75" customHeight="1">
      <c r="C977" s="1"/>
      <c r="D977" s="1"/>
    </row>
    <row r="978" spans="3:4" ht="15.75" customHeight="1">
      <c r="C978" s="1"/>
      <c r="D978" s="1"/>
    </row>
    <row r="979" spans="3:4" ht="15.75" customHeight="1">
      <c r="C979" s="1"/>
      <c r="D979" s="1"/>
    </row>
    <row r="980" spans="3:4" ht="15.75" customHeight="1">
      <c r="C980" s="1"/>
      <c r="D980" s="1"/>
    </row>
    <row r="981" spans="3:4" ht="15.75" customHeight="1">
      <c r="C981" s="1"/>
      <c r="D981" s="1"/>
    </row>
    <row r="982" spans="3:4" ht="15.75" customHeight="1">
      <c r="C982" s="1"/>
      <c r="D982" s="1"/>
    </row>
    <row r="983" spans="3:4" ht="15.75" customHeight="1">
      <c r="C983" s="1"/>
      <c r="D983" s="1"/>
    </row>
    <row r="984" spans="3:4" ht="15.75" customHeight="1">
      <c r="C984" s="1"/>
      <c r="D984" s="1"/>
    </row>
    <row r="985" spans="3:4" ht="15.75" customHeight="1">
      <c r="C985" s="1"/>
      <c r="D985" s="1"/>
    </row>
    <row r="986" spans="3:4" ht="15.75" customHeight="1">
      <c r="C986" s="1"/>
      <c r="D986" s="1"/>
    </row>
    <row r="987" spans="3:4" ht="15.75" customHeight="1">
      <c r="C987" s="1"/>
      <c r="D987" s="1"/>
    </row>
    <row r="988" spans="3:4" ht="15.75" customHeight="1">
      <c r="C988" s="1"/>
      <c r="D988" s="1"/>
    </row>
    <row r="989" spans="3:4" ht="15.75" customHeight="1">
      <c r="C989" s="1"/>
      <c r="D989" s="1"/>
    </row>
    <row r="990" spans="3:4" ht="15.75" customHeight="1">
      <c r="C990" s="1"/>
      <c r="D990" s="1"/>
    </row>
    <row r="991" spans="3:4" ht="15.75" customHeight="1">
      <c r="C991" s="1"/>
      <c r="D991" s="1"/>
    </row>
    <row r="992" spans="3:4" ht="15.75" customHeight="1">
      <c r="C992" s="1"/>
      <c r="D992" s="1"/>
    </row>
    <row r="993" spans="3:4" ht="15.75" customHeight="1">
      <c r="C993" s="1"/>
      <c r="D993" s="1"/>
    </row>
    <row r="994" spans="3:4" ht="15.75" customHeight="1">
      <c r="C994" s="1"/>
      <c r="D994" s="1"/>
    </row>
    <row r="995" spans="3:4" ht="15.75" customHeight="1">
      <c r="C995" s="1"/>
      <c r="D995" s="1"/>
    </row>
    <row r="996" spans="3:4" ht="15.75" customHeight="1">
      <c r="C996" s="1"/>
      <c r="D996" s="1"/>
    </row>
    <row r="997" spans="3:4" ht="15.75" customHeight="1">
      <c r="C997" s="1"/>
      <c r="D997" s="1"/>
    </row>
    <row r="998" spans="3:4" ht="15.75" customHeight="1">
      <c r="C998" s="1"/>
      <c r="D998" s="1"/>
    </row>
    <row r="999" spans="3:4" ht="15.75" customHeight="1">
      <c r="C999" s="1"/>
      <c r="D999" s="1"/>
    </row>
    <row r="1000" spans="3:4" ht="15.75" customHeight="1">
      <c r="C1000" s="1"/>
      <c r="D1000" s="1"/>
    </row>
    <row r="1001" spans="3:4" ht="15.75" customHeight="1">
      <c r="C1001" s="1"/>
      <c r="D1001" s="1"/>
    </row>
    <row r="1002" spans="3:4" ht="15.75" customHeight="1">
      <c r="C1002" s="1"/>
      <c r="D1002" s="1"/>
    </row>
    <row r="1003" spans="3:4" ht="15.75" customHeight="1">
      <c r="C1003" s="1"/>
      <c r="D1003" s="1"/>
    </row>
    <row r="1004" spans="3:4" ht="15.75" customHeight="1">
      <c r="C1004" s="1"/>
      <c r="D1004" s="1"/>
    </row>
    <row r="1005" spans="3:4" ht="15.75" customHeight="1">
      <c r="C1005" s="1"/>
      <c r="D1005" s="1"/>
    </row>
    <row r="1006" spans="3:4" ht="15.75" customHeight="1">
      <c r="C1006" s="1"/>
      <c r="D1006" s="1"/>
    </row>
    <row r="1007" spans="3:4" ht="15.75" customHeight="1">
      <c r="C1007" s="1"/>
      <c r="D1007" s="1"/>
    </row>
    <row r="1008" spans="3:4" ht="15.75" customHeight="1">
      <c r="C1008" s="1"/>
      <c r="D1008" s="1"/>
    </row>
    <row r="1009" spans="3:4" ht="15.75" customHeight="1">
      <c r="C1009" s="1"/>
      <c r="D1009" s="1"/>
    </row>
    <row r="1010" spans="3:4" ht="15.75" customHeight="1">
      <c r="C1010" s="1"/>
      <c r="D1010" s="1"/>
    </row>
    <row r="1011" spans="3:4" ht="15.75" customHeight="1">
      <c r="C1011" s="1"/>
      <c r="D1011" s="1"/>
    </row>
  </sheetData>
  <autoFilter ref="B2:J2" xr:uid="{00000000-0001-0000-0000-000000000000}"/>
  <mergeCells count="1">
    <mergeCell ref="E1:J1"/>
  </mergeCells>
  <pageMargins left="0.7" right="0.7" top="0.75" bottom="0.75" header="0" footer="0"/>
  <pageSetup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ECD4-2CC8-6D49-A785-43FBC87BEB03}">
  <sheetPr>
    <tabColor theme="1" tint="0.499984740745262"/>
  </sheetPr>
  <dimension ref="A1:H33"/>
  <sheetViews>
    <sheetView workbookViewId="0">
      <selection activeCell="A27" sqref="A27:XFD31"/>
    </sheetView>
  </sheetViews>
  <sheetFormatPr defaultColWidth="0" defaultRowHeight="15.6"/>
  <cols>
    <col min="1" max="1" width="8.75" customWidth="1"/>
    <col min="2" max="2" width="60.75" customWidth="1"/>
    <col min="3" max="3" width="17.25" customWidth="1"/>
    <col min="4" max="4" width="17.75" customWidth="1"/>
    <col min="5" max="5" width="23" customWidth="1"/>
    <col min="6" max="9" width="8.75" customWidth="1"/>
  </cols>
  <sheetData>
    <row r="1" spans="1:6">
      <c r="A1" t="s">
        <v>415</v>
      </c>
      <c r="B1" t="s">
        <v>416</v>
      </c>
      <c r="C1" t="s">
        <v>417</v>
      </c>
      <c r="D1" s="74">
        <v>46027</v>
      </c>
      <c r="E1" s="74">
        <v>46029</v>
      </c>
      <c r="F1" s="89" t="s">
        <v>58</v>
      </c>
    </row>
    <row r="2" spans="1:6">
      <c r="D2" s="47"/>
      <c r="E2" s="47"/>
      <c r="F2" s="47"/>
    </row>
    <row r="3" spans="1:6">
      <c r="A3" t="s">
        <v>418</v>
      </c>
      <c r="B3" t="s">
        <v>419</v>
      </c>
      <c r="C3" t="s">
        <v>166</v>
      </c>
      <c r="D3" s="74">
        <v>46027</v>
      </c>
      <c r="E3" s="74">
        <v>46029</v>
      </c>
      <c r="F3" s="89" t="s">
        <v>58</v>
      </c>
    </row>
    <row r="4" spans="1:6">
      <c r="D4" s="47"/>
      <c r="E4" s="47"/>
      <c r="F4" s="47"/>
    </row>
    <row r="5" spans="1:6">
      <c r="A5" t="s">
        <v>420</v>
      </c>
      <c r="B5" t="s">
        <v>421</v>
      </c>
      <c r="C5" t="s">
        <v>166</v>
      </c>
      <c r="D5" s="74">
        <v>46027</v>
      </c>
      <c r="E5" s="74">
        <v>46031</v>
      </c>
      <c r="F5" s="89" t="s">
        <v>58</v>
      </c>
    </row>
    <row r="6" spans="1:6">
      <c r="D6" s="47"/>
      <c r="E6" s="47"/>
      <c r="F6" s="47"/>
    </row>
    <row r="7" spans="1:6">
      <c r="A7" t="s">
        <v>422</v>
      </c>
      <c r="B7" t="s">
        <v>423</v>
      </c>
      <c r="C7" t="s">
        <v>20</v>
      </c>
      <c r="D7" s="74">
        <v>46027</v>
      </c>
      <c r="E7" s="75">
        <v>46029.333333333336</v>
      </c>
      <c r="F7" s="89" t="s">
        <v>58</v>
      </c>
    </row>
    <row r="8" spans="1:6">
      <c r="D8" s="47"/>
      <c r="E8" s="47"/>
      <c r="F8" s="47"/>
    </row>
    <row r="9" spans="1:6">
      <c r="A9" t="s">
        <v>424</v>
      </c>
      <c r="B9" t="s">
        <v>425</v>
      </c>
      <c r="C9" t="s">
        <v>426</v>
      </c>
      <c r="D9" s="74">
        <v>46027</v>
      </c>
      <c r="E9" s="74">
        <v>46030</v>
      </c>
      <c r="F9" s="89" t="s">
        <v>58</v>
      </c>
    </row>
    <row r="11" spans="1:6">
      <c r="A11" t="s">
        <v>427</v>
      </c>
      <c r="B11" t="s">
        <v>428</v>
      </c>
      <c r="C11" t="s">
        <v>301</v>
      </c>
      <c r="D11" s="74">
        <v>46027</v>
      </c>
      <c r="E11" s="74">
        <v>46028</v>
      </c>
      <c r="F11" s="89" t="s">
        <v>58</v>
      </c>
    </row>
    <row r="13" spans="1:6">
      <c r="A13" t="s">
        <v>429</v>
      </c>
      <c r="B13" t="s">
        <v>430</v>
      </c>
      <c r="C13" t="s">
        <v>431</v>
      </c>
      <c r="D13" s="74">
        <v>46028</v>
      </c>
      <c r="E13" s="74">
        <v>46029</v>
      </c>
      <c r="F13" s="89" t="s">
        <v>58</v>
      </c>
    </row>
    <row r="14" spans="1:6">
      <c r="D14" s="47"/>
      <c r="E14" s="47"/>
      <c r="F14" s="47"/>
    </row>
    <row r="15" spans="1:6">
      <c r="A15" t="s">
        <v>432</v>
      </c>
      <c r="B15" t="s">
        <v>433</v>
      </c>
      <c r="C15" t="s">
        <v>166</v>
      </c>
      <c r="D15" s="74">
        <v>46028</v>
      </c>
      <c r="E15" s="74">
        <v>46029</v>
      </c>
      <c r="F15" s="89" t="s">
        <v>58</v>
      </c>
    </row>
    <row r="16" spans="1:6">
      <c r="D16" s="47"/>
      <c r="E16" s="47"/>
      <c r="F16" s="47"/>
    </row>
    <row r="17" spans="1:8">
      <c r="A17" t="s">
        <v>434</v>
      </c>
      <c r="B17" t="s">
        <v>435</v>
      </c>
      <c r="C17" t="s">
        <v>166</v>
      </c>
      <c r="D17" s="74">
        <v>46028</v>
      </c>
      <c r="E17" s="74">
        <v>46029</v>
      </c>
      <c r="F17" s="89" t="s">
        <v>58</v>
      </c>
      <c r="G17" s="85" t="s">
        <v>18</v>
      </c>
      <c r="H17" t="s">
        <v>18</v>
      </c>
    </row>
    <row r="18" spans="1:8">
      <c r="D18" s="47"/>
      <c r="E18" s="47"/>
      <c r="F18" s="47"/>
    </row>
    <row r="19" spans="1:8">
      <c r="A19" t="s">
        <v>436</v>
      </c>
      <c r="B19" t="s">
        <v>437</v>
      </c>
      <c r="C19" t="s">
        <v>166</v>
      </c>
      <c r="D19" s="74">
        <v>46028</v>
      </c>
      <c r="E19" s="74">
        <v>46031</v>
      </c>
      <c r="F19" s="89" t="s">
        <v>58</v>
      </c>
    </row>
    <row r="21" spans="1:8">
      <c r="A21" t="s">
        <v>438</v>
      </c>
      <c r="B21" t="s">
        <v>439</v>
      </c>
      <c r="C21" t="s">
        <v>166</v>
      </c>
      <c r="D21" s="74">
        <v>46029</v>
      </c>
      <c r="E21" s="74">
        <v>46031</v>
      </c>
      <c r="F21" s="88" t="s">
        <v>58</v>
      </c>
    </row>
    <row r="22" spans="1:8">
      <c r="D22" s="47"/>
      <c r="E22" s="47"/>
      <c r="F22" s="47"/>
    </row>
    <row r="23" spans="1:8">
      <c r="A23" t="s">
        <v>440</v>
      </c>
      <c r="B23" t="s">
        <v>441</v>
      </c>
      <c r="C23" t="s">
        <v>38</v>
      </c>
      <c r="D23" s="74">
        <v>46029</v>
      </c>
      <c r="E23" s="74">
        <v>46029</v>
      </c>
      <c r="F23" s="88" t="s">
        <v>58</v>
      </c>
    </row>
    <row r="24" spans="1:8">
      <c r="D24" s="47"/>
      <c r="E24" s="47"/>
      <c r="F24" s="47"/>
    </row>
    <row r="25" spans="1:8">
      <c r="A25" t="s">
        <v>442</v>
      </c>
      <c r="B25" t="s">
        <v>443</v>
      </c>
      <c r="C25" t="s">
        <v>20</v>
      </c>
      <c r="D25" s="74">
        <v>46029</v>
      </c>
      <c r="E25" s="74">
        <v>46034</v>
      </c>
      <c r="F25" s="88" t="s">
        <v>58</v>
      </c>
    </row>
    <row r="27" spans="1:8">
      <c r="A27" t="s">
        <v>444</v>
      </c>
      <c r="B27" t="s">
        <v>445</v>
      </c>
      <c r="C27" t="s">
        <v>166</v>
      </c>
      <c r="D27" s="74">
        <v>46029</v>
      </c>
      <c r="E27" s="74">
        <v>46031</v>
      </c>
      <c r="F27" s="88" t="s">
        <v>58</v>
      </c>
    </row>
    <row r="28" spans="1:8">
      <c r="D28" s="47"/>
      <c r="E28" s="47"/>
      <c r="F28" s="47"/>
    </row>
    <row r="29" spans="1:8">
      <c r="A29" t="s">
        <v>446</v>
      </c>
      <c r="B29" t="s">
        <v>447</v>
      </c>
      <c r="C29" t="s">
        <v>38</v>
      </c>
      <c r="D29" s="74">
        <v>46029</v>
      </c>
      <c r="E29" s="74">
        <v>46036</v>
      </c>
      <c r="F29" s="88" t="s">
        <v>58</v>
      </c>
    </row>
    <row r="30" spans="1:8">
      <c r="D30" s="47"/>
      <c r="E30" s="47"/>
      <c r="F30" s="47"/>
    </row>
    <row r="31" spans="1:8">
      <c r="A31" t="s">
        <v>448</v>
      </c>
      <c r="B31" t="s">
        <v>449</v>
      </c>
      <c r="C31" t="s">
        <v>38</v>
      </c>
      <c r="D31" s="74">
        <v>46029</v>
      </c>
      <c r="E31" s="74">
        <v>46031</v>
      </c>
      <c r="F31" s="88" t="s">
        <v>58</v>
      </c>
    </row>
    <row r="33" spans="1:6">
      <c r="A33" t="s">
        <v>450</v>
      </c>
      <c r="B33" t="s">
        <v>451</v>
      </c>
      <c r="C33" t="s">
        <v>301</v>
      </c>
      <c r="D33" s="74">
        <v>46029</v>
      </c>
      <c r="E33" s="74">
        <v>46048</v>
      </c>
      <c r="F33" s="88" t="s">
        <v>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1A76-58AC-B247-83DC-358B46C63781}">
  <sheetPr>
    <tabColor theme="1" tint="0.499984740745262"/>
  </sheetPr>
  <dimension ref="B1:DT1008"/>
  <sheetViews>
    <sheetView zoomScale="150" zoomScaleNormal="140" workbookViewId="0">
      <pane xSplit="3" ySplit="2" topLeftCell="E5" activePane="bottomRight" state="frozen"/>
      <selection pane="bottomRight" activeCell="G13" sqref="G13"/>
      <selection pane="bottomLeft" activeCell="A3" sqref="A3"/>
      <selection pane="topRight" activeCell="D1" sqref="D1"/>
    </sheetView>
  </sheetViews>
  <sheetFormatPr defaultColWidth="11.25" defaultRowHeight="15.6"/>
  <cols>
    <col min="1" max="1" width="3" customWidth="1"/>
    <col min="2" max="2" width="26.25" style="48" customWidth="1"/>
    <col min="3" max="3" width="10.75" customWidth="1"/>
    <col min="4" max="4" width="10" hidden="1" customWidth="1"/>
    <col min="5" max="5" width="13" customWidth="1"/>
    <col min="6" max="6" width="14.25" customWidth="1"/>
    <col min="7" max="7" width="13.25" customWidth="1"/>
    <col min="8" max="9" width="12.5" customWidth="1"/>
    <col min="10" max="12" width="12.75" customWidth="1"/>
    <col min="13" max="24" width="3.75" customWidth="1"/>
    <col min="25" max="25" width="26" hidden="1" customWidth="1"/>
    <col min="26" max="26" width="13.25" hidden="1" customWidth="1"/>
    <col min="27" max="27" width="14.75" customWidth="1"/>
    <col min="28" max="29" width="10.75" customWidth="1"/>
    <col min="30" max="31" width="10.75" hidden="1" customWidth="1"/>
    <col min="32" max="123" width="3.75" customWidth="1"/>
    <col min="124" max="124" width="7.25" customWidth="1"/>
  </cols>
  <sheetData>
    <row r="1" spans="2:124" ht="15.75" customHeight="1" thickBot="1">
      <c r="C1" s="1"/>
      <c r="D1" s="1"/>
      <c r="E1" s="548" t="s">
        <v>0</v>
      </c>
      <c r="F1" s="548"/>
      <c r="G1" s="548"/>
      <c r="H1" s="548"/>
      <c r="I1" s="548"/>
      <c r="J1" s="54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</row>
    <row r="2" spans="2:124" ht="33" thickBot="1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315</v>
      </c>
      <c r="L2" s="4" t="s">
        <v>316</v>
      </c>
      <c r="M2" s="4" t="s">
        <v>317</v>
      </c>
      <c r="N2" s="4" t="s">
        <v>318</v>
      </c>
      <c r="O2" s="4" t="s">
        <v>319</v>
      </c>
      <c r="P2" s="4" t="s">
        <v>320</v>
      </c>
      <c r="Q2" s="4" t="s">
        <v>321</v>
      </c>
      <c r="R2" s="4" t="s">
        <v>322</v>
      </c>
      <c r="S2" s="4" t="s">
        <v>323</v>
      </c>
      <c r="T2" s="4" t="s">
        <v>324</v>
      </c>
      <c r="U2" s="4" t="s">
        <v>325</v>
      </c>
      <c r="V2" s="4" t="s">
        <v>326</v>
      </c>
      <c r="W2" s="4" t="s">
        <v>327</v>
      </c>
      <c r="X2" s="4" t="s">
        <v>328</v>
      </c>
      <c r="Y2" s="4" t="s">
        <v>10</v>
      </c>
      <c r="Z2" s="4" t="s">
        <v>329</v>
      </c>
      <c r="AA2" s="4" t="s">
        <v>330</v>
      </c>
      <c r="AB2" s="4" t="s">
        <v>331</v>
      </c>
      <c r="AC2" s="4" t="s">
        <v>332</v>
      </c>
      <c r="AD2" s="4" t="s">
        <v>333</v>
      </c>
      <c r="AE2" s="4" t="s">
        <v>334</v>
      </c>
      <c r="AF2" s="25">
        <v>46024</v>
      </c>
      <c r="AG2" s="26">
        <f t="shared" ref="AG2:CR2" si="0">AF2+1</f>
        <v>46025</v>
      </c>
      <c r="AH2" s="26">
        <f t="shared" si="0"/>
        <v>46026</v>
      </c>
      <c r="AI2" s="25">
        <f t="shared" si="0"/>
        <v>46027</v>
      </c>
      <c r="AJ2" s="25">
        <f t="shared" si="0"/>
        <v>46028</v>
      </c>
      <c r="AK2" s="25">
        <f t="shared" si="0"/>
        <v>46029</v>
      </c>
      <c r="AL2" s="25">
        <f t="shared" si="0"/>
        <v>46030</v>
      </c>
      <c r="AM2" s="25">
        <f t="shared" si="0"/>
        <v>46031</v>
      </c>
      <c r="AN2" s="26">
        <f t="shared" si="0"/>
        <v>46032</v>
      </c>
      <c r="AO2" s="26">
        <f t="shared" si="0"/>
        <v>46033</v>
      </c>
      <c r="AP2" s="25">
        <f t="shared" si="0"/>
        <v>46034</v>
      </c>
      <c r="AQ2" s="25">
        <f t="shared" si="0"/>
        <v>46035</v>
      </c>
      <c r="AR2" s="25">
        <f t="shared" si="0"/>
        <v>46036</v>
      </c>
      <c r="AS2" s="25">
        <f t="shared" si="0"/>
        <v>46037</v>
      </c>
      <c r="AT2" s="25">
        <f t="shared" si="0"/>
        <v>46038</v>
      </c>
      <c r="AU2" s="26">
        <f t="shared" si="0"/>
        <v>46039</v>
      </c>
      <c r="AV2" s="26">
        <f t="shared" si="0"/>
        <v>46040</v>
      </c>
      <c r="AW2" s="25">
        <f t="shared" si="0"/>
        <v>46041</v>
      </c>
      <c r="AX2" s="25">
        <f t="shared" si="0"/>
        <v>46042</v>
      </c>
      <c r="AY2" s="25">
        <f t="shared" si="0"/>
        <v>46043</v>
      </c>
      <c r="AZ2" s="25">
        <f t="shared" si="0"/>
        <v>46044</v>
      </c>
      <c r="BA2" s="25">
        <f t="shared" si="0"/>
        <v>46045</v>
      </c>
      <c r="BB2" s="26">
        <f t="shared" si="0"/>
        <v>46046</v>
      </c>
      <c r="BC2" s="26">
        <f t="shared" si="0"/>
        <v>46047</v>
      </c>
      <c r="BD2" s="25">
        <f t="shared" si="0"/>
        <v>46048</v>
      </c>
      <c r="BE2" s="25">
        <f t="shared" si="0"/>
        <v>46049</v>
      </c>
      <c r="BF2" s="25">
        <f t="shared" si="0"/>
        <v>46050</v>
      </c>
      <c r="BG2" s="25">
        <f t="shared" si="0"/>
        <v>46051</v>
      </c>
      <c r="BH2" s="25">
        <f t="shared" si="0"/>
        <v>46052</v>
      </c>
      <c r="BI2" s="26">
        <f t="shared" si="0"/>
        <v>46053</v>
      </c>
      <c r="BJ2" s="26">
        <f t="shared" si="0"/>
        <v>46054</v>
      </c>
      <c r="BK2" s="25">
        <f t="shared" si="0"/>
        <v>46055</v>
      </c>
      <c r="BL2" s="25">
        <f t="shared" si="0"/>
        <v>46056</v>
      </c>
      <c r="BM2" s="25">
        <f t="shared" si="0"/>
        <v>46057</v>
      </c>
      <c r="BN2" s="25">
        <f t="shared" si="0"/>
        <v>46058</v>
      </c>
      <c r="BO2" s="25">
        <f t="shared" si="0"/>
        <v>46059</v>
      </c>
      <c r="BP2" s="26">
        <f t="shared" si="0"/>
        <v>46060</v>
      </c>
      <c r="BQ2" s="26">
        <f t="shared" si="0"/>
        <v>46061</v>
      </c>
      <c r="BR2" s="25">
        <f t="shared" si="0"/>
        <v>46062</v>
      </c>
      <c r="BS2" s="25">
        <f t="shared" si="0"/>
        <v>46063</v>
      </c>
      <c r="BT2" s="25">
        <f t="shared" si="0"/>
        <v>46064</v>
      </c>
      <c r="BU2" s="25">
        <f t="shared" si="0"/>
        <v>46065</v>
      </c>
      <c r="BV2" s="25">
        <f t="shared" si="0"/>
        <v>46066</v>
      </c>
      <c r="BW2" s="26">
        <f t="shared" si="0"/>
        <v>46067</v>
      </c>
      <c r="BX2" s="26">
        <f t="shared" si="0"/>
        <v>46068</v>
      </c>
      <c r="BY2" s="25">
        <f t="shared" si="0"/>
        <v>46069</v>
      </c>
      <c r="BZ2" s="25">
        <f t="shared" si="0"/>
        <v>46070</v>
      </c>
      <c r="CA2" s="25">
        <f t="shared" si="0"/>
        <v>46071</v>
      </c>
      <c r="CB2" s="25">
        <f t="shared" si="0"/>
        <v>46072</v>
      </c>
      <c r="CC2" s="25">
        <f t="shared" si="0"/>
        <v>46073</v>
      </c>
      <c r="CD2" s="26">
        <f t="shared" si="0"/>
        <v>46074</v>
      </c>
      <c r="CE2" s="26">
        <f t="shared" si="0"/>
        <v>46075</v>
      </c>
      <c r="CF2" s="25">
        <f t="shared" si="0"/>
        <v>46076</v>
      </c>
      <c r="CG2" s="25">
        <f t="shared" si="0"/>
        <v>46077</v>
      </c>
      <c r="CH2" s="25">
        <f t="shared" si="0"/>
        <v>46078</v>
      </c>
      <c r="CI2" s="25">
        <f t="shared" si="0"/>
        <v>46079</v>
      </c>
      <c r="CJ2" s="25">
        <f t="shared" si="0"/>
        <v>46080</v>
      </c>
      <c r="CK2" s="26">
        <f t="shared" si="0"/>
        <v>46081</v>
      </c>
      <c r="CL2" s="26">
        <f t="shared" si="0"/>
        <v>46082</v>
      </c>
      <c r="CM2" s="25">
        <f t="shared" si="0"/>
        <v>46083</v>
      </c>
      <c r="CN2" s="25">
        <f t="shared" si="0"/>
        <v>46084</v>
      </c>
      <c r="CO2" s="25">
        <f t="shared" si="0"/>
        <v>46085</v>
      </c>
      <c r="CP2" s="25">
        <f t="shared" si="0"/>
        <v>46086</v>
      </c>
      <c r="CQ2" s="25">
        <f t="shared" si="0"/>
        <v>46087</v>
      </c>
      <c r="CR2" s="26">
        <f t="shared" si="0"/>
        <v>46088</v>
      </c>
      <c r="CS2" s="26">
        <f t="shared" ref="CS2:CY2" si="1">CR2+1</f>
        <v>46089</v>
      </c>
      <c r="CT2" s="25">
        <f t="shared" si="1"/>
        <v>46090</v>
      </c>
      <c r="CU2" s="25">
        <f t="shared" si="1"/>
        <v>46091</v>
      </c>
      <c r="CV2" s="25">
        <f t="shared" si="1"/>
        <v>46092</v>
      </c>
      <c r="CW2" s="25">
        <f t="shared" si="1"/>
        <v>46093</v>
      </c>
      <c r="CX2" s="25">
        <f t="shared" si="1"/>
        <v>46094</v>
      </c>
      <c r="CY2" s="26">
        <f t="shared" si="1"/>
        <v>46095</v>
      </c>
      <c r="CZ2" s="26">
        <f>CY2+1</f>
        <v>46096</v>
      </c>
      <c r="DA2" s="25">
        <f t="shared" ref="DA2:DS2" si="2">CZ2+1</f>
        <v>46097</v>
      </c>
      <c r="DB2" s="25">
        <f t="shared" si="2"/>
        <v>46098</v>
      </c>
      <c r="DC2" s="25">
        <f t="shared" si="2"/>
        <v>46099</v>
      </c>
      <c r="DD2" s="25">
        <f t="shared" si="2"/>
        <v>46100</v>
      </c>
      <c r="DE2" s="25">
        <f t="shared" si="2"/>
        <v>46101</v>
      </c>
      <c r="DF2" s="26">
        <f t="shared" si="2"/>
        <v>46102</v>
      </c>
      <c r="DG2" s="26">
        <f>DF2+1</f>
        <v>46103</v>
      </c>
      <c r="DH2" s="25">
        <f t="shared" si="2"/>
        <v>46104</v>
      </c>
      <c r="DI2" s="25">
        <f t="shared" si="2"/>
        <v>46105</v>
      </c>
      <c r="DJ2" s="25">
        <f t="shared" si="2"/>
        <v>46106</v>
      </c>
      <c r="DK2" s="25">
        <f t="shared" si="2"/>
        <v>46107</v>
      </c>
      <c r="DL2" s="25">
        <f t="shared" si="2"/>
        <v>46108</v>
      </c>
      <c r="DM2" s="26">
        <f t="shared" si="2"/>
        <v>46109</v>
      </c>
      <c r="DN2" s="26">
        <f>DL2+1</f>
        <v>46109</v>
      </c>
      <c r="DO2" s="25">
        <f t="shared" si="2"/>
        <v>46110</v>
      </c>
      <c r="DP2" s="25">
        <f t="shared" si="2"/>
        <v>46111</v>
      </c>
      <c r="DQ2" s="25">
        <f t="shared" si="2"/>
        <v>46112</v>
      </c>
      <c r="DR2" s="25">
        <f t="shared" si="2"/>
        <v>46113</v>
      </c>
      <c r="DS2" s="25">
        <f t="shared" si="2"/>
        <v>46114</v>
      </c>
      <c r="DT2" s="24" t="s">
        <v>335</v>
      </c>
    </row>
    <row r="3" spans="2:124" ht="30" customHeight="1" thickTop="1" thickBot="1">
      <c r="B3" s="42" t="s">
        <v>93</v>
      </c>
      <c r="C3" s="6" t="s">
        <v>20</v>
      </c>
      <c r="D3" s="6"/>
      <c r="E3" s="148">
        <v>46015</v>
      </c>
      <c r="F3" s="147">
        <v>46029</v>
      </c>
      <c r="G3" s="155">
        <f>F3+2</f>
        <v>46031</v>
      </c>
      <c r="H3" s="92" t="s">
        <v>16</v>
      </c>
      <c r="I3" s="177">
        <f>G3+7</f>
        <v>46038</v>
      </c>
      <c r="J3" s="156">
        <f>I3</f>
        <v>46038</v>
      </c>
      <c r="K3" s="156">
        <v>46038</v>
      </c>
      <c r="L3" s="94">
        <v>46048</v>
      </c>
      <c r="M3" s="72" t="s">
        <v>336</v>
      </c>
      <c r="N3" s="23"/>
      <c r="O3" s="72" t="s">
        <v>336</v>
      </c>
      <c r="P3" s="23"/>
      <c r="Q3" s="23"/>
      <c r="R3" s="23"/>
      <c r="S3" s="23"/>
      <c r="T3" s="23"/>
      <c r="U3" s="23"/>
      <c r="V3" s="23"/>
      <c r="W3" s="23"/>
      <c r="X3" s="23"/>
      <c r="Y3" s="7"/>
      <c r="Z3" s="13">
        <v>575</v>
      </c>
      <c r="AA3" s="34">
        <v>55</v>
      </c>
      <c r="AB3" s="13">
        <v>1</v>
      </c>
      <c r="AC3" s="13" t="s">
        <v>338</v>
      </c>
      <c r="AD3" s="13">
        <f>AA3/Capacity!$B$2</f>
        <v>7.8571428571428568</v>
      </c>
      <c r="AE3" s="13">
        <f>AA3/Capacity!$B$3</f>
        <v>6.875</v>
      </c>
      <c r="AF3" s="13"/>
      <c r="AG3" s="83"/>
      <c r="AH3" s="83"/>
      <c r="AI3" s="13"/>
      <c r="AJ3" s="13"/>
      <c r="AK3" s="13"/>
      <c r="AL3" s="13"/>
      <c r="AM3" s="13"/>
      <c r="AN3" s="83"/>
      <c r="AO3" s="83"/>
      <c r="AP3" s="13"/>
      <c r="AQ3" s="13"/>
      <c r="AR3" s="13"/>
      <c r="AS3" s="13"/>
      <c r="AT3" s="13" t="s">
        <v>146</v>
      </c>
      <c r="AU3" s="83"/>
      <c r="AV3" s="83"/>
      <c r="AW3" s="13" t="s">
        <v>146</v>
      </c>
      <c r="AX3" s="13" t="s">
        <v>146</v>
      </c>
      <c r="AY3" s="13" t="s">
        <v>146</v>
      </c>
      <c r="AZ3" s="13" t="s">
        <v>146</v>
      </c>
      <c r="BA3" s="13" t="s">
        <v>146</v>
      </c>
      <c r="BB3" s="83"/>
      <c r="BC3" s="83"/>
      <c r="BD3" s="13" t="s">
        <v>146</v>
      </c>
      <c r="BE3" s="35" t="s">
        <v>341</v>
      </c>
      <c r="BF3" s="13"/>
      <c r="BG3" s="13"/>
      <c r="BH3" s="13"/>
      <c r="BI3" s="83"/>
      <c r="BJ3" s="83"/>
      <c r="BK3" s="13"/>
      <c r="BL3" s="13"/>
      <c r="BM3" s="13"/>
      <c r="BN3" s="13"/>
      <c r="BO3" s="13"/>
      <c r="BP3" s="83"/>
      <c r="BQ3" s="83"/>
      <c r="BR3" s="13"/>
      <c r="BS3" s="13"/>
      <c r="BT3" s="13"/>
      <c r="BU3" s="13"/>
      <c r="BV3" s="13"/>
      <c r="BW3" s="83"/>
      <c r="BX3" s="83"/>
      <c r="BY3" s="13"/>
      <c r="BZ3" s="13"/>
      <c r="CA3" s="13"/>
      <c r="CB3" s="13"/>
      <c r="CC3" s="13"/>
      <c r="CD3" s="83"/>
      <c r="CE3" s="83"/>
      <c r="CF3" s="13"/>
      <c r="CG3" s="13"/>
      <c r="CH3" s="13"/>
      <c r="CI3" s="13"/>
      <c r="CJ3" s="13"/>
      <c r="CK3" s="83"/>
      <c r="CL3" s="83"/>
      <c r="CM3" s="13"/>
      <c r="CN3" s="13"/>
      <c r="CO3" s="13"/>
      <c r="CP3" s="13"/>
      <c r="CQ3" s="13"/>
      <c r="CR3" s="83"/>
      <c r="CS3" s="83"/>
      <c r="CT3" s="13"/>
      <c r="CU3" s="13"/>
      <c r="CV3" s="13"/>
      <c r="CW3" s="13"/>
      <c r="CX3" s="13"/>
      <c r="CY3" s="83"/>
      <c r="CZ3" s="83"/>
      <c r="DA3" s="13"/>
      <c r="DB3" s="13"/>
      <c r="DC3" s="13"/>
      <c r="DD3" s="13"/>
      <c r="DE3" s="13"/>
      <c r="DF3" s="83"/>
      <c r="DG3" s="83"/>
      <c r="DH3" s="13"/>
      <c r="DI3" s="13"/>
      <c r="DJ3" s="13"/>
      <c r="DK3" s="13"/>
      <c r="DL3" s="13"/>
      <c r="DM3" s="83"/>
      <c r="DN3" s="83"/>
      <c r="DO3" s="13"/>
      <c r="DP3" s="13"/>
      <c r="DQ3" s="13"/>
      <c r="DR3" s="13"/>
      <c r="DS3" s="13"/>
      <c r="DT3" s="13">
        <f t="shared" ref="DT3:DT28" si="3">COUNTIF(AF3:DS3,"X")</f>
        <v>7</v>
      </c>
    </row>
    <row r="4" spans="2:124" ht="30" customHeight="1" thickBot="1">
      <c r="B4" s="42" t="s">
        <v>94</v>
      </c>
      <c r="C4" s="6" t="s">
        <v>20</v>
      </c>
      <c r="D4" s="6"/>
      <c r="E4" s="148">
        <v>46015</v>
      </c>
      <c r="F4" s="147">
        <v>46029</v>
      </c>
      <c r="G4" s="155">
        <f>F4+2</f>
        <v>46031</v>
      </c>
      <c r="H4" s="92" t="s">
        <v>16</v>
      </c>
      <c r="I4" s="152">
        <f>G4+7</f>
        <v>46038</v>
      </c>
      <c r="J4" s="156">
        <f t="shared" ref="J4:J22" si="4">I4</f>
        <v>46038</v>
      </c>
      <c r="K4" s="156">
        <v>46038</v>
      </c>
      <c r="L4" s="94">
        <v>46052</v>
      </c>
      <c r="M4" s="72" t="s">
        <v>336</v>
      </c>
      <c r="N4" s="23"/>
      <c r="O4" s="72" t="s">
        <v>336</v>
      </c>
      <c r="P4" s="23"/>
      <c r="Q4" s="23"/>
      <c r="R4" s="23"/>
      <c r="S4" s="23"/>
      <c r="T4" s="23"/>
      <c r="U4" s="23"/>
      <c r="V4" s="23"/>
      <c r="W4" s="23"/>
      <c r="X4" s="23"/>
      <c r="Y4" s="7"/>
      <c r="Z4" s="13"/>
      <c r="AA4" s="34">
        <v>85</v>
      </c>
      <c r="AB4" s="13">
        <v>2</v>
      </c>
      <c r="AC4" s="13" t="s">
        <v>340</v>
      </c>
      <c r="AD4" s="13">
        <f>AA4/Capacity!$B$2</f>
        <v>12.142857142857142</v>
      </c>
      <c r="AE4" s="13">
        <f>AA4/Capacity!$B$3</f>
        <v>10.625</v>
      </c>
      <c r="AF4" s="13"/>
      <c r="AG4" s="83"/>
      <c r="AH4" s="83"/>
      <c r="AI4" s="13"/>
      <c r="AJ4" s="13"/>
      <c r="AK4" s="13"/>
      <c r="AL4" s="13"/>
      <c r="AM4" s="13"/>
      <c r="AN4" s="83"/>
      <c r="AO4" s="83"/>
      <c r="AP4" s="13"/>
      <c r="AQ4" s="13"/>
      <c r="AR4" s="13"/>
      <c r="AS4" s="13"/>
      <c r="AT4" s="13" t="s">
        <v>146</v>
      </c>
      <c r="AU4" s="83"/>
      <c r="AV4" s="83"/>
      <c r="AW4" s="13" t="s">
        <v>146</v>
      </c>
      <c r="AX4" s="13" t="s">
        <v>146</v>
      </c>
      <c r="AY4" s="13" t="s">
        <v>146</v>
      </c>
      <c r="AZ4" s="13" t="s">
        <v>146</v>
      </c>
      <c r="BA4" s="13" t="s">
        <v>146</v>
      </c>
      <c r="BB4" s="83"/>
      <c r="BC4" s="83"/>
      <c r="BD4" s="13" t="s">
        <v>146</v>
      </c>
      <c r="BE4" s="13" t="s">
        <v>146</v>
      </c>
      <c r="BF4" s="13" t="s">
        <v>146</v>
      </c>
      <c r="BG4" s="13" t="s">
        <v>146</v>
      </c>
      <c r="BH4" s="13" t="s">
        <v>146</v>
      </c>
      <c r="BI4" s="83"/>
      <c r="BJ4" s="83"/>
      <c r="BK4" s="35" t="s">
        <v>411</v>
      </c>
      <c r="BL4" s="13"/>
      <c r="BM4" s="13"/>
      <c r="BN4" s="13"/>
      <c r="BO4" s="13"/>
      <c r="BP4" s="83"/>
      <c r="BQ4" s="83"/>
      <c r="BR4" s="13"/>
      <c r="BS4" s="13"/>
      <c r="BT4" s="13"/>
      <c r="BU4" s="13"/>
      <c r="BV4" s="13"/>
      <c r="BW4" s="83"/>
      <c r="BX4" s="83"/>
      <c r="BY4" s="13"/>
      <c r="BZ4" s="13"/>
      <c r="CA4" s="13"/>
      <c r="CB4" s="13"/>
      <c r="CC4" s="13"/>
      <c r="CD4" s="83"/>
      <c r="CE4" s="83"/>
      <c r="CF4" s="13"/>
      <c r="CG4" s="13"/>
      <c r="CH4" s="13"/>
      <c r="CI4" s="13"/>
      <c r="CJ4" s="13"/>
      <c r="CK4" s="83"/>
      <c r="CL4" s="83"/>
      <c r="CM4" s="13"/>
      <c r="CN4" s="13"/>
      <c r="CO4" s="13"/>
      <c r="CP4" s="13"/>
      <c r="CQ4" s="13"/>
      <c r="CR4" s="83"/>
      <c r="CS4" s="83"/>
      <c r="CT4" s="13"/>
      <c r="CU4" s="13"/>
      <c r="CV4" s="13"/>
      <c r="CW4" s="13"/>
      <c r="CX4" s="13"/>
      <c r="CY4" s="83"/>
      <c r="CZ4" s="83"/>
      <c r="DA4" s="13"/>
      <c r="DB4" s="13"/>
      <c r="DC4" s="13"/>
      <c r="DD4" s="13"/>
      <c r="DE4" s="13"/>
      <c r="DF4" s="83"/>
      <c r="DG4" s="83"/>
      <c r="DH4" s="13"/>
      <c r="DI4" s="13"/>
      <c r="DJ4" s="13"/>
      <c r="DK4" s="13"/>
      <c r="DL4" s="13"/>
      <c r="DM4" s="83"/>
      <c r="DN4" s="83"/>
      <c r="DO4" s="13"/>
      <c r="DP4" s="13"/>
      <c r="DQ4" s="13"/>
      <c r="DR4" s="13"/>
      <c r="DS4" s="13"/>
      <c r="DT4" s="13">
        <f t="shared" si="3"/>
        <v>11</v>
      </c>
    </row>
    <row r="5" spans="2:124" ht="30" customHeight="1" thickBot="1">
      <c r="B5" s="42" t="s">
        <v>96</v>
      </c>
      <c r="C5" s="6" t="s">
        <v>20</v>
      </c>
      <c r="D5" s="6"/>
      <c r="E5" s="148">
        <v>46015</v>
      </c>
      <c r="F5" s="147">
        <v>46031</v>
      </c>
      <c r="G5" s="154">
        <f t="shared" ref="F5:G19" si="5">F5+7</f>
        <v>46038</v>
      </c>
      <c r="H5" s="92" t="s">
        <v>16</v>
      </c>
      <c r="I5" s="90">
        <f t="shared" ref="I5:I13" si="6">G5+7</f>
        <v>46045</v>
      </c>
      <c r="J5" s="94">
        <f t="shared" si="4"/>
        <v>46045</v>
      </c>
      <c r="K5" s="94">
        <v>46055</v>
      </c>
      <c r="L5" s="94">
        <v>46066</v>
      </c>
      <c r="M5" s="72" t="s">
        <v>336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7"/>
      <c r="Z5" s="13"/>
      <c r="AA5" s="34">
        <v>75</v>
      </c>
      <c r="AB5" s="13">
        <v>4</v>
      </c>
      <c r="AC5" s="13" t="s">
        <v>340</v>
      </c>
      <c r="AD5" s="13">
        <f>AA5/Capacity!$B$2</f>
        <v>10.714285714285714</v>
      </c>
      <c r="AE5" s="13">
        <f>AA5/Capacity!$B$3</f>
        <v>9.375</v>
      </c>
      <c r="AF5" s="13"/>
      <c r="AG5" s="83"/>
      <c r="AH5" s="83"/>
      <c r="AI5" s="13"/>
      <c r="AJ5" s="13"/>
      <c r="AK5" s="13"/>
      <c r="AL5" s="13"/>
      <c r="AM5" s="13"/>
      <c r="AN5" s="83"/>
      <c r="AO5" s="83"/>
      <c r="AP5" s="13"/>
      <c r="AQ5" s="13"/>
      <c r="AR5" s="13"/>
      <c r="AS5" s="13"/>
      <c r="AT5" s="13"/>
      <c r="AU5" s="83"/>
      <c r="AV5" s="83"/>
      <c r="AW5" s="13"/>
      <c r="AX5" s="13"/>
      <c r="AY5" s="13"/>
      <c r="AZ5" s="13"/>
      <c r="BA5" s="13"/>
      <c r="BB5" s="83"/>
      <c r="BC5" s="83"/>
      <c r="BD5" s="13"/>
      <c r="BE5" s="13"/>
      <c r="BF5" s="13"/>
      <c r="BG5" s="13"/>
      <c r="BH5" s="13"/>
      <c r="BI5" s="83"/>
      <c r="BJ5" s="83"/>
      <c r="BK5" s="13" t="s">
        <v>146</v>
      </c>
      <c r="BL5" s="13" t="s">
        <v>146</v>
      </c>
      <c r="BM5" s="13" t="s">
        <v>146</v>
      </c>
      <c r="BN5" s="13" t="s">
        <v>146</v>
      </c>
      <c r="BO5" s="13" t="s">
        <v>146</v>
      </c>
      <c r="BP5" s="83"/>
      <c r="BQ5" s="83"/>
      <c r="BR5" s="13" t="s">
        <v>146</v>
      </c>
      <c r="BS5" s="13" t="s">
        <v>146</v>
      </c>
      <c r="BT5" s="13" t="s">
        <v>146</v>
      </c>
      <c r="BU5" s="13" t="s">
        <v>146</v>
      </c>
      <c r="BV5" s="13" t="s">
        <v>146</v>
      </c>
      <c r="BW5" s="83"/>
      <c r="BX5" s="83"/>
      <c r="BY5" s="35" t="s">
        <v>411</v>
      </c>
      <c r="BZ5" s="13"/>
      <c r="CA5" s="13"/>
      <c r="CB5" s="13"/>
      <c r="CC5" s="13"/>
      <c r="CD5" s="83"/>
      <c r="CE5" s="83"/>
      <c r="CF5" s="13"/>
      <c r="CG5" s="13"/>
      <c r="CH5" s="13"/>
      <c r="CI5" s="13"/>
      <c r="CJ5" s="13"/>
      <c r="CK5" s="83"/>
      <c r="CL5" s="83"/>
      <c r="CM5" s="13"/>
      <c r="CN5" s="13"/>
      <c r="CO5" s="13"/>
      <c r="CP5" s="13"/>
      <c r="CQ5" s="13"/>
      <c r="CR5" s="83"/>
      <c r="CS5" s="83"/>
      <c r="CT5" s="13"/>
      <c r="CU5" s="13"/>
      <c r="CV5" s="13"/>
      <c r="CW5" s="13"/>
      <c r="CX5" s="13"/>
      <c r="CY5" s="83"/>
      <c r="CZ5" s="83"/>
      <c r="DA5" s="13"/>
      <c r="DB5" s="13"/>
      <c r="DC5" s="13"/>
      <c r="DD5" s="13"/>
      <c r="DE5" s="13"/>
      <c r="DF5" s="83"/>
      <c r="DG5" s="83"/>
      <c r="DH5" s="13"/>
      <c r="DI5" s="13"/>
      <c r="DJ5" s="13"/>
      <c r="DK5" s="13"/>
      <c r="DL5" s="13"/>
      <c r="DM5" s="83"/>
      <c r="DN5" s="83"/>
      <c r="DO5" s="13"/>
      <c r="DP5" s="13"/>
      <c r="DQ5" s="13"/>
      <c r="DR5" s="13"/>
      <c r="DS5" s="13"/>
      <c r="DT5" s="13">
        <f t="shared" si="3"/>
        <v>10</v>
      </c>
    </row>
    <row r="6" spans="2:124" ht="30" customHeight="1" thickBot="1">
      <c r="B6" s="42" t="s">
        <v>98</v>
      </c>
      <c r="C6" s="6" t="s">
        <v>20</v>
      </c>
      <c r="D6" s="6"/>
      <c r="E6" s="148">
        <v>46015</v>
      </c>
      <c r="F6" s="147">
        <v>46031</v>
      </c>
      <c r="G6" s="154">
        <f t="shared" si="5"/>
        <v>46038</v>
      </c>
      <c r="H6" s="92" t="s">
        <v>16</v>
      </c>
      <c r="I6" s="90">
        <f>G6+5</f>
        <v>46043</v>
      </c>
      <c r="J6" s="94">
        <f t="shared" si="4"/>
        <v>46043</v>
      </c>
      <c r="K6" s="94">
        <v>46049</v>
      </c>
      <c r="L6" s="94">
        <v>46055</v>
      </c>
      <c r="M6" s="72" t="s">
        <v>336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7"/>
      <c r="Z6" s="13"/>
      <c r="AA6" s="34">
        <v>40</v>
      </c>
      <c r="AB6" s="13">
        <v>3</v>
      </c>
      <c r="AC6" s="13" t="s">
        <v>346</v>
      </c>
      <c r="AD6" s="13">
        <f>AA6/Capacity!$B$2</f>
        <v>5.7142857142857144</v>
      </c>
      <c r="AE6" s="13">
        <f>AA6/Capacity!$B$3</f>
        <v>5</v>
      </c>
      <c r="AF6" s="13"/>
      <c r="AG6" s="83"/>
      <c r="AH6" s="83"/>
      <c r="AI6" s="13"/>
      <c r="AJ6" s="13"/>
      <c r="AK6" s="13"/>
      <c r="AL6" s="13"/>
      <c r="AM6" s="13"/>
      <c r="AN6" s="83"/>
      <c r="AO6" s="83"/>
      <c r="AP6" s="13"/>
      <c r="AQ6" s="13"/>
      <c r="AR6" s="13"/>
      <c r="AS6" s="13"/>
      <c r="AT6" s="13"/>
      <c r="AU6" s="83"/>
      <c r="AV6" s="83"/>
      <c r="AW6" s="13"/>
      <c r="AX6" s="13"/>
      <c r="AY6" s="13" t="s">
        <v>18</v>
      </c>
      <c r="AZ6" s="13" t="s">
        <v>18</v>
      </c>
      <c r="BA6" s="13" t="s">
        <v>18</v>
      </c>
      <c r="BB6" s="83"/>
      <c r="BC6" s="83"/>
      <c r="BD6" s="13" t="s">
        <v>18</v>
      </c>
      <c r="BE6" s="13" t="s">
        <v>146</v>
      </c>
      <c r="BF6" s="13" t="s">
        <v>146</v>
      </c>
      <c r="BG6" s="13" t="s">
        <v>146</v>
      </c>
      <c r="BH6" s="13" t="s">
        <v>146</v>
      </c>
      <c r="BI6" s="83"/>
      <c r="BJ6" s="83"/>
      <c r="BK6" s="13" t="s">
        <v>146</v>
      </c>
      <c r="BL6" s="41" t="s">
        <v>341</v>
      </c>
      <c r="BM6" s="13"/>
      <c r="BN6" s="13"/>
      <c r="BO6" s="13"/>
      <c r="BP6" s="83"/>
      <c r="BQ6" s="83"/>
      <c r="BR6" s="13"/>
      <c r="BS6" s="13"/>
      <c r="BT6" s="13"/>
      <c r="BU6" s="13"/>
      <c r="BV6" s="13"/>
      <c r="BW6" s="83"/>
      <c r="BX6" s="83"/>
      <c r="BY6" s="13"/>
      <c r="BZ6" s="13"/>
      <c r="CA6" s="13"/>
      <c r="CB6" s="13"/>
      <c r="CC6" s="13"/>
      <c r="CD6" s="83"/>
      <c r="CE6" s="83"/>
      <c r="CF6" s="13"/>
      <c r="CG6" s="13"/>
      <c r="CH6" s="13"/>
      <c r="CI6" s="13"/>
      <c r="CJ6" s="13"/>
      <c r="CK6" s="83"/>
      <c r="CL6" s="83"/>
      <c r="CM6" s="13"/>
      <c r="CN6" s="13"/>
      <c r="CO6" s="13"/>
      <c r="CP6" s="13"/>
      <c r="CQ6" s="13"/>
      <c r="CR6" s="83"/>
      <c r="CS6" s="83"/>
      <c r="CT6" s="13"/>
      <c r="CU6" s="13"/>
      <c r="CV6" s="13"/>
      <c r="CW6" s="13"/>
      <c r="CX6" s="13"/>
      <c r="CY6" s="83"/>
      <c r="CZ6" s="83"/>
      <c r="DA6" s="13"/>
      <c r="DB6" s="13"/>
      <c r="DC6" s="13"/>
      <c r="DD6" s="13"/>
      <c r="DE6" s="13"/>
      <c r="DF6" s="83"/>
      <c r="DG6" s="83"/>
      <c r="DH6" s="13"/>
      <c r="DI6" s="13"/>
      <c r="DJ6" s="13"/>
      <c r="DK6" s="13"/>
      <c r="DL6" s="13"/>
      <c r="DM6" s="83"/>
      <c r="DN6" s="83"/>
      <c r="DO6" s="13"/>
      <c r="DP6" s="13"/>
      <c r="DQ6" s="13"/>
      <c r="DR6" s="13"/>
      <c r="DS6" s="13"/>
      <c r="DT6" s="13">
        <f t="shared" si="3"/>
        <v>5</v>
      </c>
    </row>
    <row r="7" spans="2:124" ht="30" customHeight="1" thickBot="1">
      <c r="B7" s="42" t="s">
        <v>99</v>
      </c>
      <c r="C7" s="6" t="s">
        <v>20</v>
      </c>
      <c r="D7" s="6"/>
      <c r="E7" s="148">
        <v>46015</v>
      </c>
      <c r="F7" s="161">
        <v>46045</v>
      </c>
      <c r="G7" s="92">
        <f>F7+7</f>
        <v>46052</v>
      </c>
      <c r="H7" s="92" t="s">
        <v>16</v>
      </c>
      <c r="I7" s="90">
        <f>G7+6</f>
        <v>46058</v>
      </c>
      <c r="J7" s="94">
        <f t="shared" si="4"/>
        <v>46058</v>
      </c>
      <c r="K7" s="94">
        <v>46056</v>
      </c>
      <c r="L7" s="94">
        <v>46070</v>
      </c>
      <c r="M7" s="72" t="s">
        <v>336</v>
      </c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7"/>
      <c r="Z7" s="13"/>
      <c r="AA7" s="34">
        <v>75</v>
      </c>
      <c r="AB7" s="13">
        <v>5</v>
      </c>
      <c r="AC7" s="13" t="s">
        <v>346</v>
      </c>
      <c r="AD7" s="13">
        <f>AA7/Capacity!$B$2</f>
        <v>10.714285714285714</v>
      </c>
      <c r="AE7" s="13">
        <f>AA7/Capacity!$B$3</f>
        <v>9.375</v>
      </c>
      <c r="AF7" s="13"/>
      <c r="AG7" s="83"/>
      <c r="AH7" s="83"/>
      <c r="AI7" s="13"/>
      <c r="AJ7" s="13"/>
      <c r="AK7" s="13"/>
      <c r="AL7" s="13"/>
      <c r="AM7" s="13"/>
      <c r="AN7" s="83"/>
      <c r="AO7" s="83"/>
      <c r="AP7" s="13"/>
      <c r="AQ7" s="13"/>
      <c r="AR7" s="13"/>
      <c r="AS7" s="13"/>
      <c r="AT7" s="13"/>
      <c r="AU7" s="83"/>
      <c r="AV7" s="83"/>
      <c r="AW7" s="13"/>
      <c r="AX7" s="13"/>
      <c r="AY7" s="13"/>
      <c r="AZ7" s="13"/>
      <c r="BA7" s="13"/>
      <c r="BB7" s="83"/>
      <c r="BC7" s="83"/>
      <c r="BD7" s="13"/>
      <c r="BE7" s="13"/>
      <c r="BF7" s="13"/>
      <c r="BG7" s="13" t="s">
        <v>18</v>
      </c>
      <c r="BH7" s="13" t="s">
        <v>18</v>
      </c>
      <c r="BI7" s="83"/>
      <c r="BJ7" s="83"/>
      <c r="BK7" s="13" t="s">
        <v>18</v>
      </c>
      <c r="BL7" s="13" t="s">
        <v>146</v>
      </c>
      <c r="BM7" s="13" t="s">
        <v>146</v>
      </c>
      <c r="BN7" s="13" t="s">
        <v>146</v>
      </c>
      <c r="BO7" s="13" t="s">
        <v>146</v>
      </c>
      <c r="BP7" s="83"/>
      <c r="BQ7" s="83"/>
      <c r="BR7" s="13" t="s">
        <v>146</v>
      </c>
      <c r="BS7" s="13" t="s">
        <v>146</v>
      </c>
      <c r="BT7" s="13" t="s">
        <v>146</v>
      </c>
      <c r="BU7" s="13" t="s">
        <v>146</v>
      </c>
      <c r="BV7" s="13" t="s">
        <v>146</v>
      </c>
      <c r="BW7" s="83"/>
      <c r="BX7" s="83"/>
      <c r="BY7" s="13" t="s">
        <v>146</v>
      </c>
      <c r="BZ7" s="13" t="s">
        <v>146</v>
      </c>
      <c r="CA7" s="41" t="s">
        <v>341</v>
      </c>
      <c r="CB7" s="13"/>
      <c r="CC7" s="13"/>
      <c r="CD7" s="83"/>
      <c r="CE7" s="83"/>
      <c r="CF7" s="13"/>
      <c r="CG7" s="13"/>
      <c r="CH7" s="13"/>
      <c r="CI7" s="13"/>
      <c r="CJ7" s="13"/>
      <c r="CK7" s="83"/>
      <c r="CL7" s="83"/>
      <c r="CM7" s="13"/>
      <c r="CN7" s="13"/>
      <c r="CO7" s="13"/>
      <c r="CP7" s="13"/>
      <c r="CQ7" s="13"/>
      <c r="CR7" s="83"/>
      <c r="CS7" s="83"/>
      <c r="CT7" s="13"/>
      <c r="CU7" s="13"/>
      <c r="CV7" s="13"/>
      <c r="CW7" s="13"/>
      <c r="CX7" s="13"/>
      <c r="CY7" s="83"/>
      <c r="CZ7" s="83"/>
      <c r="DA7" s="13"/>
      <c r="DB7" s="13"/>
      <c r="DC7" s="13"/>
      <c r="DD7" s="13"/>
      <c r="DE7" s="13"/>
      <c r="DF7" s="83"/>
      <c r="DG7" s="83"/>
      <c r="DH7" s="13"/>
      <c r="DI7" s="13"/>
      <c r="DJ7" s="13"/>
      <c r="DK7" s="13"/>
      <c r="DL7" s="13"/>
      <c r="DM7" s="83"/>
      <c r="DN7" s="83"/>
      <c r="DO7" s="13"/>
      <c r="DP7" s="13"/>
      <c r="DQ7" s="13"/>
      <c r="DR7" s="13"/>
      <c r="DS7" s="13"/>
      <c r="DT7" s="13">
        <f t="shared" si="3"/>
        <v>11</v>
      </c>
    </row>
    <row r="8" spans="2:124" ht="30" customHeight="1" thickBot="1">
      <c r="B8" s="42" t="s">
        <v>100</v>
      </c>
      <c r="C8" s="6" t="s">
        <v>20</v>
      </c>
      <c r="D8" s="6"/>
      <c r="E8" s="148">
        <v>46015</v>
      </c>
      <c r="F8" s="146">
        <v>46038</v>
      </c>
      <c r="G8" s="92">
        <f t="shared" si="5"/>
        <v>46045</v>
      </c>
      <c r="H8" s="92" t="s">
        <v>16</v>
      </c>
      <c r="I8" s="90">
        <f t="shared" si="6"/>
        <v>46052</v>
      </c>
      <c r="J8" s="94">
        <f t="shared" si="4"/>
        <v>46052</v>
      </c>
      <c r="K8" s="94">
        <v>46071</v>
      </c>
      <c r="L8" s="94">
        <v>46086</v>
      </c>
      <c r="M8" s="72" t="s">
        <v>336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7"/>
      <c r="Z8" s="13"/>
      <c r="AA8" s="34">
        <v>85</v>
      </c>
      <c r="AB8" s="13">
        <v>7</v>
      </c>
      <c r="AC8" s="13" t="s">
        <v>346</v>
      </c>
      <c r="AD8" s="13">
        <f>AA8/Capacity!$B$2</f>
        <v>12.142857142857142</v>
      </c>
      <c r="AE8" s="13">
        <f>AA8/Capacity!$B$3</f>
        <v>10.625</v>
      </c>
      <c r="AF8" s="13"/>
      <c r="AG8" s="83"/>
      <c r="AH8" s="83"/>
      <c r="AI8" s="13"/>
      <c r="AJ8" s="13"/>
      <c r="AK8" s="13"/>
      <c r="AL8" s="13"/>
      <c r="AM8" s="13"/>
      <c r="AN8" s="83"/>
      <c r="AO8" s="83"/>
      <c r="AP8" s="13"/>
      <c r="AQ8" s="13"/>
      <c r="AR8" s="13"/>
      <c r="AS8" s="13"/>
      <c r="AT8" s="13"/>
      <c r="AU8" s="83"/>
      <c r="AV8" s="83"/>
      <c r="AW8" s="13"/>
      <c r="AX8" s="13"/>
      <c r="AY8" s="13"/>
      <c r="AZ8" s="13"/>
      <c r="BA8" s="13"/>
      <c r="BB8" s="83"/>
      <c r="BC8" s="83"/>
      <c r="BD8" s="13"/>
      <c r="BE8" s="13"/>
      <c r="BF8" s="13"/>
      <c r="BG8" s="13"/>
      <c r="BH8" s="13"/>
      <c r="BI8" s="83"/>
      <c r="BJ8" s="83"/>
      <c r="BK8" s="13"/>
      <c r="BL8" s="13"/>
      <c r="BM8" s="13"/>
      <c r="BN8" s="13"/>
      <c r="BO8" s="13"/>
      <c r="BP8" s="83"/>
      <c r="BQ8" s="83"/>
      <c r="BR8" s="13"/>
      <c r="BS8" s="13"/>
      <c r="BT8" s="13"/>
      <c r="BU8" s="13"/>
      <c r="BV8" s="13" t="s">
        <v>18</v>
      </c>
      <c r="BW8" s="83"/>
      <c r="BX8" s="83"/>
      <c r="BY8" s="13" t="s">
        <v>18</v>
      </c>
      <c r="BZ8" s="13" t="s">
        <v>18</v>
      </c>
      <c r="CA8" s="13" t="s">
        <v>146</v>
      </c>
      <c r="CB8" s="13" t="s">
        <v>146</v>
      </c>
      <c r="CC8" s="13" t="s">
        <v>146</v>
      </c>
      <c r="CD8" s="83"/>
      <c r="CE8" s="83"/>
      <c r="CF8" s="13" t="s">
        <v>146</v>
      </c>
      <c r="CG8" s="13" t="s">
        <v>146</v>
      </c>
      <c r="CH8" s="13" t="s">
        <v>146</v>
      </c>
      <c r="CI8" s="13" t="s">
        <v>146</v>
      </c>
      <c r="CJ8" s="13" t="s">
        <v>146</v>
      </c>
      <c r="CK8" s="83"/>
      <c r="CL8" s="83"/>
      <c r="CM8" s="13" t="s">
        <v>146</v>
      </c>
      <c r="CN8" s="13" t="s">
        <v>146</v>
      </c>
      <c r="CO8" s="13" t="s">
        <v>146</v>
      </c>
      <c r="CP8" s="13" t="s">
        <v>146</v>
      </c>
      <c r="CQ8" s="41" t="s">
        <v>341</v>
      </c>
      <c r="CR8" s="83"/>
      <c r="CS8" s="83"/>
      <c r="CT8" s="13"/>
      <c r="CU8" s="13"/>
      <c r="CV8" s="13"/>
      <c r="CW8" s="13"/>
      <c r="CX8" s="13"/>
      <c r="CY8" s="83"/>
      <c r="CZ8" s="83"/>
      <c r="DA8" s="13"/>
      <c r="DB8" s="13"/>
      <c r="DC8" s="13"/>
      <c r="DD8" s="13"/>
      <c r="DE8" s="13"/>
      <c r="DF8" s="83"/>
      <c r="DG8" s="83"/>
      <c r="DH8" s="13"/>
      <c r="DI8" s="13"/>
      <c r="DJ8" s="13"/>
      <c r="DK8" s="13"/>
      <c r="DL8" s="13"/>
      <c r="DM8" s="83"/>
      <c r="DN8" s="83"/>
      <c r="DO8" s="13"/>
      <c r="DP8" s="13"/>
      <c r="DQ8" s="13"/>
      <c r="DR8" s="13"/>
      <c r="DS8" s="13"/>
      <c r="DT8" s="13">
        <f t="shared" si="3"/>
        <v>12</v>
      </c>
    </row>
    <row r="9" spans="2:124" ht="30" customHeight="1" thickBot="1">
      <c r="B9" s="42" t="s">
        <v>102</v>
      </c>
      <c r="C9" s="6" t="s">
        <v>20</v>
      </c>
      <c r="D9" s="6"/>
      <c r="E9" s="148">
        <v>46015</v>
      </c>
      <c r="F9" s="146">
        <v>46038</v>
      </c>
      <c r="G9" s="92">
        <f t="shared" si="5"/>
        <v>46045</v>
      </c>
      <c r="H9" s="92" t="s">
        <v>16</v>
      </c>
      <c r="I9" s="90">
        <f t="shared" si="6"/>
        <v>46052</v>
      </c>
      <c r="J9" s="94">
        <f t="shared" si="4"/>
        <v>46052</v>
      </c>
      <c r="K9" s="94">
        <v>46069</v>
      </c>
      <c r="L9" s="94">
        <v>46080</v>
      </c>
      <c r="M9" s="72" t="s">
        <v>336</v>
      </c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7"/>
      <c r="Z9" s="13"/>
      <c r="AA9" s="37">
        <v>40</v>
      </c>
      <c r="AB9" s="13">
        <v>6</v>
      </c>
      <c r="AC9" s="13" t="s">
        <v>340</v>
      </c>
      <c r="AD9" s="13">
        <f>AA9/Capacity!$B$2</f>
        <v>5.7142857142857144</v>
      </c>
      <c r="AE9" s="13">
        <f>AA9/Capacity!$B$3</f>
        <v>5</v>
      </c>
      <c r="AF9" s="13"/>
      <c r="AG9" s="83"/>
      <c r="AH9" s="83"/>
      <c r="AI9" s="13"/>
      <c r="AJ9" s="13"/>
      <c r="AK9" s="13"/>
      <c r="AL9" s="13"/>
      <c r="AM9" s="13"/>
      <c r="AN9" s="83"/>
      <c r="AO9" s="83"/>
      <c r="AP9" s="13"/>
      <c r="AQ9" s="13"/>
      <c r="AR9" s="13"/>
      <c r="AS9" s="13"/>
      <c r="AT9" s="13"/>
      <c r="AU9" s="83"/>
      <c r="AV9" s="83"/>
      <c r="AW9" s="13"/>
      <c r="AX9" s="13"/>
      <c r="AY9" s="13"/>
      <c r="AZ9" s="13"/>
      <c r="BA9" s="13"/>
      <c r="BB9" s="83"/>
      <c r="BC9" s="83"/>
      <c r="BD9" s="13"/>
      <c r="BE9" s="13"/>
      <c r="BF9" s="13"/>
      <c r="BG9" s="13"/>
      <c r="BH9" s="13"/>
      <c r="BI9" s="83"/>
      <c r="BJ9" s="83"/>
      <c r="BK9" s="13"/>
      <c r="BL9" s="13"/>
      <c r="BM9" s="13"/>
      <c r="BN9" s="13"/>
      <c r="BO9" s="13"/>
      <c r="BP9" s="83"/>
      <c r="BQ9" s="83"/>
      <c r="BR9" s="13"/>
      <c r="BS9" s="13"/>
      <c r="BT9" s="13"/>
      <c r="BU9" s="13"/>
      <c r="BV9" s="13" t="s">
        <v>18</v>
      </c>
      <c r="BW9" s="83"/>
      <c r="BX9" s="83"/>
      <c r="BY9" s="13" t="s">
        <v>146</v>
      </c>
      <c r="BZ9" s="13" t="s">
        <v>146</v>
      </c>
      <c r="CA9" s="13" t="s">
        <v>146</v>
      </c>
      <c r="CB9" s="13" t="s">
        <v>146</v>
      </c>
      <c r="CC9" s="13" t="s">
        <v>146</v>
      </c>
      <c r="CD9" s="83"/>
      <c r="CE9" s="83"/>
      <c r="CF9" s="13" t="s">
        <v>146</v>
      </c>
      <c r="CG9" s="13" t="s">
        <v>146</v>
      </c>
      <c r="CH9" s="13" t="s">
        <v>146</v>
      </c>
      <c r="CI9" s="13" t="s">
        <v>146</v>
      </c>
      <c r="CJ9" s="13" t="s">
        <v>146</v>
      </c>
      <c r="CK9" s="83"/>
      <c r="CL9" s="83"/>
      <c r="CM9" s="35" t="s">
        <v>341</v>
      </c>
      <c r="CN9" s="13"/>
      <c r="CO9" s="13"/>
      <c r="CP9" s="13"/>
      <c r="CQ9" s="13"/>
      <c r="CR9" s="83"/>
      <c r="CS9" s="83"/>
      <c r="CT9" s="13"/>
      <c r="CU9" s="13"/>
      <c r="CV9" s="13"/>
      <c r="CW9" s="13"/>
      <c r="CX9" s="13"/>
      <c r="CY9" s="83"/>
      <c r="CZ9" s="83"/>
      <c r="DA9" s="13"/>
      <c r="DB9" s="13"/>
      <c r="DC9" s="13"/>
      <c r="DD9" s="13"/>
      <c r="DE9" s="13"/>
      <c r="DF9" s="83"/>
      <c r="DG9" s="83"/>
      <c r="DH9" s="13"/>
      <c r="DI9" s="13"/>
      <c r="DJ9" s="13"/>
      <c r="DK9" s="13"/>
      <c r="DL9" s="13"/>
      <c r="DM9" s="83"/>
      <c r="DN9" s="83"/>
      <c r="DO9" s="13"/>
      <c r="DP9" s="13"/>
      <c r="DQ9" s="13"/>
      <c r="DR9" s="13"/>
      <c r="DS9" s="13"/>
      <c r="DT9" s="13">
        <f t="shared" si="3"/>
        <v>10</v>
      </c>
    </row>
    <row r="10" spans="2:124" ht="30" customHeight="1" thickBot="1">
      <c r="B10" s="42" t="s">
        <v>103</v>
      </c>
      <c r="C10" s="6" t="s">
        <v>38</v>
      </c>
      <c r="D10" s="6"/>
      <c r="E10" s="95">
        <v>46038</v>
      </c>
      <c r="F10" s="162">
        <f>E10+7</f>
        <v>46045</v>
      </c>
      <c r="G10" s="92">
        <f t="shared" si="5"/>
        <v>46052</v>
      </c>
      <c r="H10" s="92" t="s">
        <v>16</v>
      </c>
      <c r="I10" s="90">
        <f t="shared" si="6"/>
        <v>46059</v>
      </c>
      <c r="J10" s="94">
        <f t="shared" si="4"/>
        <v>46059</v>
      </c>
      <c r="K10" s="94">
        <v>46065</v>
      </c>
      <c r="L10" s="94">
        <v>46071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7"/>
      <c r="Z10" s="13"/>
      <c r="AA10" s="37">
        <v>40</v>
      </c>
      <c r="AB10" s="13"/>
      <c r="AC10" s="13" t="s">
        <v>356</v>
      </c>
      <c r="AD10" s="13">
        <f>AA10/Capacity!$B$2</f>
        <v>5.7142857142857144</v>
      </c>
      <c r="AE10" s="13">
        <f>AA10/Capacity!$B$3</f>
        <v>5</v>
      </c>
      <c r="AF10" s="13"/>
      <c r="AG10" s="83"/>
      <c r="AH10" s="83"/>
      <c r="AI10" s="13"/>
      <c r="AJ10" s="13"/>
      <c r="AK10" s="13"/>
      <c r="AL10" s="13"/>
      <c r="AM10" s="13"/>
      <c r="AN10" s="83"/>
      <c r="AO10" s="83"/>
      <c r="AP10" s="13"/>
      <c r="AQ10" s="13"/>
      <c r="AR10" s="13"/>
      <c r="AS10" s="13"/>
      <c r="AT10" s="13"/>
      <c r="AU10" s="83"/>
      <c r="AV10" s="83"/>
      <c r="AW10" s="13"/>
      <c r="AX10" s="13"/>
      <c r="AY10" s="13"/>
      <c r="AZ10" s="13"/>
      <c r="BA10" s="13"/>
      <c r="BB10" s="83"/>
      <c r="BC10" s="83"/>
      <c r="BD10" s="13"/>
      <c r="BE10" s="13"/>
      <c r="BF10" s="13"/>
      <c r="BG10" s="13"/>
      <c r="BH10" s="13"/>
      <c r="BI10" s="83"/>
      <c r="BJ10" s="83"/>
      <c r="BK10" s="13"/>
      <c r="BL10" s="13"/>
      <c r="BM10" s="13"/>
      <c r="BN10" s="13"/>
      <c r="BO10" s="13"/>
      <c r="BP10" s="83"/>
      <c r="BQ10" s="83"/>
      <c r="BR10" s="13"/>
      <c r="BS10" s="13"/>
      <c r="BT10" s="13"/>
      <c r="BU10" s="13" t="s">
        <v>146</v>
      </c>
      <c r="BV10" s="13" t="s">
        <v>146</v>
      </c>
      <c r="BW10" s="83"/>
      <c r="BX10" s="83"/>
      <c r="BY10" s="13" t="s">
        <v>146</v>
      </c>
      <c r="BZ10" s="13" t="s">
        <v>146</v>
      </c>
      <c r="CA10" s="13" t="s">
        <v>146</v>
      </c>
      <c r="CB10" s="35" t="s">
        <v>341</v>
      </c>
      <c r="CC10" s="13"/>
      <c r="CD10" s="83"/>
      <c r="CE10" s="83"/>
      <c r="CF10" s="13"/>
      <c r="CG10" s="13"/>
      <c r="CH10" s="13"/>
      <c r="CI10" s="13"/>
      <c r="CJ10" s="13"/>
      <c r="CK10" s="83"/>
      <c r="CL10" s="83"/>
      <c r="CM10" s="13"/>
      <c r="CN10" s="13"/>
      <c r="CO10" s="13"/>
      <c r="CP10" s="13"/>
      <c r="CQ10" s="13"/>
      <c r="CR10" s="83"/>
      <c r="CS10" s="83"/>
      <c r="CT10" s="13"/>
      <c r="CU10" s="13"/>
      <c r="CV10" s="13"/>
      <c r="CW10" s="13"/>
      <c r="CX10" s="13"/>
      <c r="CY10" s="83"/>
      <c r="CZ10" s="83"/>
      <c r="DA10" s="13"/>
      <c r="DB10" s="13"/>
      <c r="DC10" s="13"/>
      <c r="DD10" s="13"/>
      <c r="DE10" s="13"/>
      <c r="DF10" s="83"/>
      <c r="DG10" s="83"/>
      <c r="DH10" s="13"/>
      <c r="DI10" s="13"/>
      <c r="DJ10" s="13"/>
      <c r="DK10" s="13"/>
      <c r="DL10" s="13"/>
      <c r="DM10" s="83"/>
      <c r="DN10" s="83"/>
      <c r="DO10" s="13"/>
      <c r="DP10" s="13"/>
      <c r="DQ10" s="13"/>
      <c r="DR10" s="13"/>
      <c r="DS10" s="13"/>
      <c r="DT10" s="13">
        <f t="shared" si="3"/>
        <v>5</v>
      </c>
    </row>
    <row r="11" spans="2:124" ht="30" customHeight="1" thickBot="1">
      <c r="B11" s="42" t="s">
        <v>217</v>
      </c>
      <c r="C11" s="6" t="s">
        <v>20</v>
      </c>
      <c r="D11" s="6"/>
      <c r="E11" s="149">
        <v>46031</v>
      </c>
      <c r="F11" s="154">
        <f t="shared" si="5"/>
        <v>46038</v>
      </c>
      <c r="G11" s="92">
        <f>F11+7</f>
        <v>46045</v>
      </c>
      <c r="H11" s="92" t="s">
        <v>16</v>
      </c>
      <c r="I11" s="90">
        <f>G11+7</f>
        <v>46052</v>
      </c>
      <c r="J11" s="94">
        <f>I11</f>
        <v>46052</v>
      </c>
      <c r="K11" s="94">
        <v>46027</v>
      </c>
      <c r="L11" s="94">
        <v>46103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7" t="s">
        <v>21</v>
      </c>
      <c r="Z11" s="13">
        <v>177</v>
      </c>
      <c r="AA11" s="13">
        <v>200</v>
      </c>
      <c r="AB11" s="13">
        <v>1</v>
      </c>
      <c r="AC11" s="13" t="s">
        <v>340</v>
      </c>
      <c r="AD11" s="13">
        <f>AA11/Capacity!$B$2</f>
        <v>28.571428571428573</v>
      </c>
      <c r="AE11" s="13">
        <f>AA11/Capacity!$B$3</f>
        <v>25</v>
      </c>
      <c r="AF11" s="13"/>
      <c r="AG11" s="83"/>
      <c r="AH11" s="83"/>
      <c r="AI11" s="13" t="s">
        <v>146</v>
      </c>
      <c r="AJ11" s="13" t="s">
        <v>146</v>
      </c>
      <c r="AK11" s="13" t="s">
        <v>146</v>
      </c>
      <c r="AL11" s="13" t="s">
        <v>146</v>
      </c>
      <c r="AM11" s="13" t="s">
        <v>146</v>
      </c>
      <c r="AN11" s="83"/>
      <c r="AO11" s="83"/>
      <c r="AP11" s="13" t="s">
        <v>146</v>
      </c>
      <c r="AQ11" s="13" t="s">
        <v>146</v>
      </c>
      <c r="AR11" s="13" t="s">
        <v>146</v>
      </c>
      <c r="AS11" s="13" t="s">
        <v>146</v>
      </c>
      <c r="AT11" s="13" t="s">
        <v>18</v>
      </c>
      <c r="AU11" s="83"/>
      <c r="AV11" s="83"/>
      <c r="AW11" s="13" t="s">
        <v>18</v>
      </c>
      <c r="AX11" s="13"/>
      <c r="AY11" s="13"/>
      <c r="AZ11" s="13"/>
      <c r="BA11" s="13"/>
      <c r="BB11" s="83"/>
      <c r="BC11" s="83"/>
      <c r="BD11" s="13"/>
      <c r="BE11" s="13"/>
      <c r="BF11" s="13" t="s">
        <v>18</v>
      </c>
      <c r="BG11" s="13" t="s">
        <v>18</v>
      </c>
      <c r="BH11" s="13" t="s">
        <v>18</v>
      </c>
      <c r="BI11" s="83"/>
      <c r="BJ11" s="83"/>
      <c r="BK11" s="13" t="s">
        <v>18</v>
      </c>
      <c r="BL11" s="13" t="s">
        <v>18</v>
      </c>
      <c r="BM11" s="13" t="s">
        <v>18</v>
      </c>
      <c r="BN11" s="13"/>
      <c r="BO11" s="13"/>
      <c r="BP11" s="83"/>
      <c r="BQ11" s="83"/>
      <c r="BR11" s="13" t="s">
        <v>18</v>
      </c>
      <c r="BS11" s="13" t="s">
        <v>18</v>
      </c>
      <c r="BT11" s="13" t="s">
        <v>18</v>
      </c>
      <c r="BU11" s="13" t="s">
        <v>18</v>
      </c>
      <c r="BV11" s="13"/>
      <c r="BW11" s="83"/>
      <c r="BX11" s="83"/>
      <c r="BY11" s="13"/>
      <c r="BZ11" s="13"/>
      <c r="CA11" s="13"/>
      <c r="CB11" s="13"/>
      <c r="CC11" s="13"/>
      <c r="CD11" s="83"/>
      <c r="CE11" s="83"/>
      <c r="CF11" s="13" t="s">
        <v>18</v>
      </c>
      <c r="CG11" s="13"/>
      <c r="CH11" s="13"/>
      <c r="CI11" s="13"/>
      <c r="CJ11" s="13"/>
      <c r="CK11" s="83"/>
      <c r="CL11" s="83"/>
      <c r="CM11" s="13" t="s">
        <v>146</v>
      </c>
      <c r="CN11" s="13" t="s">
        <v>146</v>
      </c>
      <c r="CO11" s="13" t="s">
        <v>146</v>
      </c>
      <c r="CP11" s="13" t="s">
        <v>146</v>
      </c>
      <c r="CQ11" s="13" t="s">
        <v>146</v>
      </c>
      <c r="CR11" s="83"/>
      <c r="CS11" s="83"/>
      <c r="CT11" s="13" t="s">
        <v>146</v>
      </c>
      <c r="CU11" s="13" t="s">
        <v>146</v>
      </c>
      <c r="CV11" s="13" t="s">
        <v>146</v>
      </c>
      <c r="CW11" s="13" t="s">
        <v>146</v>
      </c>
      <c r="CX11" s="13" t="s">
        <v>146</v>
      </c>
      <c r="CY11" s="83"/>
      <c r="CZ11" s="83"/>
      <c r="DA11" s="13" t="s">
        <v>146</v>
      </c>
      <c r="DB11" s="13" t="s">
        <v>146</v>
      </c>
      <c r="DC11" s="13" t="s">
        <v>146</v>
      </c>
      <c r="DD11" s="13" t="s">
        <v>146</v>
      </c>
      <c r="DE11" s="13" t="s">
        <v>146</v>
      </c>
      <c r="DF11" s="83"/>
      <c r="DG11" s="83"/>
      <c r="DH11" s="13" t="s">
        <v>146</v>
      </c>
      <c r="DI11" s="13" t="s">
        <v>146</v>
      </c>
      <c r="DJ11" s="41" t="s">
        <v>341</v>
      </c>
      <c r="DK11" s="13"/>
      <c r="DL11" s="13"/>
      <c r="DM11" s="83"/>
      <c r="DN11" s="83"/>
      <c r="DO11" s="13"/>
      <c r="DP11" s="13"/>
      <c r="DQ11" s="13"/>
      <c r="DR11" s="13"/>
      <c r="DS11" s="13"/>
      <c r="DT11" s="13">
        <f>COUNTIF(AF11:DS11,"X")</f>
        <v>26</v>
      </c>
    </row>
    <row r="12" spans="2:124" ht="30" customHeight="1" thickBot="1">
      <c r="B12" s="42" t="s">
        <v>22</v>
      </c>
      <c r="C12" s="6" t="s">
        <v>38</v>
      </c>
      <c r="D12" s="6"/>
      <c r="E12" s="149" t="s">
        <v>348</v>
      </c>
      <c r="F12" s="152">
        <v>46045</v>
      </c>
      <c r="G12" s="92">
        <f t="shared" si="5"/>
        <v>46052</v>
      </c>
      <c r="H12" s="92" t="s">
        <v>16</v>
      </c>
      <c r="I12" s="163">
        <f t="shared" si="6"/>
        <v>46059</v>
      </c>
      <c r="J12" s="94">
        <f t="shared" si="4"/>
        <v>46059</v>
      </c>
      <c r="K12" s="94">
        <v>46051</v>
      </c>
      <c r="L12" s="94">
        <v>46086</v>
      </c>
      <c r="M12" s="72" t="s">
        <v>336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7" t="s">
        <v>351</v>
      </c>
      <c r="Z12" s="13">
        <v>260</v>
      </c>
      <c r="AA12" s="13">
        <v>180</v>
      </c>
      <c r="AB12" s="13">
        <v>4</v>
      </c>
      <c r="AC12" s="13" t="s">
        <v>352</v>
      </c>
      <c r="AD12" s="13">
        <f>AA12/Capacity!$B$2</f>
        <v>25.714285714285715</v>
      </c>
      <c r="AE12" s="13">
        <f>AA12/Capacity!$B$3</f>
        <v>22.5</v>
      </c>
      <c r="AF12" s="13"/>
      <c r="AG12" s="83"/>
      <c r="AH12" s="83"/>
      <c r="AI12" s="13"/>
      <c r="AJ12" s="13"/>
      <c r="AK12" s="13"/>
      <c r="AL12" s="13"/>
      <c r="AM12" s="13"/>
      <c r="AN12" s="83"/>
      <c r="AO12" s="83"/>
      <c r="AP12" s="13"/>
      <c r="AQ12" s="13"/>
      <c r="AR12" s="13"/>
      <c r="AS12" s="13"/>
      <c r="AT12" s="13"/>
      <c r="AU12" s="83"/>
      <c r="AV12" s="83"/>
      <c r="AW12" s="13"/>
      <c r="AX12" s="13"/>
      <c r="AY12" s="13"/>
      <c r="AZ12" s="13"/>
      <c r="BA12" s="13"/>
      <c r="BB12" s="83"/>
      <c r="BC12" s="83"/>
      <c r="BD12" s="13"/>
      <c r="BE12" s="13"/>
      <c r="BF12" s="13"/>
      <c r="BG12" s="13" t="s">
        <v>146</v>
      </c>
      <c r="BH12" s="13" t="s">
        <v>146</v>
      </c>
      <c r="BI12" s="83"/>
      <c r="BJ12" s="83"/>
      <c r="BK12" s="13" t="s">
        <v>146</v>
      </c>
      <c r="BL12" s="13" t="s">
        <v>146</v>
      </c>
      <c r="BM12" s="13" t="s">
        <v>146</v>
      </c>
      <c r="BN12" s="13" t="s">
        <v>146</v>
      </c>
      <c r="BO12" s="13" t="s">
        <v>146</v>
      </c>
      <c r="BP12" s="83"/>
      <c r="BQ12" s="83"/>
      <c r="BR12" s="13" t="s">
        <v>146</v>
      </c>
      <c r="BS12" s="13" t="s">
        <v>146</v>
      </c>
      <c r="BT12" s="13" t="s">
        <v>146</v>
      </c>
      <c r="BU12" s="13" t="s">
        <v>146</v>
      </c>
      <c r="BV12" s="13" t="s">
        <v>146</v>
      </c>
      <c r="BW12" s="83"/>
      <c r="BX12" s="83"/>
      <c r="BY12" s="13" t="s">
        <v>146</v>
      </c>
      <c r="BZ12" s="13" t="s">
        <v>146</v>
      </c>
      <c r="CA12" s="13" t="s">
        <v>146</v>
      </c>
      <c r="CB12" s="13" t="s">
        <v>146</v>
      </c>
      <c r="CC12" s="13" t="s">
        <v>146</v>
      </c>
      <c r="CD12" s="83"/>
      <c r="CE12" s="83"/>
      <c r="CF12" s="13" t="s">
        <v>146</v>
      </c>
      <c r="CG12" s="13" t="s">
        <v>146</v>
      </c>
      <c r="CH12" s="13" t="s">
        <v>146</v>
      </c>
      <c r="CI12" s="13" t="s">
        <v>146</v>
      </c>
      <c r="CJ12" s="13" t="s">
        <v>146</v>
      </c>
      <c r="CK12" s="83"/>
      <c r="CL12" s="83"/>
      <c r="CM12" s="13" t="s">
        <v>146</v>
      </c>
      <c r="CN12" s="13" t="s">
        <v>146</v>
      </c>
      <c r="CO12" s="13" t="s">
        <v>146</v>
      </c>
      <c r="CP12" s="13" t="s">
        <v>146</v>
      </c>
      <c r="CQ12" s="41" t="s">
        <v>341</v>
      </c>
      <c r="CR12" s="83"/>
      <c r="CS12" s="83"/>
      <c r="CT12" s="13"/>
      <c r="CU12" s="13"/>
      <c r="CV12" s="13"/>
      <c r="CW12" s="13"/>
      <c r="CX12" s="13"/>
      <c r="CY12" s="83"/>
      <c r="CZ12" s="83"/>
      <c r="DA12" s="13"/>
      <c r="DB12" s="13"/>
      <c r="DC12" s="13"/>
      <c r="DD12" s="13"/>
      <c r="DE12" s="13"/>
      <c r="DF12" s="83"/>
      <c r="DG12" s="83"/>
      <c r="DH12" s="13"/>
      <c r="DI12" s="13"/>
      <c r="DJ12" s="13"/>
      <c r="DK12" s="13"/>
      <c r="DL12" s="13"/>
      <c r="DM12" s="83"/>
      <c r="DN12" s="83"/>
      <c r="DO12" s="13"/>
      <c r="DP12" s="13"/>
      <c r="DQ12" s="13"/>
      <c r="DR12" s="13"/>
      <c r="DS12" s="13"/>
      <c r="DT12" s="13">
        <f t="shared" si="3"/>
        <v>26</v>
      </c>
    </row>
    <row r="13" spans="2:124" ht="30" customHeight="1" thickBot="1">
      <c r="B13" s="42" t="s">
        <v>26</v>
      </c>
      <c r="C13" s="6" t="s">
        <v>38</v>
      </c>
      <c r="D13" s="6" t="s">
        <v>27</v>
      </c>
      <c r="E13" s="150" t="s">
        <v>348</v>
      </c>
      <c r="F13" s="153">
        <v>46041</v>
      </c>
      <c r="G13" s="92">
        <f t="shared" si="5"/>
        <v>46048</v>
      </c>
      <c r="H13" s="92" t="s">
        <v>16</v>
      </c>
      <c r="I13" s="163">
        <f t="shared" si="6"/>
        <v>46055</v>
      </c>
      <c r="J13" s="94">
        <f t="shared" si="4"/>
        <v>46055</v>
      </c>
      <c r="K13" s="94">
        <v>46055</v>
      </c>
      <c r="L13" s="94">
        <v>46073</v>
      </c>
      <c r="M13" s="72" t="s">
        <v>336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7" t="s">
        <v>29</v>
      </c>
      <c r="Z13" s="13">
        <v>120</v>
      </c>
      <c r="AA13" s="13">
        <v>120</v>
      </c>
      <c r="AB13" s="13">
        <v>4</v>
      </c>
      <c r="AC13" s="13" t="s">
        <v>354</v>
      </c>
      <c r="AD13" s="13">
        <f>AA13/Capacity!$B$2</f>
        <v>17.142857142857142</v>
      </c>
      <c r="AE13" s="13">
        <f>AA13/Capacity!$B$3</f>
        <v>15</v>
      </c>
      <c r="AF13" s="13"/>
      <c r="AG13" s="83"/>
      <c r="AH13" s="83"/>
      <c r="AI13" s="13"/>
      <c r="AJ13" s="13"/>
      <c r="AK13" s="13"/>
      <c r="AL13" s="13"/>
      <c r="AM13" s="13"/>
      <c r="AN13" s="83"/>
      <c r="AO13" s="83"/>
      <c r="AP13" s="13"/>
      <c r="AQ13" s="13"/>
      <c r="AR13" s="13"/>
      <c r="AS13" s="13"/>
      <c r="AT13" s="13"/>
      <c r="AU13" s="83"/>
      <c r="AV13" s="83"/>
      <c r="AW13" s="13"/>
      <c r="AX13" s="13"/>
      <c r="AY13" s="13"/>
      <c r="AZ13" s="13"/>
      <c r="BA13" s="13"/>
      <c r="BB13" s="83"/>
      <c r="BC13" s="83"/>
      <c r="BD13" s="13"/>
      <c r="BE13" s="13"/>
      <c r="BF13" s="13"/>
      <c r="BG13" s="13"/>
      <c r="BH13" s="13"/>
      <c r="BI13" s="83"/>
      <c r="BJ13" s="83"/>
      <c r="BK13" s="13" t="s">
        <v>146</v>
      </c>
      <c r="BL13" s="13" t="s">
        <v>146</v>
      </c>
      <c r="BM13" s="13" t="s">
        <v>146</v>
      </c>
      <c r="BN13" s="13" t="s">
        <v>146</v>
      </c>
      <c r="BO13" s="13" t="s">
        <v>146</v>
      </c>
      <c r="BP13" s="83"/>
      <c r="BQ13" s="83"/>
      <c r="BR13" s="13" t="s">
        <v>146</v>
      </c>
      <c r="BS13" s="13" t="s">
        <v>146</v>
      </c>
      <c r="BT13" s="13" t="s">
        <v>146</v>
      </c>
      <c r="BU13" s="13" t="s">
        <v>146</v>
      </c>
      <c r="BV13" s="13" t="s">
        <v>146</v>
      </c>
      <c r="BW13" s="83"/>
      <c r="BX13" s="83"/>
      <c r="BY13" s="13" t="s">
        <v>146</v>
      </c>
      <c r="BZ13" s="13" t="s">
        <v>146</v>
      </c>
      <c r="CA13" s="13" t="s">
        <v>146</v>
      </c>
      <c r="CB13" s="13" t="s">
        <v>146</v>
      </c>
      <c r="CC13" s="13" t="s">
        <v>146</v>
      </c>
      <c r="CD13" s="83"/>
      <c r="CE13" s="83"/>
      <c r="CF13" s="41" t="s">
        <v>341</v>
      </c>
      <c r="CG13" s="13"/>
      <c r="CH13" s="13"/>
      <c r="CI13" s="13"/>
      <c r="CJ13" s="13"/>
      <c r="CK13" s="83"/>
      <c r="CL13" s="83"/>
      <c r="CM13" s="13"/>
      <c r="CN13" s="13"/>
      <c r="CO13" s="13"/>
      <c r="CP13" s="13"/>
      <c r="CQ13" s="13"/>
      <c r="CR13" s="83"/>
      <c r="CS13" s="83"/>
      <c r="CT13" s="13"/>
      <c r="CU13" s="13"/>
      <c r="CV13" s="13"/>
      <c r="CW13" s="13"/>
      <c r="CX13" s="13"/>
      <c r="CY13" s="83"/>
      <c r="CZ13" s="83"/>
      <c r="DA13" s="13"/>
      <c r="DB13" s="13"/>
      <c r="DC13" s="13"/>
      <c r="DD13" s="13"/>
      <c r="DE13" s="13"/>
      <c r="DF13" s="83"/>
      <c r="DG13" s="83"/>
      <c r="DH13" s="13"/>
      <c r="DI13" s="13"/>
      <c r="DJ13" s="13"/>
      <c r="DK13" s="13"/>
      <c r="DL13" s="13"/>
      <c r="DM13" s="83"/>
      <c r="DN13" s="83"/>
      <c r="DO13" s="13"/>
      <c r="DP13" s="13"/>
      <c r="DQ13" s="13"/>
      <c r="DR13" s="13"/>
      <c r="DS13" s="13"/>
      <c r="DT13" s="13">
        <f t="shared" si="3"/>
        <v>15</v>
      </c>
    </row>
    <row r="14" spans="2:124" ht="30" customHeight="1" thickBot="1">
      <c r="B14" s="42" t="s">
        <v>30</v>
      </c>
      <c r="C14" s="6" t="s">
        <v>38</v>
      </c>
      <c r="D14" s="43" t="s">
        <v>27</v>
      </c>
      <c r="E14" s="150" t="s">
        <v>452</v>
      </c>
      <c r="F14" s="151">
        <v>46038</v>
      </c>
      <c r="G14" s="93" t="s">
        <v>16</v>
      </c>
      <c r="H14" s="95">
        <v>46042</v>
      </c>
      <c r="I14" s="163">
        <v>46048</v>
      </c>
      <c r="J14" s="96">
        <f t="shared" si="4"/>
        <v>46048</v>
      </c>
      <c r="K14" s="96">
        <v>46051</v>
      </c>
      <c r="L14" s="96">
        <v>46048</v>
      </c>
      <c r="M14" s="72" t="s">
        <v>336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7" t="s">
        <v>32</v>
      </c>
      <c r="Z14" s="13">
        <v>35</v>
      </c>
      <c r="AA14" s="13">
        <v>35</v>
      </c>
      <c r="AB14" s="13">
        <v>5</v>
      </c>
      <c r="AC14" s="13" t="s">
        <v>356</v>
      </c>
      <c r="AD14" s="13">
        <f>AA14/Capacity!$B$2</f>
        <v>5</v>
      </c>
      <c r="AE14" s="13">
        <f>AA14/Capacity!$B$3</f>
        <v>4.375</v>
      </c>
      <c r="AF14" s="13" t="s">
        <v>18</v>
      </c>
      <c r="AG14" s="83"/>
      <c r="AH14" s="83"/>
      <c r="AI14" s="13"/>
      <c r="AJ14" s="13"/>
      <c r="AK14" s="13"/>
      <c r="AL14" s="13"/>
      <c r="AM14" s="13"/>
      <c r="AN14" s="83"/>
      <c r="AO14" s="83"/>
      <c r="AP14" s="13"/>
      <c r="AQ14" s="13"/>
      <c r="AR14" s="13"/>
      <c r="AS14" s="13"/>
      <c r="AT14" s="13"/>
      <c r="AU14" s="83"/>
      <c r="AV14" s="83"/>
      <c r="AW14" s="13"/>
      <c r="AX14" s="13" t="s">
        <v>146</v>
      </c>
      <c r="AY14" s="13" t="s">
        <v>146</v>
      </c>
      <c r="AZ14" s="13" t="s">
        <v>146</v>
      </c>
      <c r="BA14" s="13" t="s">
        <v>146</v>
      </c>
      <c r="BB14" s="83"/>
      <c r="BC14" s="83"/>
      <c r="BD14" s="13" t="s">
        <v>146</v>
      </c>
      <c r="BE14" s="35" t="s">
        <v>341</v>
      </c>
      <c r="BF14" s="13"/>
      <c r="BG14" s="13"/>
      <c r="BH14" s="13"/>
      <c r="BI14" s="83"/>
      <c r="BJ14" s="83"/>
      <c r="BK14" s="13"/>
      <c r="BL14" s="13"/>
      <c r="BM14" s="13"/>
      <c r="BN14" s="13"/>
      <c r="BO14" s="13"/>
      <c r="BP14" s="83"/>
      <c r="BQ14" s="83"/>
      <c r="BR14" s="13"/>
      <c r="BS14" s="13"/>
      <c r="BT14" s="13"/>
      <c r="BU14" s="13"/>
      <c r="BV14" s="13"/>
      <c r="BW14" s="83"/>
      <c r="BX14" s="83"/>
      <c r="BY14" s="13"/>
      <c r="BZ14" s="13"/>
      <c r="CA14" s="13"/>
      <c r="CB14" s="13"/>
      <c r="CC14" s="13"/>
      <c r="CD14" s="83"/>
      <c r="CE14" s="83"/>
      <c r="CF14" s="13"/>
      <c r="CG14" s="13"/>
      <c r="CH14" s="13"/>
      <c r="CI14" s="13"/>
      <c r="CJ14" s="13"/>
      <c r="CK14" s="83"/>
      <c r="CL14" s="83"/>
      <c r="CM14" s="13"/>
      <c r="CN14" s="13"/>
      <c r="CO14" s="13"/>
      <c r="CP14" s="13"/>
      <c r="CQ14" s="13"/>
      <c r="CR14" s="83"/>
      <c r="CS14" s="83"/>
      <c r="CT14" s="13"/>
      <c r="CU14" s="13"/>
      <c r="CV14" s="13"/>
      <c r="CW14" s="13"/>
      <c r="CX14" s="13"/>
      <c r="CY14" s="83"/>
      <c r="CZ14" s="83"/>
      <c r="DA14" s="13"/>
      <c r="DB14" s="13"/>
      <c r="DC14" s="13"/>
      <c r="DD14" s="13"/>
      <c r="DE14" s="13"/>
      <c r="DF14" s="83"/>
      <c r="DG14" s="83"/>
      <c r="DH14" s="13"/>
      <c r="DI14" s="13"/>
      <c r="DJ14" s="13"/>
      <c r="DK14" s="13"/>
      <c r="DL14" s="13"/>
      <c r="DM14" s="83"/>
      <c r="DN14" s="83"/>
      <c r="DO14" s="13"/>
      <c r="DP14" s="13"/>
      <c r="DQ14" s="13"/>
      <c r="DR14" s="13"/>
      <c r="DS14" s="13"/>
      <c r="DT14" s="13">
        <f t="shared" si="3"/>
        <v>5</v>
      </c>
    </row>
    <row r="15" spans="2:124" ht="30" customHeight="1" thickBot="1">
      <c r="B15" s="42" t="s">
        <v>35</v>
      </c>
      <c r="C15" s="6" t="s">
        <v>38</v>
      </c>
      <c r="D15" s="9"/>
      <c r="E15" s="150" t="s">
        <v>357</v>
      </c>
      <c r="F15" s="153">
        <v>46013</v>
      </c>
      <c r="G15" s="92">
        <v>46052</v>
      </c>
      <c r="H15" s="92" t="s">
        <v>16</v>
      </c>
      <c r="I15" s="163">
        <f t="shared" ref="I15" si="7">G15+7</f>
        <v>46059</v>
      </c>
      <c r="J15" s="94">
        <f t="shared" si="4"/>
        <v>46059</v>
      </c>
      <c r="K15" s="94">
        <v>46062</v>
      </c>
      <c r="L15" s="94">
        <v>46072</v>
      </c>
      <c r="M15" s="72" t="s">
        <v>336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7" t="s">
        <v>36</v>
      </c>
      <c r="Z15" s="13">
        <v>80</v>
      </c>
      <c r="AA15" s="13">
        <v>60</v>
      </c>
      <c r="AB15" s="13">
        <v>5</v>
      </c>
      <c r="AC15" s="13" t="s">
        <v>356</v>
      </c>
      <c r="AD15" s="13">
        <f>AA15/Capacity!$B$2</f>
        <v>8.5714285714285712</v>
      </c>
      <c r="AE15" s="13">
        <f>AA15/Capacity!$B$3</f>
        <v>7.5</v>
      </c>
      <c r="AF15" s="13"/>
      <c r="AG15" s="83"/>
      <c r="AH15" s="83"/>
      <c r="AI15" s="13"/>
      <c r="AJ15" s="13"/>
      <c r="AK15" s="13"/>
      <c r="AL15" s="13"/>
      <c r="AM15" s="13"/>
      <c r="AN15" s="83"/>
      <c r="AO15" s="83"/>
      <c r="AP15" s="13"/>
      <c r="AQ15" s="13"/>
      <c r="AR15" s="13"/>
      <c r="AS15" s="13"/>
      <c r="AT15" s="13"/>
      <c r="AU15" s="83"/>
      <c r="AV15" s="83"/>
      <c r="AW15" s="13"/>
      <c r="AX15" s="13"/>
      <c r="AY15" s="13"/>
      <c r="AZ15" s="13" t="s">
        <v>18</v>
      </c>
      <c r="BA15" s="13" t="s">
        <v>18</v>
      </c>
      <c r="BB15" s="83"/>
      <c r="BC15" s="83"/>
      <c r="BD15" s="13"/>
      <c r="BE15" s="13"/>
      <c r="BF15" s="13"/>
      <c r="BG15" s="13"/>
      <c r="BH15" s="13"/>
      <c r="BI15" s="83"/>
      <c r="BJ15" s="83"/>
      <c r="BK15" s="13"/>
      <c r="BL15" s="13"/>
      <c r="BM15" s="13"/>
      <c r="BN15" s="13"/>
      <c r="BO15" s="13"/>
      <c r="BP15" s="83"/>
      <c r="BQ15" s="83"/>
      <c r="BR15" s="13" t="s">
        <v>146</v>
      </c>
      <c r="BS15" s="13" t="s">
        <v>146</v>
      </c>
      <c r="BT15" s="13" t="s">
        <v>146</v>
      </c>
      <c r="BU15" s="13" t="s">
        <v>146</v>
      </c>
      <c r="BV15" s="13" t="s">
        <v>146</v>
      </c>
      <c r="BW15" s="83"/>
      <c r="BX15" s="83"/>
      <c r="BY15" s="13" t="s">
        <v>146</v>
      </c>
      <c r="BZ15" s="13" t="s">
        <v>146</v>
      </c>
      <c r="CA15" s="13" t="s">
        <v>146</v>
      </c>
      <c r="CB15" s="35" t="s">
        <v>341</v>
      </c>
      <c r="CC15" s="13"/>
      <c r="CD15" s="83"/>
      <c r="CE15" s="83"/>
      <c r="CF15" s="13"/>
      <c r="CG15" s="13"/>
      <c r="CH15" s="13"/>
      <c r="CI15" s="13"/>
      <c r="CJ15" s="13"/>
      <c r="CK15" s="83"/>
      <c r="CL15" s="83"/>
      <c r="CM15" s="13"/>
      <c r="CN15" s="13"/>
      <c r="CO15" s="13"/>
      <c r="CP15" s="13"/>
      <c r="CQ15" s="13"/>
      <c r="CR15" s="83"/>
      <c r="CS15" s="83"/>
      <c r="CT15" s="13"/>
      <c r="CU15" s="13"/>
      <c r="CV15" s="13"/>
      <c r="CW15" s="13"/>
      <c r="CX15" s="13"/>
      <c r="CY15" s="83"/>
      <c r="CZ15" s="83"/>
      <c r="DA15" s="13"/>
      <c r="DB15" s="13"/>
      <c r="DC15" s="13"/>
      <c r="DD15" s="13"/>
      <c r="DE15" s="13"/>
      <c r="DF15" s="83"/>
      <c r="DG15" s="83"/>
      <c r="DH15" s="13"/>
      <c r="DI15" s="13"/>
      <c r="DJ15" s="13"/>
      <c r="DK15" s="13"/>
      <c r="DL15" s="13"/>
      <c r="DM15" s="83"/>
      <c r="DN15" s="83"/>
      <c r="DO15" s="13"/>
      <c r="DP15" s="13"/>
      <c r="DQ15" s="13"/>
      <c r="DR15" s="13"/>
      <c r="DS15" s="13"/>
      <c r="DT15" s="13">
        <f t="shared" si="3"/>
        <v>8</v>
      </c>
    </row>
    <row r="16" spans="2:124" ht="30" customHeight="1" thickBot="1">
      <c r="B16" s="42" t="s">
        <v>37</v>
      </c>
      <c r="C16" s="43" t="s">
        <v>38</v>
      </c>
      <c r="D16" s="43"/>
      <c r="E16" s="150" t="s">
        <v>453</v>
      </c>
      <c r="F16" s="157">
        <v>46031</v>
      </c>
      <c r="G16" s="93" t="s">
        <v>16</v>
      </c>
      <c r="H16" s="149">
        <v>46038</v>
      </c>
      <c r="I16" s="91">
        <f>H16+7</f>
        <v>46045</v>
      </c>
      <c r="J16" s="96">
        <f t="shared" si="4"/>
        <v>46045</v>
      </c>
      <c r="K16" s="96">
        <v>46048</v>
      </c>
      <c r="L16" s="96">
        <v>46050</v>
      </c>
      <c r="M16" s="72" t="s">
        <v>336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7" t="s">
        <v>40</v>
      </c>
      <c r="Z16" s="13">
        <v>20</v>
      </c>
      <c r="AA16" s="13">
        <v>20</v>
      </c>
      <c r="AB16" s="13">
        <v>6</v>
      </c>
      <c r="AC16" s="13" t="s">
        <v>354</v>
      </c>
      <c r="AD16" s="13">
        <f>AA16/Capacity!$B$2</f>
        <v>2.8571428571428572</v>
      </c>
      <c r="AE16" s="13">
        <f>AA16/Capacity!$B$3</f>
        <v>2.5</v>
      </c>
      <c r="AF16" s="13"/>
      <c r="AG16" s="83"/>
      <c r="AH16" s="83"/>
      <c r="AI16" s="13"/>
      <c r="AJ16" s="13"/>
      <c r="AK16" s="13"/>
      <c r="AL16" s="13"/>
      <c r="AM16" s="13"/>
      <c r="AN16" s="83"/>
      <c r="AO16" s="83"/>
      <c r="AP16" s="13"/>
      <c r="AQ16" s="13"/>
      <c r="AR16" s="13"/>
      <c r="AS16" s="13"/>
      <c r="AT16" s="13"/>
      <c r="AU16" s="83"/>
      <c r="AV16" s="83"/>
      <c r="AW16" s="13"/>
      <c r="AX16" s="13"/>
      <c r="AY16" s="13"/>
      <c r="AZ16" s="13"/>
      <c r="BA16" s="13"/>
      <c r="BB16" s="83"/>
      <c r="BC16" s="83"/>
      <c r="BD16" s="13" t="s">
        <v>146</v>
      </c>
      <c r="BE16" s="13" t="s">
        <v>146</v>
      </c>
      <c r="BF16" s="13" t="s">
        <v>146</v>
      </c>
      <c r="BG16" s="41" t="s">
        <v>341</v>
      </c>
      <c r="BH16" s="13"/>
      <c r="BI16" s="83"/>
      <c r="BJ16" s="83"/>
      <c r="BK16" s="13"/>
      <c r="BL16" s="13"/>
      <c r="BM16" s="13"/>
      <c r="BN16" s="13"/>
      <c r="BO16" s="13"/>
      <c r="BP16" s="83"/>
      <c r="BQ16" s="83"/>
      <c r="BR16" s="13"/>
      <c r="BS16" s="13"/>
      <c r="BT16" s="13"/>
      <c r="BU16" s="13"/>
      <c r="BV16" s="13"/>
      <c r="BW16" s="83"/>
      <c r="BX16" s="83"/>
      <c r="BY16" s="13"/>
      <c r="BZ16" s="13"/>
      <c r="CA16" s="13"/>
      <c r="CB16" s="13"/>
      <c r="CC16" s="13"/>
      <c r="CD16" s="83"/>
      <c r="CE16" s="83"/>
      <c r="CF16" s="13"/>
      <c r="CG16" s="13"/>
      <c r="CH16" s="13"/>
      <c r="CI16" s="13"/>
      <c r="CJ16" s="13"/>
      <c r="CK16" s="83"/>
      <c r="CL16" s="83"/>
      <c r="CM16" s="13"/>
      <c r="CN16" s="13"/>
      <c r="CO16" s="13"/>
      <c r="CP16" s="13"/>
      <c r="CQ16" s="13"/>
      <c r="CR16" s="83"/>
      <c r="CS16" s="83"/>
      <c r="CT16" s="13"/>
      <c r="CU16" s="13"/>
      <c r="CV16" s="13"/>
      <c r="CW16" s="13"/>
      <c r="CX16" s="13"/>
      <c r="CY16" s="83"/>
      <c r="CZ16" s="83"/>
      <c r="DA16" s="13"/>
      <c r="DB16" s="13"/>
      <c r="DC16" s="13"/>
      <c r="DD16" s="13"/>
      <c r="DE16" s="13"/>
      <c r="DF16" s="83"/>
      <c r="DG16" s="83"/>
      <c r="DH16" s="13"/>
      <c r="DI16" s="13"/>
      <c r="DJ16" s="13"/>
      <c r="DK16" s="13"/>
      <c r="DL16" s="13"/>
      <c r="DM16" s="83"/>
      <c r="DN16" s="83"/>
      <c r="DO16" s="13"/>
      <c r="DP16" s="13"/>
      <c r="DQ16" s="13"/>
      <c r="DR16" s="13"/>
      <c r="DS16" s="13"/>
      <c r="DT16" s="13">
        <f t="shared" si="3"/>
        <v>3</v>
      </c>
    </row>
    <row r="17" spans="2:124" ht="30" customHeight="1" thickBot="1">
      <c r="B17" s="42" t="s">
        <v>41</v>
      </c>
      <c r="C17" s="6" t="s">
        <v>47</v>
      </c>
      <c r="D17" s="6"/>
      <c r="E17" s="95">
        <v>46045</v>
      </c>
      <c r="F17" s="152">
        <f>E17+7</f>
        <v>46052</v>
      </c>
      <c r="G17" s="92">
        <f t="shared" si="5"/>
        <v>46059</v>
      </c>
      <c r="H17" s="92" t="s">
        <v>16</v>
      </c>
      <c r="I17" s="90">
        <f t="shared" ref="I17" si="8">G17+7</f>
        <v>46066</v>
      </c>
      <c r="J17" s="94">
        <f t="shared" si="4"/>
        <v>46066</v>
      </c>
      <c r="K17" s="94">
        <v>46076</v>
      </c>
      <c r="L17" s="94">
        <v>46093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7" t="s">
        <v>45</v>
      </c>
      <c r="Z17" s="13">
        <v>140</v>
      </c>
      <c r="AA17" s="13">
        <v>100</v>
      </c>
      <c r="AB17" s="13">
        <v>5</v>
      </c>
      <c r="AC17" s="13" t="s">
        <v>356</v>
      </c>
      <c r="AD17" s="13">
        <f>AA17/Capacity!$B$2</f>
        <v>14.285714285714286</v>
      </c>
      <c r="AE17" s="13">
        <f>AA17/Capacity!$B$3</f>
        <v>12.5</v>
      </c>
      <c r="AF17" s="13"/>
      <c r="AG17" s="83"/>
      <c r="AH17" s="83"/>
      <c r="AI17" s="13"/>
      <c r="AJ17" s="13"/>
      <c r="AK17" s="13"/>
      <c r="AL17" s="13"/>
      <c r="AM17" s="13"/>
      <c r="AN17" s="83"/>
      <c r="AO17" s="83"/>
      <c r="AP17" s="13"/>
      <c r="AQ17" s="13"/>
      <c r="AR17" s="13"/>
      <c r="AS17" s="13"/>
      <c r="AT17" s="13"/>
      <c r="AU17" s="83"/>
      <c r="AV17" s="83"/>
      <c r="AW17" s="13"/>
      <c r="AX17" s="13"/>
      <c r="AY17" s="13"/>
      <c r="AZ17" s="13"/>
      <c r="BA17" s="13"/>
      <c r="BB17" s="83"/>
      <c r="BC17" s="83"/>
      <c r="BD17" s="13"/>
      <c r="BE17" s="13"/>
      <c r="BF17" s="13"/>
      <c r="BG17" s="13"/>
      <c r="BH17" s="13"/>
      <c r="BI17" s="83"/>
      <c r="BJ17" s="83"/>
      <c r="BK17" s="13"/>
      <c r="BL17" s="13"/>
      <c r="BM17" s="13"/>
      <c r="BN17" s="13"/>
      <c r="BO17" s="13"/>
      <c r="BP17" s="83"/>
      <c r="BQ17" s="83"/>
      <c r="BR17" s="13"/>
      <c r="BS17" s="13"/>
      <c r="BT17" s="13"/>
      <c r="BU17" s="13"/>
      <c r="BV17" s="13"/>
      <c r="BW17" s="83"/>
      <c r="BX17" s="83"/>
      <c r="BY17" s="13"/>
      <c r="BZ17" s="13"/>
      <c r="CA17" s="13"/>
      <c r="CB17" s="13"/>
      <c r="CC17" s="13"/>
      <c r="CD17" s="83"/>
      <c r="CE17" s="83"/>
      <c r="CF17" s="13" t="s">
        <v>146</v>
      </c>
      <c r="CG17" s="13" t="s">
        <v>146</v>
      </c>
      <c r="CH17" s="13" t="s">
        <v>146</v>
      </c>
      <c r="CI17" s="13" t="s">
        <v>146</v>
      </c>
      <c r="CJ17" s="13" t="s">
        <v>146</v>
      </c>
      <c r="CK17" s="83"/>
      <c r="CL17" s="83"/>
      <c r="CM17" s="13" t="s">
        <v>146</v>
      </c>
      <c r="CN17" s="13" t="s">
        <v>146</v>
      </c>
      <c r="CO17" s="13" t="s">
        <v>146</v>
      </c>
      <c r="CP17" s="13" t="s">
        <v>146</v>
      </c>
      <c r="CQ17" s="13" t="s">
        <v>146</v>
      </c>
      <c r="CR17" s="83"/>
      <c r="CS17" s="83"/>
      <c r="CT17" s="13"/>
      <c r="CU17" s="13" t="s">
        <v>146</v>
      </c>
      <c r="CV17" s="13" t="s">
        <v>146</v>
      </c>
      <c r="CW17" s="13" t="s">
        <v>146</v>
      </c>
      <c r="CX17" s="41" t="s">
        <v>341</v>
      </c>
      <c r="CY17" s="83"/>
      <c r="CZ17" s="83"/>
      <c r="DA17" s="13"/>
      <c r="DB17" s="13"/>
      <c r="DC17" s="13"/>
      <c r="DD17" s="13"/>
      <c r="DE17" s="13"/>
      <c r="DF17" s="83"/>
      <c r="DG17" s="83"/>
      <c r="DH17" s="13"/>
      <c r="DI17" s="13"/>
      <c r="DJ17" s="13"/>
      <c r="DK17" s="13"/>
      <c r="DL17" s="13"/>
      <c r="DM17" s="83"/>
      <c r="DN17" s="83"/>
      <c r="DO17" s="13"/>
      <c r="DP17" s="13"/>
      <c r="DQ17" s="13"/>
      <c r="DR17" s="13"/>
      <c r="DS17" s="13"/>
      <c r="DT17" s="13">
        <f t="shared" si="3"/>
        <v>13</v>
      </c>
    </row>
    <row r="18" spans="2:124" ht="30" customHeight="1" thickBot="1">
      <c r="B18" s="42" t="s">
        <v>46</v>
      </c>
      <c r="C18" s="43" t="s">
        <v>47</v>
      </c>
      <c r="D18" s="43"/>
      <c r="E18" s="95">
        <v>46059</v>
      </c>
      <c r="F18" s="95">
        <v>46064</v>
      </c>
      <c r="G18" s="93" t="s">
        <v>16</v>
      </c>
      <c r="H18" s="91">
        <v>46066</v>
      </c>
      <c r="I18" s="91">
        <f>H18+7</f>
        <v>46073</v>
      </c>
      <c r="J18" s="96">
        <f t="shared" si="4"/>
        <v>46073</v>
      </c>
      <c r="K18" s="96">
        <v>46041</v>
      </c>
      <c r="L18" s="96">
        <v>46050</v>
      </c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7" t="s">
        <v>40</v>
      </c>
      <c r="Z18" s="13">
        <v>90</v>
      </c>
      <c r="AA18" s="13">
        <v>60</v>
      </c>
      <c r="AB18" s="13" t="s">
        <v>18</v>
      </c>
      <c r="AC18" s="34" t="s">
        <v>352</v>
      </c>
      <c r="AD18" s="13">
        <f>AA18/Capacity!$B$2</f>
        <v>8.5714285714285712</v>
      </c>
      <c r="AE18" s="13">
        <f>AA18/Capacity!$B$3</f>
        <v>7.5</v>
      </c>
      <c r="AF18" s="13"/>
      <c r="AG18" s="83"/>
      <c r="AH18" s="83"/>
      <c r="AI18" s="13" t="s">
        <v>18</v>
      </c>
      <c r="AJ18" s="13" t="s">
        <v>18</v>
      </c>
      <c r="AK18" s="13"/>
      <c r="AL18" s="13"/>
      <c r="AM18" s="13"/>
      <c r="AN18" s="83"/>
      <c r="AO18" s="83"/>
      <c r="AP18" s="13"/>
      <c r="AQ18" s="13"/>
      <c r="AR18" s="13"/>
      <c r="AS18" s="13"/>
      <c r="AT18" s="13"/>
      <c r="AU18" s="83"/>
      <c r="AV18" s="83"/>
      <c r="AW18" s="13"/>
      <c r="AX18" s="13"/>
      <c r="AY18" s="13"/>
      <c r="AZ18" s="13"/>
      <c r="BA18" s="13"/>
      <c r="BB18" s="83"/>
      <c r="BC18" s="83"/>
      <c r="BD18" s="13"/>
      <c r="BE18" s="13"/>
      <c r="BF18" s="13"/>
      <c r="BG18" s="35"/>
      <c r="BH18" s="13"/>
      <c r="BI18" s="83"/>
      <c r="BJ18" s="83"/>
      <c r="BK18" s="13"/>
      <c r="BL18" s="13"/>
      <c r="BM18" s="13"/>
      <c r="BN18" s="13"/>
      <c r="BO18" s="13"/>
      <c r="BP18" s="83"/>
      <c r="BQ18" s="83"/>
      <c r="BR18" s="13"/>
      <c r="BS18" s="13"/>
      <c r="BT18" s="13"/>
      <c r="BU18" s="13"/>
      <c r="BV18" s="13" t="s">
        <v>18</v>
      </c>
      <c r="BW18" s="83"/>
      <c r="BX18" s="83"/>
      <c r="BY18" s="13"/>
      <c r="BZ18" s="13"/>
      <c r="CA18" s="13"/>
      <c r="CB18" s="13"/>
      <c r="CC18" s="13"/>
      <c r="CD18" s="83"/>
      <c r="CE18" s="83"/>
      <c r="CF18" s="13" t="s">
        <v>146</v>
      </c>
      <c r="CG18" s="13" t="s">
        <v>146</v>
      </c>
      <c r="CH18" s="13" t="s">
        <v>146</v>
      </c>
      <c r="CI18" s="13" t="s">
        <v>146</v>
      </c>
      <c r="CJ18" s="13" t="s">
        <v>146</v>
      </c>
      <c r="CK18" s="83"/>
      <c r="CL18" s="83"/>
      <c r="CM18" s="13" t="s">
        <v>146</v>
      </c>
      <c r="CN18" s="13" t="s">
        <v>146</v>
      </c>
      <c r="CO18" s="13" t="s">
        <v>146</v>
      </c>
      <c r="CP18" s="35" t="s">
        <v>341</v>
      </c>
      <c r="CQ18" s="13"/>
      <c r="CR18" s="83"/>
      <c r="CS18" s="83"/>
      <c r="CT18" s="13"/>
      <c r="CU18" s="13"/>
      <c r="CV18" s="13"/>
      <c r="CW18" s="13"/>
      <c r="CX18" s="13"/>
      <c r="CY18" s="83"/>
      <c r="CZ18" s="83"/>
      <c r="DA18" s="13"/>
      <c r="DB18" s="13"/>
      <c r="DC18" s="13"/>
      <c r="DD18" s="13"/>
      <c r="DE18" s="13"/>
      <c r="DF18" s="83"/>
      <c r="DG18" s="83"/>
      <c r="DH18" s="13"/>
      <c r="DI18" s="13"/>
      <c r="DJ18" s="13"/>
      <c r="DK18" s="13"/>
      <c r="DL18" s="13"/>
      <c r="DM18" s="83"/>
      <c r="DN18" s="83"/>
      <c r="DO18" s="13"/>
      <c r="DP18" s="13"/>
      <c r="DQ18" s="13"/>
      <c r="DR18" s="13"/>
      <c r="DS18" s="13"/>
      <c r="DT18" s="13">
        <f t="shared" si="3"/>
        <v>8</v>
      </c>
    </row>
    <row r="19" spans="2:124" ht="30" customHeight="1" thickBot="1">
      <c r="B19" s="42" t="s">
        <v>48</v>
      </c>
      <c r="C19" s="6" t="s">
        <v>20</v>
      </c>
      <c r="D19" s="6"/>
      <c r="E19" s="95">
        <v>46052</v>
      </c>
      <c r="F19" s="152">
        <f>E19+7</f>
        <v>46059</v>
      </c>
      <c r="G19" s="92">
        <f t="shared" si="5"/>
        <v>46066</v>
      </c>
      <c r="H19" s="92" t="s">
        <v>16</v>
      </c>
      <c r="I19" s="90">
        <f t="shared" ref="I19" si="9">G19+7</f>
        <v>46073</v>
      </c>
      <c r="J19" s="94">
        <f t="shared" si="4"/>
        <v>46073</v>
      </c>
      <c r="K19" s="94">
        <v>46076</v>
      </c>
      <c r="L19" s="94">
        <v>46104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14" t="s">
        <v>49</v>
      </c>
      <c r="Z19" s="15">
        <v>350</v>
      </c>
      <c r="AA19" s="34">
        <v>215</v>
      </c>
      <c r="AB19" s="15">
        <v>4</v>
      </c>
      <c r="AC19" s="174" t="s">
        <v>354</v>
      </c>
      <c r="AD19" s="13">
        <f>AA19/Capacity!$B$2</f>
        <v>30.714285714285715</v>
      </c>
      <c r="AE19" s="13">
        <f>AA19/Capacity!$B$3</f>
        <v>26.875</v>
      </c>
      <c r="AF19" s="13"/>
      <c r="AG19" s="83"/>
      <c r="AH19" s="83"/>
      <c r="AI19" s="13"/>
      <c r="AJ19" s="13"/>
      <c r="AK19" s="13"/>
      <c r="AL19" s="13"/>
      <c r="AM19" s="13"/>
      <c r="AN19" s="83"/>
      <c r="AO19" s="83"/>
      <c r="AP19" s="13"/>
      <c r="AQ19" s="13"/>
      <c r="AR19" s="13"/>
      <c r="AS19" s="13"/>
      <c r="AT19" s="13"/>
      <c r="AU19" s="83"/>
      <c r="AV19" s="83"/>
      <c r="AW19" s="13"/>
      <c r="AX19" s="13"/>
      <c r="AY19" s="13"/>
      <c r="AZ19" s="13"/>
      <c r="BA19" s="13"/>
      <c r="BB19" s="83"/>
      <c r="BC19" s="83"/>
      <c r="BD19" s="13"/>
      <c r="BE19" s="13"/>
      <c r="BF19" s="13"/>
      <c r="BG19" s="13"/>
      <c r="BH19" s="13"/>
      <c r="BI19" s="83"/>
      <c r="BJ19" s="83"/>
      <c r="BK19" s="13"/>
      <c r="BL19" s="13"/>
      <c r="BM19" s="13"/>
      <c r="BN19" s="13"/>
      <c r="BO19" s="13"/>
      <c r="BP19" s="83"/>
      <c r="BQ19" s="83"/>
      <c r="BR19" s="13" t="s">
        <v>18</v>
      </c>
      <c r="BS19" s="13" t="s">
        <v>18</v>
      </c>
      <c r="BT19" s="13" t="s">
        <v>18</v>
      </c>
      <c r="BU19" s="13"/>
      <c r="BV19" s="13"/>
      <c r="BW19" s="83"/>
      <c r="BX19" s="83"/>
      <c r="BY19" s="13"/>
      <c r="BZ19" s="13"/>
      <c r="CA19" s="13"/>
      <c r="CB19" s="13"/>
      <c r="CC19" s="13"/>
      <c r="CD19" s="83"/>
      <c r="CE19" s="83"/>
      <c r="CF19" s="13" t="s">
        <v>146</v>
      </c>
      <c r="CG19" s="13" t="s">
        <v>146</v>
      </c>
      <c r="CH19" s="13" t="s">
        <v>146</v>
      </c>
      <c r="CI19" s="13" t="s">
        <v>146</v>
      </c>
      <c r="CJ19" s="13" t="s">
        <v>146</v>
      </c>
      <c r="CK19" s="83"/>
      <c r="CL19" s="83"/>
      <c r="CM19" s="13" t="s">
        <v>146</v>
      </c>
      <c r="CN19" s="13" t="s">
        <v>146</v>
      </c>
      <c r="CO19" s="13" t="s">
        <v>146</v>
      </c>
      <c r="CP19" s="13" t="s">
        <v>146</v>
      </c>
      <c r="CQ19" s="13" t="s">
        <v>146</v>
      </c>
      <c r="CR19" s="83"/>
      <c r="CS19" s="83"/>
      <c r="CT19" s="13" t="s">
        <v>146</v>
      </c>
      <c r="CU19" s="13" t="s">
        <v>146</v>
      </c>
      <c r="CV19" s="13" t="s">
        <v>146</v>
      </c>
      <c r="CW19" s="13" t="s">
        <v>146</v>
      </c>
      <c r="CX19" s="13" t="s">
        <v>146</v>
      </c>
      <c r="CY19" s="83"/>
      <c r="CZ19" s="83"/>
      <c r="DA19" s="13" t="s">
        <v>146</v>
      </c>
      <c r="DB19" s="13" t="s">
        <v>146</v>
      </c>
      <c r="DC19" s="13" t="s">
        <v>146</v>
      </c>
      <c r="DD19" s="13" t="s">
        <v>146</v>
      </c>
      <c r="DE19" s="13" t="s">
        <v>146</v>
      </c>
      <c r="DF19" s="83"/>
      <c r="DG19" s="83"/>
      <c r="DH19" s="13" t="s">
        <v>146</v>
      </c>
      <c r="DI19" s="41" t="s">
        <v>341</v>
      </c>
      <c r="DJ19" s="13"/>
      <c r="DK19" s="13"/>
      <c r="DL19" s="13"/>
      <c r="DM19" s="83"/>
      <c r="DN19" s="83"/>
      <c r="DO19" s="13"/>
      <c r="DP19" s="13"/>
      <c r="DQ19" s="13"/>
      <c r="DR19" s="13" t="s">
        <v>18</v>
      </c>
      <c r="DS19" s="13" t="s">
        <v>18</v>
      </c>
      <c r="DT19" s="13">
        <f t="shared" si="3"/>
        <v>21</v>
      </c>
    </row>
    <row r="20" spans="2:124" ht="30" customHeight="1" thickBot="1">
      <c r="B20" s="42" t="s">
        <v>50</v>
      </c>
      <c r="C20" s="6" t="s">
        <v>38</v>
      </c>
      <c r="D20" s="6"/>
      <c r="E20" s="153">
        <v>46031</v>
      </c>
      <c r="F20" s="152">
        <f>E20+7</f>
        <v>46038</v>
      </c>
      <c r="G20" s="92" t="s">
        <v>16</v>
      </c>
      <c r="H20" s="92" t="s">
        <v>16</v>
      </c>
      <c r="I20" s="92" t="s">
        <v>16</v>
      </c>
      <c r="J20" s="92" t="s">
        <v>16</v>
      </c>
      <c r="K20" s="97">
        <v>46041</v>
      </c>
      <c r="L20" s="97">
        <v>46045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 t="s">
        <v>40</v>
      </c>
      <c r="Z20" s="13">
        <v>40</v>
      </c>
      <c r="AA20" s="13">
        <v>40</v>
      </c>
      <c r="AB20" s="13">
        <v>2</v>
      </c>
      <c r="AC20" s="34" t="s">
        <v>361</v>
      </c>
      <c r="AD20" s="13">
        <f>AA20/Capacity!$B$2</f>
        <v>5.7142857142857144</v>
      </c>
      <c r="AE20" s="13">
        <f>AA20/Capacity!$B$3</f>
        <v>5</v>
      </c>
      <c r="AF20" s="13"/>
      <c r="AG20" s="83"/>
      <c r="AH20" s="83"/>
      <c r="AI20" s="13"/>
      <c r="AJ20" s="13"/>
      <c r="AK20" s="13"/>
      <c r="AL20" s="13"/>
      <c r="AM20" s="13"/>
      <c r="AN20" s="83"/>
      <c r="AO20" s="83"/>
      <c r="AP20" s="13"/>
      <c r="AQ20" s="13"/>
      <c r="AR20" s="13"/>
      <c r="AS20" s="13"/>
      <c r="AT20" s="13"/>
      <c r="AU20" s="83"/>
      <c r="AV20" s="83"/>
      <c r="AW20" s="13" t="s">
        <v>146</v>
      </c>
      <c r="AX20" s="13" t="s">
        <v>146</v>
      </c>
      <c r="AY20" s="13" t="s">
        <v>146</v>
      </c>
      <c r="AZ20" s="13" t="s">
        <v>146</v>
      </c>
      <c r="BA20" s="13" t="s">
        <v>146</v>
      </c>
      <c r="BB20" s="83"/>
      <c r="BC20" s="83"/>
      <c r="BD20" s="35" t="s">
        <v>341</v>
      </c>
      <c r="BE20" s="13"/>
      <c r="BF20" s="13"/>
      <c r="BG20" s="13"/>
      <c r="BH20" s="13"/>
      <c r="BI20" s="83"/>
      <c r="BJ20" s="83"/>
      <c r="BK20" s="13"/>
      <c r="BL20" s="13"/>
      <c r="BM20" s="13"/>
      <c r="BN20" s="13"/>
      <c r="BO20" s="13"/>
      <c r="BP20" s="83"/>
      <c r="BQ20" s="83"/>
      <c r="BR20" s="13"/>
      <c r="BS20" s="13"/>
      <c r="BT20" s="13"/>
      <c r="BU20" s="13"/>
      <c r="BV20" s="13"/>
      <c r="BW20" s="83"/>
      <c r="BX20" s="83"/>
      <c r="BY20" s="13"/>
      <c r="BZ20" s="13"/>
      <c r="CA20" s="13"/>
      <c r="CB20" s="13"/>
      <c r="CC20" s="13"/>
      <c r="CD20" s="83"/>
      <c r="CE20" s="83"/>
      <c r="CF20" s="13"/>
      <c r="CG20" s="13"/>
      <c r="CH20" s="13"/>
      <c r="CI20" s="13"/>
      <c r="CJ20" s="13"/>
      <c r="CK20" s="83"/>
      <c r="CL20" s="83"/>
      <c r="CM20" s="13"/>
      <c r="CN20" s="13"/>
      <c r="CO20" s="13"/>
      <c r="CP20" s="13"/>
      <c r="CQ20" s="13"/>
      <c r="CR20" s="83"/>
      <c r="CS20" s="83"/>
      <c r="CT20" s="13"/>
      <c r="CU20" s="13"/>
      <c r="CV20" s="13"/>
      <c r="CW20" s="13"/>
      <c r="CX20" s="13"/>
      <c r="CY20" s="83"/>
      <c r="CZ20" s="83"/>
      <c r="DA20" s="13"/>
      <c r="DB20" s="13"/>
      <c r="DC20" s="13"/>
      <c r="DD20" s="13"/>
      <c r="DE20" s="13"/>
      <c r="DF20" s="83"/>
      <c r="DG20" s="83"/>
      <c r="DH20" s="13"/>
      <c r="DI20" s="13"/>
      <c r="DJ20" s="13"/>
      <c r="DK20" s="13"/>
      <c r="DL20" s="13"/>
      <c r="DM20" s="83"/>
      <c r="DN20" s="83"/>
      <c r="DO20" s="13"/>
      <c r="DP20" s="13"/>
      <c r="DQ20" s="13"/>
      <c r="DR20" s="13"/>
      <c r="DS20" s="13"/>
      <c r="DT20" s="13">
        <f t="shared" si="3"/>
        <v>5</v>
      </c>
    </row>
    <row r="21" spans="2:124" ht="30" customHeight="1" thickBot="1">
      <c r="B21" s="42" t="s">
        <v>51</v>
      </c>
      <c r="C21" s="6" t="s">
        <v>38</v>
      </c>
      <c r="D21" s="6"/>
      <c r="E21" s="152">
        <v>46052</v>
      </c>
      <c r="F21" s="95">
        <v>46057</v>
      </c>
      <c r="G21" s="92" t="s">
        <v>16</v>
      </c>
      <c r="H21" s="90">
        <f>F21+7</f>
        <v>46064</v>
      </c>
      <c r="I21" s="90">
        <f>H21+7</f>
        <v>46071</v>
      </c>
      <c r="J21" s="94">
        <f t="shared" si="4"/>
        <v>46071</v>
      </c>
      <c r="K21" s="94">
        <v>46087</v>
      </c>
      <c r="L21" s="94">
        <v>46099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175" t="s">
        <v>52</v>
      </c>
      <c r="Z21" s="13">
        <v>90</v>
      </c>
      <c r="AA21" s="13">
        <v>80</v>
      </c>
      <c r="AB21" s="13">
        <v>3</v>
      </c>
      <c r="AC21" s="34" t="s">
        <v>352</v>
      </c>
      <c r="AD21" s="13">
        <f>AA21/Capacity!$B$2</f>
        <v>11.428571428571429</v>
      </c>
      <c r="AE21" s="13">
        <f>AA21/Capacity!$B$3</f>
        <v>10</v>
      </c>
      <c r="AF21" s="13"/>
      <c r="AG21" s="83"/>
      <c r="AH21" s="83"/>
      <c r="AI21" s="13" t="s">
        <v>18</v>
      </c>
      <c r="AJ21" s="13" t="s">
        <v>18</v>
      </c>
      <c r="AK21" s="13"/>
      <c r="AL21" s="13"/>
      <c r="AM21" s="13"/>
      <c r="AN21" s="83"/>
      <c r="AO21" s="83"/>
      <c r="AP21" s="13"/>
      <c r="AQ21" s="13"/>
      <c r="AR21" s="13"/>
      <c r="AS21" s="13"/>
      <c r="AT21" s="13"/>
      <c r="AU21" s="83"/>
      <c r="AV21" s="83"/>
      <c r="AW21" s="13"/>
      <c r="AX21" s="13"/>
      <c r="AY21" s="13"/>
      <c r="AZ21" s="13"/>
      <c r="BA21" s="13"/>
      <c r="BB21" s="83"/>
      <c r="BC21" s="83"/>
      <c r="BD21" s="13"/>
      <c r="BE21" s="13"/>
      <c r="BF21" s="13"/>
      <c r="BG21" s="13"/>
      <c r="BH21" s="13"/>
      <c r="BI21" s="83"/>
      <c r="BJ21" s="83"/>
      <c r="BK21" s="13"/>
      <c r="BL21" s="13"/>
      <c r="BM21" s="13"/>
      <c r="BN21" s="13"/>
      <c r="BO21" s="13"/>
      <c r="BP21" s="83"/>
      <c r="BQ21" s="83"/>
      <c r="BR21" s="13"/>
      <c r="BS21" s="13"/>
      <c r="BT21" s="13"/>
      <c r="BU21" s="13"/>
      <c r="BV21" s="13"/>
      <c r="BW21" s="83"/>
      <c r="BX21" s="83"/>
      <c r="BY21" s="13"/>
      <c r="BZ21" s="13"/>
      <c r="CA21" s="13"/>
      <c r="CB21" s="13"/>
      <c r="CC21" s="13"/>
      <c r="CD21" s="83"/>
      <c r="CE21" s="83"/>
      <c r="CF21" s="13"/>
      <c r="CG21" s="13"/>
      <c r="CH21" s="13"/>
      <c r="CI21" s="13"/>
      <c r="CJ21" s="13"/>
      <c r="CK21" s="83"/>
      <c r="CL21" s="83"/>
      <c r="CM21" s="13"/>
      <c r="CN21" s="13"/>
      <c r="CO21" s="13"/>
      <c r="CP21" s="13"/>
      <c r="CQ21" s="13" t="s">
        <v>146</v>
      </c>
      <c r="CR21" s="83"/>
      <c r="CS21" s="83"/>
      <c r="CT21" s="13" t="s">
        <v>146</v>
      </c>
      <c r="CU21" s="13" t="s">
        <v>146</v>
      </c>
      <c r="CV21" s="13" t="s">
        <v>146</v>
      </c>
      <c r="CW21" s="13" t="s">
        <v>146</v>
      </c>
      <c r="CX21" s="13" t="s">
        <v>146</v>
      </c>
      <c r="CY21" s="83"/>
      <c r="CZ21" s="83"/>
      <c r="DA21" s="13" t="s">
        <v>146</v>
      </c>
      <c r="DB21" s="13" t="s">
        <v>146</v>
      </c>
      <c r="DC21" s="13" t="s">
        <v>146</v>
      </c>
      <c r="DD21" s="13" t="s">
        <v>146</v>
      </c>
      <c r="DE21" s="35" t="s">
        <v>341</v>
      </c>
      <c r="DF21" s="83"/>
      <c r="DG21" s="83"/>
      <c r="DH21" s="13"/>
      <c r="DI21" s="13"/>
      <c r="DJ21" s="13"/>
      <c r="DK21" s="13"/>
      <c r="DL21" s="13"/>
      <c r="DM21" s="83"/>
      <c r="DN21" s="83"/>
      <c r="DO21" s="13"/>
      <c r="DP21" s="13"/>
      <c r="DQ21" s="13"/>
      <c r="DR21" s="13"/>
      <c r="DS21" s="13"/>
      <c r="DT21" s="13">
        <f t="shared" si="3"/>
        <v>10</v>
      </c>
    </row>
    <row r="22" spans="2:124" ht="30" customHeight="1" thickBot="1">
      <c r="B22" s="42" t="s">
        <v>53</v>
      </c>
      <c r="C22" s="6" t="s">
        <v>38</v>
      </c>
      <c r="D22" s="6"/>
      <c r="E22" s="152">
        <v>46059</v>
      </c>
      <c r="F22" s="92" t="s">
        <v>16</v>
      </c>
      <c r="G22" s="92" t="s">
        <v>16</v>
      </c>
      <c r="H22" s="90">
        <f>E22+7</f>
        <v>46066</v>
      </c>
      <c r="I22" s="90">
        <f>H22+7</f>
        <v>46073</v>
      </c>
      <c r="J22" s="98">
        <f t="shared" si="4"/>
        <v>46073</v>
      </c>
      <c r="K22" s="98">
        <v>46027</v>
      </c>
      <c r="L22" s="98">
        <v>46038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7" t="s">
        <v>362</v>
      </c>
      <c r="Z22" s="13">
        <v>40</v>
      </c>
      <c r="AA22" s="13">
        <v>40</v>
      </c>
      <c r="AB22" s="13">
        <v>3</v>
      </c>
      <c r="AC22" s="13" t="s">
        <v>354</v>
      </c>
      <c r="AD22" s="13">
        <f>AA22/Capacity!$B$2</f>
        <v>5.7142857142857144</v>
      </c>
      <c r="AE22" s="13">
        <f>AA22/Capacity!$B$3</f>
        <v>5</v>
      </c>
      <c r="AF22" s="13"/>
      <c r="AG22" s="83"/>
      <c r="AH22" s="83"/>
      <c r="AI22" s="13" t="s">
        <v>146</v>
      </c>
      <c r="AJ22" s="13" t="s">
        <v>146</v>
      </c>
      <c r="AK22" s="13" t="s">
        <v>146</v>
      </c>
      <c r="AL22" s="13" t="s">
        <v>146</v>
      </c>
      <c r="AM22" s="13" t="s">
        <v>146</v>
      </c>
      <c r="AN22" s="83"/>
      <c r="AO22" s="83"/>
      <c r="AP22" s="13" t="s">
        <v>146</v>
      </c>
      <c r="AQ22" s="13" t="s">
        <v>146</v>
      </c>
      <c r="AR22" s="13" t="s">
        <v>146</v>
      </c>
      <c r="AS22" s="13" t="s">
        <v>146</v>
      </c>
      <c r="AT22" s="13" t="s">
        <v>146</v>
      </c>
      <c r="AU22" s="83"/>
      <c r="AV22" s="83"/>
      <c r="AW22" s="41" t="s">
        <v>341</v>
      </c>
      <c r="AX22" s="13"/>
      <c r="AY22" s="13"/>
      <c r="AZ22" s="13"/>
      <c r="BA22" s="13"/>
      <c r="BB22" s="83"/>
      <c r="BC22" s="83"/>
      <c r="BD22" s="13"/>
      <c r="BE22" s="13"/>
      <c r="BF22" s="13"/>
      <c r="BG22" s="13"/>
      <c r="BH22" s="13"/>
      <c r="BI22" s="83"/>
      <c r="BJ22" s="83"/>
      <c r="BK22" s="13"/>
      <c r="BL22" s="13"/>
      <c r="BM22" s="13"/>
      <c r="BN22" s="13"/>
      <c r="BO22" s="13"/>
      <c r="BP22" s="83"/>
      <c r="BQ22" s="83"/>
      <c r="BR22" s="13"/>
      <c r="BS22" s="13"/>
      <c r="BT22" s="13"/>
      <c r="BU22" s="13"/>
      <c r="BV22" s="13"/>
      <c r="BW22" s="83"/>
      <c r="BX22" s="83"/>
      <c r="BY22" s="13"/>
      <c r="BZ22" s="13"/>
      <c r="CA22" s="13"/>
      <c r="CB22" s="13"/>
      <c r="CC22" s="13"/>
      <c r="CD22" s="83"/>
      <c r="CE22" s="83"/>
      <c r="CF22" s="13"/>
      <c r="CG22" s="13"/>
      <c r="CH22" s="13"/>
      <c r="CI22" s="13"/>
      <c r="CJ22" s="13"/>
      <c r="CK22" s="83"/>
      <c r="CL22" s="83"/>
      <c r="CM22" s="13" t="s">
        <v>18</v>
      </c>
      <c r="CN22" s="13" t="s">
        <v>18</v>
      </c>
      <c r="CO22" s="13" t="s">
        <v>18</v>
      </c>
      <c r="CP22" s="13" t="s">
        <v>18</v>
      </c>
      <c r="CQ22" s="13" t="s">
        <v>18</v>
      </c>
      <c r="CR22" s="83"/>
      <c r="CS22" s="83"/>
      <c r="CT22" s="13" t="s">
        <v>18</v>
      </c>
      <c r="CU22" s="13" t="s">
        <v>18</v>
      </c>
      <c r="CV22" s="13" t="s">
        <v>18</v>
      </c>
      <c r="CW22" s="13" t="s">
        <v>18</v>
      </c>
      <c r="CX22" s="13" t="s">
        <v>18</v>
      </c>
      <c r="CY22" s="83"/>
      <c r="CZ22" s="83"/>
      <c r="DA22" s="13"/>
      <c r="DB22" s="13"/>
      <c r="DC22" s="13"/>
      <c r="DD22" s="13"/>
      <c r="DE22" s="13"/>
      <c r="DF22" s="83"/>
      <c r="DG22" s="83"/>
      <c r="DH22" s="13"/>
      <c r="DI22" s="13"/>
      <c r="DJ22" s="13"/>
      <c r="DK22" s="13"/>
      <c r="DL22" s="13"/>
      <c r="DM22" s="83"/>
      <c r="DN22" s="83"/>
      <c r="DO22" s="13"/>
      <c r="DP22" s="13"/>
      <c r="DQ22" s="13"/>
      <c r="DR22" s="13"/>
      <c r="DS22" s="13"/>
      <c r="DT22" s="13">
        <f t="shared" si="3"/>
        <v>10</v>
      </c>
    </row>
    <row r="23" spans="2:124" ht="30" customHeight="1" thickBot="1">
      <c r="B23" s="42" t="s">
        <v>54</v>
      </c>
      <c r="C23" s="6" t="s">
        <v>38</v>
      </c>
      <c r="D23" s="6"/>
      <c r="E23" s="153">
        <v>46031</v>
      </c>
      <c r="F23" s="95">
        <f>E23+7</f>
        <v>46038</v>
      </c>
      <c r="G23" s="92" t="s">
        <v>16</v>
      </c>
      <c r="H23" s="90">
        <f>F23+7</f>
        <v>46045</v>
      </c>
      <c r="I23" s="176">
        <v>46045</v>
      </c>
      <c r="J23" s="94">
        <f>I23</f>
        <v>46045</v>
      </c>
      <c r="K23" s="94">
        <v>46044</v>
      </c>
      <c r="L23" s="94">
        <v>46044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7" t="s">
        <v>363</v>
      </c>
      <c r="Z23" s="13">
        <v>10</v>
      </c>
      <c r="AA23" s="13">
        <v>11</v>
      </c>
      <c r="AB23" s="13" t="s">
        <v>18</v>
      </c>
      <c r="AC23" s="13" t="s">
        <v>354</v>
      </c>
      <c r="AD23" s="13">
        <f>AA23/Capacity!$B$2</f>
        <v>1.5714285714285714</v>
      </c>
      <c r="AE23" s="13">
        <f>AA23/Capacity!$B$3</f>
        <v>1.375</v>
      </c>
      <c r="AF23" s="13"/>
      <c r="AG23" s="83"/>
      <c r="AH23" s="83"/>
      <c r="AI23" s="13"/>
      <c r="AJ23" s="13"/>
      <c r="AK23" s="13"/>
      <c r="AL23" s="13"/>
      <c r="AM23" s="13"/>
      <c r="AN23" s="83"/>
      <c r="AO23" s="83"/>
      <c r="AP23" s="13"/>
      <c r="AQ23" s="13"/>
      <c r="AR23" s="13"/>
      <c r="AS23" s="13"/>
      <c r="AT23" s="13"/>
      <c r="AU23" s="83"/>
      <c r="AV23" s="83"/>
      <c r="AW23" s="13"/>
      <c r="AX23" s="13"/>
      <c r="AY23" s="13"/>
      <c r="AZ23" s="13" t="s">
        <v>146</v>
      </c>
      <c r="BA23" s="41" t="s">
        <v>341</v>
      </c>
      <c r="BB23" s="83"/>
      <c r="BC23" s="83"/>
      <c r="BD23" s="13"/>
      <c r="BE23" s="13"/>
      <c r="BF23" s="13"/>
      <c r="BG23" s="13"/>
      <c r="BH23" s="13"/>
      <c r="BI23" s="83"/>
      <c r="BJ23" s="83"/>
      <c r="BK23" s="13"/>
      <c r="BL23" s="13"/>
      <c r="BM23" s="13"/>
      <c r="BN23" s="13"/>
      <c r="BO23" s="13"/>
      <c r="BP23" s="83"/>
      <c r="BQ23" s="83"/>
      <c r="BR23" s="13"/>
      <c r="BS23" s="13"/>
      <c r="BT23" s="13"/>
      <c r="BU23" s="13"/>
      <c r="BV23" s="13"/>
      <c r="BW23" s="83"/>
      <c r="BX23" s="83"/>
      <c r="BY23" s="13"/>
      <c r="BZ23" s="13"/>
      <c r="CA23" s="13"/>
      <c r="CB23" s="13"/>
      <c r="CC23" s="13"/>
      <c r="CD23" s="83"/>
      <c r="CE23" s="83"/>
      <c r="CF23" s="13" t="s">
        <v>18</v>
      </c>
      <c r="CG23" s="13"/>
      <c r="CH23" s="13"/>
      <c r="CI23" s="13"/>
      <c r="CJ23" s="13"/>
      <c r="CK23" s="83"/>
      <c r="CL23" s="83"/>
      <c r="CM23" s="13"/>
      <c r="CN23" s="13"/>
      <c r="CO23" s="13"/>
      <c r="CP23" s="13"/>
      <c r="CQ23" s="13"/>
      <c r="CR23" s="83"/>
      <c r="CS23" s="83"/>
      <c r="CT23" s="13"/>
      <c r="CU23" s="13"/>
      <c r="CV23" s="13"/>
      <c r="CW23" s="13"/>
      <c r="CX23" s="13"/>
      <c r="CY23" s="83"/>
      <c r="CZ23" s="83"/>
      <c r="DA23" s="13"/>
      <c r="DB23" s="13"/>
      <c r="DC23" s="13"/>
      <c r="DD23" s="13"/>
      <c r="DE23" s="13"/>
      <c r="DF23" s="83"/>
      <c r="DG23" s="83"/>
      <c r="DH23" s="13"/>
      <c r="DI23" s="13"/>
      <c r="DJ23" s="13"/>
      <c r="DK23" s="13"/>
      <c r="DL23" s="13"/>
      <c r="DM23" s="83"/>
      <c r="DN23" s="83"/>
      <c r="DO23" s="13"/>
      <c r="DP23" s="13"/>
      <c r="DQ23" s="13"/>
      <c r="DR23" s="13"/>
      <c r="DS23" s="13"/>
      <c r="DT23" s="13">
        <f t="shared" si="3"/>
        <v>1</v>
      </c>
    </row>
    <row r="24" spans="2:124" ht="30" customHeight="1" thickBot="1">
      <c r="B24" s="5" t="s">
        <v>57</v>
      </c>
      <c r="C24" s="6" t="s">
        <v>38</v>
      </c>
      <c r="D24" s="6"/>
      <c r="E24" s="150" t="s">
        <v>58</v>
      </c>
      <c r="F24" s="150" t="s">
        <v>58</v>
      </c>
      <c r="G24" s="158" t="s">
        <v>58</v>
      </c>
      <c r="H24" s="158" t="s">
        <v>58</v>
      </c>
      <c r="I24" s="158" t="s">
        <v>58</v>
      </c>
      <c r="J24" s="158" t="s">
        <v>58</v>
      </c>
      <c r="K24" s="94">
        <v>45992</v>
      </c>
      <c r="L24" s="94">
        <v>46031</v>
      </c>
      <c r="M24" s="72" t="s">
        <v>336</v>
      </c>
      <c r="N24" s="72" t="s">
        <v>336</v>
      </c>
      <c r="O24" s="72" t="s">
        <v>336</v>
      </c>
      <c r="P24" s="72" t="s">
        <v>336</v>
      </c>
      <c r="Q24" s="72" t="s">
        <v>336</v>
      </c>
      <c r="R24" s="72" t="s">
        <v>336</v>
      </c>
      <c r="S24" s="23"/>
      <c r="T24" s="23"/>
      <c r="U24" s="23"/>
      <c r="V24" s="23"/>
      <c r="W24" s="23"/>
      <c r="X24" s="23"/>
      <c r="Y24" t="s">
        <v>59</v>
      </c>
      <c r="Z24" s="34">
        <v>10</v>
      </c>
      <c r="AA24" s="34">
        <v>10</v>
      </c>
      <c r="AB24" s="13" t="s">
        <v>18</v>
      </c>
      <c r="AC24" s="84" t="s">
        <v>352</v>
      </c>
      <c r="AD24" s="13">
        <f>AA24/Capacity!$B$2</f>
        <v>1.4285714285714286</v>
      </c>
      <c r="AE24" s="13">
        <f>AA24/Capacity!$B$3</f>
        <v>1.25</v>
      </c>
      <c r="AF24" s="13"/>
      <c r="AG24" s="83"/>
      <c r="AH24" s="83"/>
      <c r="AI24" s="13"/>
      <c r="AJ24" s="13"/>
      <c r="AK24" s="13"/>
      <c r="AL24" s="13" t="s">
        <v>146</v>
      </c>
      <c r="AM24" s="35" t="s">
        <v>341</v>
      </c>
      <c r="AN24" s="83"/>
      <c r="AO24" s="83"/>
      <c r="AP24" s="13"/>
      <c r="AQ24" s="13"/>
      <c r="AR24" s="13"/>
      <c r="AS24" s="13"/>
      <c r="AT24" s="13"/>
      <c r="AU24" s="83"/>
      <c r="AV24" s="83"/>
      <c r="AW24" s="13"/>
      <c r="AX24" s="13"/>
      <c r="AY24" s="13"/>
      <c r="AZ24" s="13"/>
      <c r="BA24" s="13"/>
      <c r="BB24" s="83"/>
      <c r="BC24" s="83"/>
      <c r="BD24" s="13"/>
      <c r="BE24" s="13"/>
      <c r="BF24" s="13"/>
      <c r="BG24" s="13"/>
      <c r="BH24" s="13"/>
      <c r="BI24" s="83"/>
      <c r="BJ24" s="83"/>
      <c r="BK24" s="13"/>
      <c r="BL24" s="13"/>
      <c r="BM24" s="13"/>
      <c r="BN24" s="13"/>
      <c r="BO24" s="13"/>
      <c r="BP24" s="83"/>
      <c r="BQ24" s="83"/>
      <c r="BR24" s="13"/>
      <c r="BS24" s="13"/>
      <c r="BT24" s="13"/>
      <c r="BU24" s="13"/>
      <c r="BV24" s="13"/>
      <c r="BW24" s="83"/>
      <c r="BX24" s="83"/>
      <c r="BY24" s="13"/>
      <c r="BZ24" s="13"/>
      <c r="CA24" s="13"/>
      <c r="CB24" s="13"/>
      <c r="CC24" s="13"/>
      <c r="CD24" s="83"/>
      <c r="CE24" s="83"/>
      <c r="CF24" s="13"/>
      <c r="CG24" s="13" t="s">
        <v>18</v>
      </c>
      <c r="CH24" s="13"/>
      <c r="CI24" s="13"/>
      <c r="CJ24" s="13"/>
      <c r="CK24" s="83"/>
      <c r="CL24" s="83"/>
      <c r="CM24" s="13"/>
      <c r="CN24" s="13"/>
      <c r="CO24" s="13"/>
      <c r="CP24" s="13"/>
      <c r="CQ24" s="13"/>
      <c r="CR24" s="83"/>
      <c r="CS24" s="83"/>
      <c r="CT24" s="13"/>
      <c r="CU24" s="13"/>
      <c r="CV24" s="13"/>
      <c r="CW24" s="13"/>
      <c r="CX24" s="13"/>
      <c r="CY24" s="83"/>
      <c r="CZ24" s="83"/>
      <c r="DA24" s="13"/>
      <c r="DB24" s="13"/>
      <c r="DC24" s="13"/>
      <c r="DD24" s="13"/>
      <c r="DE24" s="13"/>
      <c r="DF24" s="83"/>
      <c r="DG24" s="83"/>
      <c r="DH24" s="13"/>
      <c r="DI24" s="13"/>
      <c r="DJ24" s="13"/>
      <c r="DK24" s="13"/>
      <c r="DL24" s="13"/>
      <c r="DM24" s="83"/>
      <c r="DN24" s="83"/>
      <c r="DO24" s="13"/>
      <c r="DP24" s="13"/>
      <c r="DQ24" s="13"/>
      <c r="DR24" s="13"/>
      <c r="DS24" s="13"/>
      <c r="DT24" s="13">
        <f t="shared" si="3"/>
        <v>1</v>
      </c>
    </row>
    <row r="25" spans="2:124" ht="30" customHeight="1" thickBot="1">
      <c r="B25" s="5" t="s">
        <v>61</v>
      </c>
      <c r="C25" s="6" t="s">
        <v>38</v>
      </c>
      <c r="D25" s="6"/>
      <c r="E25" s="150" t="s">
        <v>58</v>
      </c>
      <c r="F25" s="150" t="s">
        <v>58</v>
      </c>
      <c r="G25" s="158" t="s">
        <v>58</v>
      </c>
      <c r="H25" s="158" t="s">
        <v>58</v>
      </c>
      <c r="I25" s="158" t="s">
        <v>58</v>
      </c>
      <c r="J25" s="158" t="s">
        <v>58</v>
      </c>
      <c r="K25" s="94">
        <v>45995</v>
      </c>
      <c r="L25" s="94">
        <v>46031</v>
      </c>
      <c r="M25" s="72" t="s">
        <v>336</v>
      </c>
      <c r="N25" s="72" t="s">
        <v>336</v>
      </c>
      <c r="O25" s="72" t="s">
        <v>336</v>
      </c>
      <c r="P25" s="72" t="s">
        <v>336</v>
      </c>
      <c r="Q25" s="72" t="s">
        <v>336</v>
      </c>
      <c r="R25" s="72" t="s">
        <v>336</v>
      </c>
      <c r="S25" s="23"/>
      <c r="T25" s="23"/>
      <c r="U25" s="23"/>
      <c r="V25" s="23"/>
      <c r="W25" s="23"/>
      <c r="X25" s="23"/>
      <c r="Y25" s="7" t="s">
        <v>62</v>
      </c>
      <c r="Z25" s="13">
        <v>19</v>
      </c>
      <c r="AA25" s="13">
        <v>19</v>
      </c>
      <c r="AB25" s="13" t="s">
        <v>18</v>
      </c>
      <c r="AC25" s="13" t="s">
        <v>356</v>
      </c>
      <c r="AD25" s="13">
        <f>AA25/Capacity!$B$2</f>
        <v>2.7142857142857144</v>
      </c>
      <c r="AE25" s="13">
        <f>AA25/Capacity!$B$3</f>
        <v>2.375</v>
      </c>
      <c r="AF25" s="13"/>
      <c r="AG25" s="83"/>
      <c r="AH25" s="83"/>
      <c r="AI25" s="13"/>
      <c r="AJ25" s="13" t="s">
        <v>146</v>
      </c>
      <c r="AK25" s="13" t="s">
        <v>146</v>
      </c>
      <c r="AL25" s="13" t="s">
        <v>146</v>
      </c>
      <c r="AM25" s="35" t="s">
        <v>341</v>
      </c>
      <c r="AN25" s="83"/>
      <c r="AO25" s="83"/>
      <c r="AP25" s="13"/>
      <c r="AQ25" s="13"/>
      <c r="AR25" s="13"/>
      <c r="AS25" s="13"/>
      <c r="AT25" s="13"/>
      <c r="AU25" s="83"/>
      <c r="AV25" s="83"/>
      <c r="AW25" s="13"/>
      <c r="AX25" s="13"/>
      <c r="AY25" s="13"/>
      <c r="AZ25" s="13"/>
      <c r="BA25" s="13"/>
      <c r="BB25" s="83"/>
      <c r="BC25" s="83"/>
      <c r="BD25" s="13"/>
      <c r="BE25" s="13"/>
      <c r="BF25" s="13"/>
      <c r="BG25" s="13"/>
      <c r="BH25" s="13"/>
      <c r="BI25" s="83"/>
      <c r="BJ25" s="83"/>
      <c r="BK25" s="13"/>
      <c r="BL25" s="13"/>
      <c r="BM25" s="13"/>
      <c r="BN25" s="13"/>
      <c r="BO25" s="13"/>
      <c r="BP25" s="83"/>
      <c r="BQ25" s="83"/>
      <c r="BR25" s="13"/>
      <c r="BS25" s="13"/>
      <c r="BT25" s="13"/>
      <c r="BU25" s="13"/>
      <c r="BV25" s="13"/>
      <c r="BW25" s="83"/>
      <c r="BX25" s="83"/>
      <c r="BY25" s="13"/>
      <c r="BZ25" s="13"/>
      <c r="CA25" s="13"/>
      <c r="CB25" s="13"/>
      <c r="CC25" s="13"/>
      <c r="CD25" s="83"/>
      <c r="CE25" s="83"/>
      <c r="CF25" s="13" t="s">
        <v>18</v>
      </c>
      <c r="CG25" s="13"/>
      <c r="CH25" s="13" t="s">
        <v>18</v>
      </c>
      <c r="CI25" s="13" t="s">
        <v>18</v>
      </c>
      <c r="CJ25" s="13"/>
      <c r="CK25" s="83"/>
      <c r="CL25" s="83"/>
      <c r="CM25" s="13"/>
      <c r="CN25" s="13"/>
      <c r="CO25" s="13"/>
      <c r="CP25" s="13"/>
      <c r="CQ25" s="13"/>
      <c r="CR25" s="83"/>
      <c r="CS25" s="83"/>
      <c r="CT25" s="13"/>
      <c r="CU25" s="13"/>
      <c r="CV25" s="13"/>
      <c r="CW25" s="13"/>
      <c r="CX25" s="13"/>
      <c r="CY25" s="83"/>
      <c r="CZ25" s="83"/>
      <c r="DA25" s="13"/>
      <c r="DB25" s="13"/>
      <c r="DC25" s="13"/>
      <c r="DD25" s="13"/>
      <c r="DE25" s="13"/>
      <c r="DF25" s="83"/>
      <c r="DG25" s="83"/>
      <c r="DH25" s="13"/>
      <c r="DI25" s="13"/>
      <c r="DJ25" s="13"/>
      <c r="DK25" s="13"/>
      <c r="DL25" s="13"/>
      <c r="DM25" s="83"/>
      <c r="DN25" s="83"/>
      <c r="DO25" s="13"/>
      <c r="DP25" s="13"/>
      <c r="DQ25" s="13"/>
      <c r="DR25" s="13"/>
      <c r="DS25" s="13"/>
      <c r="DT25" s="13">
        <f t="shared" si="3"/>
        <v>3</v>
      </c>
    </row>
    <row r="26" spans="2:124" ht="30" customHeight="1" thickBot="1">
      <c r="B26" s="5" t="s">
        <v>63</v>
      </c>
      <c r="C26" s="6" t="s">
        <v>38</v>
      </c>
      <c r="D26" s="6"/>
      <c r="E26" s="150" t="s">
        <v>58</v>
      </c>
      <c r="F26" s="150" t="s">
        <v>58</v>
      </c>
      <c r="G26" s="158" t="s">
        <v>58</v>
      </c>
      <c r="H26" s="158" t="s">
        <v>58</v>
      </c>
      <c r="I26" s="158" t="s">
        <v>58</v>
      </c>
      <c r="J26" s="158" t="s">
        <v>58</v>
      </c>
      <c r="K26" s="94">
        <v>45995</v>
      </c>
      <c r="L26" s="94">
        <v>46038</v>
      </c>
      <c r="M26" s="72" t="s">
        <v>336</v>
      </c>
      <c r="N26" s="72" t="s">
        <v>336</v>
      </c>
      <c r="O26" s="72" t="s">
        <v>336</v>
      </c>
      <c r="P26" s="72" t="s">
        <v>336</v>
      </c>
      <c r="Q26" s="72" t="s">
        <v>336</v>
      </c>
      <c r="R26" s="72" t="s">
        <v>336</v>
      </c>
      <c r="S26" s="23"/>
      <c r="T26" s="23"/>
      <c r="U26" s="23"/>
      <c r="V26" s="23"/>
      <c r="W26" s="23"/>
      <c r="X26" s="23"/>
      <c r="Y26" s="7" t="s">
        <v>64</v>
      </c>
      <c r="Z26" s="13">
        <v>41</v>
      </c>
      <c r="AA26" s="13">
        <v>41</v>
      </c>
      <c r="AB26" s="13" t="s">
        <v>18</v>
      </c>
      <c r="AC26" s="13" t="s">
        <v>356</v>
      </c>
      <c r="AD26" s="13">
        <f>AA26/Capacity!$B$2</f>
        <v>5.8571428571428568</v>
      </c>
      <c r="AE26" s="13">
        <f>AA26/Capacity!$B$3</f>
        <v>5.125</v>
      </c>
      <c r="AF26" s="13"/>
      <c r="AG26" s="83"/>
      <c r="AH26" s="83"/>
      <c r="AI26" s="13"/>
      <c r="AJ26" s="13"/>
      <c r="AK26" s="13"/>
      <c r="AL26" s="13"/>
      <c r="AM26" s="13"/>
      <c r="AN26" s="83"/>
      <c r="AO26" s="83"/>
      <c r="AP26" s="13" t="s">
        <v>146</v>
      </c>
      <c r="AQ26" s="13" t="s">
        <v>146</v>
      </c>
      <c r="AR26" s="13" t="s">
        <v>146</v>
      </c>
      <c r="AS26" s="13" t="s">
        <v>146</v>
      </c>
      <c r="AT26" s="13" t="s">
        <v>146</v>
      </c>
      <c r="AU26" s="83"/>
      <c r="AV26" s="83"/>
      <c r="AW26" s="35" t="s">
        <v>341</v>
      </c>
      <c r="AX26" s="13"/>
      <c r="AY26" s="13"/>
      <c r="AZ26" s="13"/>
      <c r="BA26" s="13"/>
      <c r="BB26" s="83"/>
      <c r="BC26" s="83"/>
      <c r="BD26" s="13"/>
      <c r="BE26" s="13"/>
      <c r="BF26" s="13"/>
      <c r="BG26" s="13"/>
      <c r="BH26" s="13"/>
      <c r="BI26" s="83"/>
      <c r="BJ26" s="83"/>
      <c r="BK26" s="13"/>
      <c r="BL26" s="13"/>
      <c r="BM26" s="13"/>
      <c r="BN26" s="13"/>
      <c r="BO26" s="13"/>
      <c r="BP26" s="83"/>
      <c r="BQ26" s="83"/>
      <c r="BR26" s="13"/>
      <c r="BS26" s="13"/>
      <c r="BT26" s="13"/>
      <c r="BU26" s="13"/>
      <c r="BV26" s="13" t="s">
        <v>18</v>
      </c>
      <c r="BW26" s="83"/>
      <c r="BX26" s="83"/>
      <c r="BY26" s="13"/>
      <c r="BZ26" s="13"/>
      <c r="CA26" s="13"/>
      <c r="CB26" s="13"/>
      <c r="CC26" s="13"/>
      <c r="CD26" s="83"/>
      <c r="CE26" s="83"/>
      <c r="CF26" s="13"/>
      <c r="CG26" s="13" t="s">
        <v>18</v>
      </c>
      <c r="CH26" s="13" t="s">
        <v>18</v>
      </c>
      <c r="CI26" s="13"/>
      <c r="CJ26" s="13" t="s">
        <v>18</v>
      </c>
      <c r="CK26" s="83"/>
      <c r="CL26" s="83"/>
      <c r="CM26" s="13"/>
      <c r="CN26" s="13"/>
      <c r="CO26" s="13"/>
      <c r="CP26" s="13"/>
      <c r="CQ26" s="13"/>
      <c r="CR26" s="83"/>
      <c r="CS26" s="83"/>
      <c r="CT26" s="13"/>
      <c r="CU26" s="13"/>
      <c r="CV26" s="13"/>
      <c r="CW26" s="13"/>
      <c r="CX26" s="13"/>
      <c r="CY26" s="83"/>
      <c r="CZ26" s="83"/>
      <c r="DA26" s="13"/>
      <c r="DB26" s="13"/>
      <c r="DC26" s="13"/>
      <c r="DD26" s="13"/>
      <c r="DE26" s="13"/>
      <c r="DF26" s="83"/>
      <c r="DG26" s="83"/>
      <c r="DH26" s="13"/>
      <c r="DI26" s="13"/>
      <c r="DJ26" s="13"/>
      <c r="DK26" s="13"/>
      <c r="DL26" s="13"/>
      <c r="DM26" s="83"/>
      <c r="DN26" s="83"/>
      <c r="DO26" s="13"/>
      <c r="DP26" s="13"/>
      <c r="DQ26" s="13"/>
      <c r="DR26" s="13"/>
      <c r="DS26" s="13"/>
      <c r="DT26" s="13">
        <f t="shared" si="3"/>
        <v>5</v>
      </c>
    </row>
    <row r="27" spans="2:124" ht="30" customHeight="1" thickBot="1">
      <c r="B27" s="5" t="s">
        <v>65</v>
      </c>
      <c r="C27" s="6" t="s">
        <v>38</v>
      </c>
      <c r="D27" s="10"/>
      <c r="E27" s="150" t="s">
        <v>58</v>
      </c>
      <c r="F27" s="150" t="s">
        <v>58</v>
      </c>
      <c r="G27" s="158" t="s">
        <v>58</v>
      </c>
      <c r="H27" s="158" t="s">
        <v>58</v>
      </c>
      <c r="I27" s="150" t="s">
        <v>58</v>
      </c>
      <c r="J27" s="150" t="s">
        <v>58</v>
      </c>
      <c r="K27" s="94">
        <v>46031</v>
      </c>
      <c r="L27" s="94">
        <v>46038</v>
      </c>
      <c r="M27" s="72" t="s">
        <v>336</v>
      </c>
      <c r="N27" s="72" t="s">
        <v>336</v>
      </c>
      <c r="O27" s="72" t="s">
        <v>336</v>
      </c>
      <c r="P27" s="72" t="s">
        <v>336</v>
      </c>
      <c r="Q27" s="72" t="s">
        <v>336</v>
      </c>
      <c r="R27" s="72" t="s">
        <v>336</v>
      </c>
      <c r="S27" s="23"/>
      <c r="T27" s="23"/>
      <c r="U27" s="23"/>
      <c r="V27" s="23"/>
      <c r="W27" s="23"/>
      <c r="X27" s="23"/>
      <c r="Y27" s="13" t="s">
        <v>66</v>
      </c>
      <c r="Z27" s="13">
        <v>47</v>
      </c>
      <c r="AA27" s="13">
        <v>47</v>
      </c>
      <c r="AB27" s="13" t="s">
        <v>18</v>
      </c>
      <c r="AC27" s="13" t="s">
        <v>356</v>
      </c>
      <c r="AD27" s="13">
        <f>AA27/Capacity!$B$2</f>
        <v>6.7142857142857144</v>
      </c>
      <c r="AE27" s="13">
        <f>AA27/Capacity!$B$3</f>
        <v>5.875</v>
      </c>
      <c r="AF27" s="13"/>
      <c r="AG27" s="83"/>
      <c r="AH27" s="83"/>
      <c r="AI27" s="13"/>
      <c r="AJ27" s="13"/>
      <c r="AK27" s="13"/>
      <c r="AL27" s="13"/>
      <c r="AM27" s="13" t="s">
        <v>146</v>
      </c>
      <c r="AN27" s="83"/>
      <c r="AO27" s="83"/>
      <c r="AP27" s="13" t="s">
        <v>146</v>
      </c>
      <c r="AQ27" s="13" t="s">
        <v>146</v>
      </c>
      <c r="AR27" s="13" t="s">
        <v>146</v>
      </c>
      <c r="AS27" s="13" t="s">
        <v>146</v>
      </c>
      <c r="AT27" s="13" t="s">
        <v>146</v>
      </c>
      <c r="AU27" s="83"/>
      <c r="AV27" s="83"/>
      <c r="AW27" s="35" t="s">
        <v>341</v>
      </c>
      <c r="AX27" s="13"/>
      <c r="AY27" s="13"/>
      <c r="AZ27" s="13"/>
      <c r="BA27" s="13"/>
      <c r="BB27" s="83"/>
      <c r="BC27" s="83"/>
      <c r="BD27" s="13"/>
      <c r="BE27" s="13"/>
      <c r="BF27" s="13"/>
      <c r="BG27" s="13"/>
      <c r="BH27" s="13"/>
      <c r="BI27" s="83"/>
      <c r="BJ27" s="83"/>
      <c r="BK27" s="13"/>
      <c r="BL27" s="13"/>
      <c r="BM27" s="13"/>
      <c r="BN27" s="13"/>
      <c r="BO27" s="13"/>
      <c r="BP27" s="83"/>
      <c r="BQ27" s="83"/>
      <c r="BR27" s="13"/>
      <c r="BS27" s="13"/>
      <c r="BT27" s="13"/>
      <c r="BU27" s="13"/>
      <c r="BV27" s="13"/>
      <c r="BW27" s="83"/>
      <c r="BX27" s="83"/>
      <c r="BY27" s="13"/>
      <c r="BZ27" s="13"/>
      <c r="CA27" s="13"/>
      <c r="CB27" s="13"/>
      <c r="CC27" s="13"/>
      <c r="CD27" s="83"/>
      <c r="CE27" s="83"/>
      <c r="CF27" s="13"/>
      <c r="CG27" s="13"/>
      <c r="CH27" s="13"/>
      <c r="CI27" s="13"/>
      <c r="CJ27" s="13"/>
      <c r="CK27" s="83"/>
      <c r="CL27" s="83"/>
      <c r="CM27" s="13"/>
      <c r="CN27" s="13"/>
      <c r="CO27" s="13"/>
      <c r="CP27" s="13"/>
      <c r="CQ27" s="13"/>
      <c r="CR27" s="83"/>
      <c r="CS27" s="83"/>
      <c r="CT27" s="13"/>
      <c r="CU27" s="13"/>
      <c r="CV27" s="13"/>
      <c r="CW27" s="13"/>
      <c r="CX27" s="13"/>
      <c r="CY27" s="83"/>
      <c r="CZ27" s="83"/>
      <c r="DA27" s="13"/>
      <c r="DB27" s="13"/>
      <c r="DC27" s="13"/>
      <c r="DD27" s="13"/>
      <c r="DE27" s="13"/>
      <c r="DF27" s="83"/>
      <c r="DG27" s="83"/>
      <c r="DH27" s="13"/>
      <c r="DI27" s="13"/>
      <c r="DJ27" s="13"/>
      <c r="DK27" s="13"/>
      <c r="DL27" s="13"/>
      <c r="DM27" s="83"/>
      <c r="DN27" s="83"/>
      <c r="DO27" s="13"/>
      <c r="DP27" s="13"/>
      <c r="DQ27" s="13"/>
      <c r="DR27" s="13"/>
      <c r="DS27" s="13"/>
      <c r="DT27" s="13">
        <f t="shared" si="3"/>
        <v>6</v>
      </c>
    </row>
    <row r="28" spans="2:124" ht="30" customHeight="1" thickBot="1">
      <c r="B28" s="16" t="s">
        <v>67</v>
      </c>
      <c r="C28" s="6" t="s">
        <v>38</v>
      </c>
      <c r="D28" s="17"/>
      <c r="E28" s="159" t="s">
        <v>58</v>
      </c>
      <c r="F28" s="159" t="s">
        <v>58</v>
      </c>
      <c r="G28" s="160" t="s">
        <v>58</v>
      </c>
      <c r="H28" s="160" t="s">
        <v>58</v>
      </c>
      <c r="I28" s="159" t="s">
        <v>58</v>
      </c>
      <c r="J28" s="159" t="s">
        <v>58</v>
      </c>
      <c r="K28" s="94">
        <v>46072</v>
      </c>
      <c r="L28" s="94">
        <v>46073</v>
      </c>
      <c r="M28" s="72" t="s">
        <v>336</v>
      </c>
      <c r="N28" s="72" t="s">
        <v>336</v>
      </c>
      <c r="O28" s="72" t="s">
        <v>336</v>
      </c>
      <c r="P28" s="72" t="s">
        <v>336</v>
      </c>
      <c r="Q28" s="23"/>
      <c r="R28" s="23"/>
      <c r="S28" s="23"/>
      <c r="T28" s="23"/>
      <c r="U28" s="23"/>
      <c r="V28" s="23"/>
      <c r="W28" s="23"/>
      <c r="X28" s="23"/>
      <c r="Y28" s="19" t="s">
        <v>68</v>
      </c>
      <c r="Z28" s="19">
        <v>5</v>
      </c>
      <c r="AA28" s="19">
        <v>5</v>
      </c>
      <c r="AB28" s="19" t="s">
        <v>18</v>
      </c>
      <c r="AC28" s="19" t="s">
        <v>356</v>
      </c>
      <c r="AD28" s="13">
        <f>AA28/Capacity!$B$2</f>
        <v>0.7142857142857143</v>
      </c>
      <c r="AE28" s="13">
        <f>AA28/Capacity!$B$3</f>
        <v>0.625</v>
      </c>
      <c r="AF28" s="13"/>
      <c r="AG28" s="83"/>
      <c r="AH28" s="83"/>
      <c r="AI28" s="13"/>
      <c r="AJ28" s="13"/>
      <c r="AK28" s="13"/>
      <c r="AL28" s="13"/>
      <c r="AM28" s="13"/>
      <c r="AN28" s="83"/>
      <c r="AO28" s="83"/>
      <c r="AP28" s="13"/>
      <c r="AQ28" s="13"/>
      <c r="AR28" s="13"/>
      <c r="AS28" s="13"/>
      <c r="AT28" s="13"/>
      <c r="AU28" s="83"/>
      <c r="AV28" s="83"/>
      <c r="AW28" s="13"/>
      <c r="AX28" s="13"/>
      <c r="AY28" s="13"/>
      <c r="AZ28" s="13"/>
      <c r="BA28" s="13"/>
      <c r="BB28" s="83"/>
      <c r="BC28" s="83"/>
      <c r="BD28" s="13"/>
      <c r="BE28" s="13"/>
      <c r="BF28" s="13"/>
      <c r="BG28" s="13"/>
      <c r="BH28" s="13"/>
      <c r="BI28" s="83"/>
      <c r="BJ28" s="83"/>
      <c r="BK28" s="13"/>
      <c r="BL28" s="13"/>
      <c r="BM28" s="13"/>
      <c r="BN28" s="13"/>
      <c r="BO28" s="13"/>
      <c r="BP28" s="83"/>
      <c r="BQ28" s="83"/>
      <c r="BR28" s="13"/>
      <c r="BS28" s="13"/>
      <c r="BT28" s="13"/>
      <c r="BU28" s="13"/>
      <c r="BV28" s="13"/>
      <c r="BW28" s="83"/>
      <c r="BX28" s="83"/>
      <c r="BY28" s="13"/>
      <c r="BZ28" s="13"/>
      <c r="CA28" s="13"/>
      <c r="CB28" s="13" t="s">
        <v>146</v>
      </c>
      <c r="CC28" s="35" t="s">
        <v>341</v>
      </c>
      <c r="CD28" s="83"/>
      <c r="CE28" s="83"/>
      <c r="CF28" s="13"/>
      <c r="CG28" s="13"/>
      <c r="CH28" s="13"/>
      <c r="CI28" s="13"/>
      <c r="CJ28" s="13"/>
      <c r="CK28" s="83"/>
      <c r="CL28" s="83"/>
      <c r="CM28" s="13"/>
      <c r="CN28" s="13"/>
      <c r="CO28" s="13"/>
      <c r="CP28" s="13"/>
      <c r="CQ28" s="13"/>
      <c r="CR28" s="83"/>
      <c r="CS28" s="83"/>
      <c r="CT28" s="13"/>
      <c r="CU28" s="13"/>
      <c r="CV28" s="13"/>
      <c r="CW28" s="13"/>
      <c r="CX28" s="13"/>
      <c r="CY28" s="83"/>
      <c r="CZ28" s="83"/>
      <c r="DA28" s="13"/>
      <c r="DB28" s="13"/>
      <c r="DC28" s="13"/>
      <c r="DD28" s="13"/>
      <c r="DE28" s="13"/>
      <c r="DF28" s="83"/>
      <c r="DG28" s="83"/>
      <c r="DH28" s="13"/>
      <c r="DI28" s="13"/>
      <c r="DJ28" s="13"/>
      <c r="DK28" s="13"/>
      <c r="DL28" s="13"/>
      <c r="DM28" s="83"/>
      <c r="DN28" s="83"/>
      <c r="DO28" s="13"/>
      <c r="DP28" s="13"/>
      <c r="DQ28" s="13"/>
      <c r="DR28" s="13"/>
      <c r="DS28" s="13"/>
      <c r="DT28" s="13">
        <f t="shared" si="3"/>
        <v>1</v>
      </c>
    </row>
    <row r="29" spans="2:124" ht="15.75" customHeight="1" thickBot="1">
      <c r="B29" s="99"/>
      <c r="C29" s="20"/>
      <c r="D29" s="2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7">
        <f>SUM(Z3:Z28)</f>
        <v>2149</v>
      </c>
      <c r="AA29" s="27">
        <f>SUM(AA3:AA28)</f>
        <v>1778</v>
      </c>
      <c r="AB29" s="22">
        <f>SUM(AA3:AB28)</f>
        <v>1848</v>
      </c>
      <c r="AC29" s="22"/>
      <c r="AD29" s="22">
        <f>SUM(AD3:AD28)</f>
        <v>254.00000000000006</v>
      </c>
      <c r="AE29" s="22">
        <f>SUM(AE3:AE28)</f>
        <v>222.25</v>
      </c>
      <c r="AF29" s="22">
        <f t="shared" ref="AF29:BK29" si="10">COUNTIF(AF3:AF28, "X")</f>
        <v>0</v>
      </c>
      <c r="AG29" s="22">
        <f t="shared" si="10"/>
        <v>0</v>
      </c>
      <c r="AH29" s="22">
        <f t="shared" si="10"/>
        <v>0</v>
      </c>
      <c r="AI29" s="22">
        <f t="shared" si="10"/>
        <v>2</v>
      </c>
      <c r="AJ29" s="22">
        <f t="shared" si="10"/>
        <v>3</v>
      </c>
      <c r="AK29" s="22">
        <f t="shared" si="10"/>
        <v>3</v>
      </c>
      <c r="AL29" s="22">
        <f t="shared" si="10"/>
        <v>4</v>
      </c>
      <c r="AM29" s="22">
        <f t="shared" si="10"/>
        <v>3</v>
      </c>
      <c r="AN29" s="22">
        <f t="shared" si="10"/>
        <v>0</v>
      </c>
      <c r="AO29" s="22">
        <f t="shared" si="10"/>
        <v>0</v>
      </c>
      <c r="AP29" s="22">
        <f t="shared" si="10"/>
        <v>4</v>
      </c>
      <c r="AQ29" s="22">
        <f t="shared" si="10"/>
        <v>4</v>
      </c>
      <c r="AR29" s="22">
        <f t="shared" si="10"/>
        <v>4</v>
      </c>
      <c r="AS29" s="22">
        <f t="shared" si="10"/>
        <v>4</v>
      </c>
      <c r="AT29" s="22">
        <f t="shared" si="10"/>
        <v>5</v>
      </c>
      <c r="AU29" s="22">
        <f t="shared" si="10"/>
        <v>0</v>
      </c>
      <c r="AV29" s="22">
        <f t="shared" si="10"/>
        <v>0</v>
      </c>
      <c r="AW29" s="22">
        <f t="shared" si="10"/>
        <v>3</v>
      </c>
      <c r="AX29" s="22">
        <f t="shared" si="10"/>
        <v>4</v>
      </c>
      <c r="AY29" s="22">
        <f t="shared" si="10"/>
        <v>4</v>
      </c>
      <c r="AZ29" s="22">
        <f t="shared" si="10"/>
        <v>5</v>
      </c>
      <c r="BA29" s="22">
        <f t="shared" si="10"/>
        <v>4</v>
      </c>
      <c r="BB29" s="22">
        <f t="shared" si="10"/>
        <v>0</v>
      </c>
      <c r="BC29" s="22">
        <f t="shared" si="10"/>
        <v>0</v>
      </c>
      <c r="BD29" s="22">
        <f t="shared" si="10"/>
        <v>4</v>
      </c>
      <c r="BE29" s="22">
        <f t="shared" si="10"/>
        <v>3</v>
      </c>
      <c r="BF29" s="22">
        <f t="shared" si="10"/>
        <v>3</v>
      </c>
      <c r="BG29" s="22">
        <f t="shared" si="10"/>
        <v>3</v>
      </c>
      <c r="BH29" s="22">
        <f t="shared" si="10"/>
        <v>3</v>
      </c>
      <c r="BI29" s="22">
        <f t="shared" si="10"/>
        <v>0</v>
      </c>
      <c r="BJ29" s="22">
        <f t="shared" si="10"/>
        <v>0</v>
      </c>
      <c r="BK29" s="22">
        <f t="shared" si="10"/>
        <v>4</v>
      </c>
      <c r="BL29" s="22">
        <f t="shared" ref="BL29:CQ29" si="11">COUNTIF(BL3:BL28, "X")</f>
        <v>4</v>
      </c>
      <c r="BM29" s="22">
        <f t="shared" si="11"/>
        <v>4</v>
      </c>
      <c r="BN29" s="22">
        <f t="shared" si="11"/>
        <v>4</v>
      </c>
      <c r="BO29" s="22">
        <f t="shared" si="11"/>
        <v>4</v>
      </c>
      <c r="BP29" s="22">
        <f t="shared" si="11"/>
        <v>0</v>
      </c>
      <c r="BQ29" s="22">
        <f t="shared" si="11"/>
        <v>0</v>
      </c>
      <c r="BR29" s="22">
        <f t="shared" si="11"/>
        <v>5</v>
      </c>
      <c r="BS29" s="22">
        <f t="shared" si="11"/>
        <v>5</v>
      </c>
      <c r="BT29" s="22">
        <f t="shared" si="11"/>
        <v>5</v>
      </c>
      <c r="BU29" s="22">
        <f t="shared" si="11"/>
        <v>6</v>
      </c>
      <c r="BV29" s="22">
        <f t="shared" si="11"/>
        <v>6</v>
      </c>
      <c r="BW29" s="22">
        <f t="shared" si="11"/>
        <v>0</v>
      </c>
      <c r="BX29" s="22">
        <f t="shared" si="11"/>
        <v>0</v>
      </c>
      <c r="BY29" s="22">
        <f t="shared" si="11"/>
        <v>6</v>
      </c>
      <c r="BZ29" s="22">
        <f t="shared" si="11"/>
        <v>6</v>
      </c>
      <c r="CA29" s="22">
        <f t="shared" si="11"/>
        <v>6</v>
      </c>
      <c r="CB29" s="22">
        <f t="shared" si="11"/>
        <v>5</v>
      </c>
      <c r="CC29" s="22">
        <f t="shared" si="11"/>
        <v>4</v>
      </c>
      <c r="CD29" s="22">
        <f t="shared" si="11"/>
        <v>0</v>
      </c>
      <c r="CE29" s="22">
        <f t="shared" si="11"/>
        <v>0</v>
      </c>
      <c r="CF29" s="22">
        <f t="shared" si="11"/>
        <v>6</v>
      </c>
      <c r="CG29" s="22">
        <f t="shared" si="11"/>
        <v>6</v>
      </c>
      <c r="CH29" s="22">
        <f t="shared" si="11"/>
        <v>6</v>
      </c>
      <c r="CI29" s="22">
        <f t="shared" si="11"/>
        <v>6</v>
      </c>
      <c r="CJ29" s="22">
        <f t="shared" si="11"/>
        <v>6</v>
      </c>
      <c r="CK29" s="22">
        <f t="shared" si="11"/>
        <v>0</v>
      </c>
      <c r="CL29" s="22">
        <f t="shared" si="11"/>
        <v>0</v>
      </c>
      <c r="CM29" s="22">
        <f t="shared" si="11"/>
        <v>6</v>
      </c>
      <c r="CN29" s="22">
        <f t="shared" si="11"/>
        <v>6</v>
      </c>
      <c r="CO29" s="22">
        <f t="shared" si="11"/>
        <v>6</v>
      </c>
      <c r="CP29" s="22">
        <f t="shared" si="11"/>
        <v>5</v>
      </c>
      <c r="CQ29" s="22">
        <f t="shared" si="11"/>
        <v>4</v>
      </c>
      <c r="CR29" s="22">
        <f t="shared" ref="CR29:DS29" si="12">COUNTIF(CR3:CR28, "X")</f>
        <v>0</v>
      </c>
      <c r="CS29" s="22">
        <f t="shared" si="12"/>
        <v>0</v>
      </c>
      <c r="CT29" s="22">
        <f t="shared" si="12"/>
        <v>3</v>
      </c>
      <c r="CU29" s="22">
        <f t="shared" si="12"/>
        <v>4</v>
      </c>
      <c r="CV29" s="22">
        <f t="shared" si="12"/>
        <v>4</v>
      </c>
      <c r="CW29" s="22">
        <f t="shared" si="12"/>
        <v>4</v>
      </c>
      <c r="CX29" s="22">
        <f t="shared" si="12"/>
        <v>3</v>
      </c>
      <c r="CY29" s="22">
        <f t="shared" si="12"/>
        <v>0</v>
      </c>
      <c r="CZ29" s="22">
        <f t="shared" si="12"/>
        <v>0</v>
      </c>
      <c r="DA29" s="22">
        <f t="shared" si="12"/>
        <v>3</v>
      </c>
      <c r="DB29" s="22">
        <f t="shared" si="12"/>
        <v>3</v>
      </c>
      <c r="DC29" s="22">
        <f t="shared" si="12"/>
        <v>3</v>
      </c>
      <c r="DD29" s="22">
        <f t="shared" si="12"/>
        <v>3</v>
      </c>
      <c r="DE29" s="22">
        <f t="shared" si="12"/>
        <v>2</v>
      </c>
      <c r="DF29" s="22">
        <f t="shared" si="12"/>
        <v>0</v>
      </c>
      <c r="DG29" s="22">
        <f t="shared" si="12"/>
        <v>0</v>
      </c>
      <c r="DH29" s="22">
        <f t="shared" si="12"/>
        <v>2</v>
      </c>
      <c r="DI29" s="22">
        <f t="shared" si="12"/>
        <v>1</v>
      </c>
      <c r="DJ29" s="22">
        <f t="shared" si="12"/>
        <v>0</v>
      </c>
      <c r="DK29" s="22">
        <f t="shared" si="12"/>
        <v>0</v>
      </c>
      <c r="DL29" s="22">
        <f t="shared" si="12"/>
        <v>0</v>
      </c>
      <c r="DM29" s="22">
        <f t="shared" si="12"/>
        <v>0</v>
      </c>
      <c r="DN29" s="22">
        <f t="shared" si="12"/>
        <v>0</v>
      </c>
      <c r="DO29" s="22">
        <f t="shared" si="12"/>
        <v>0</v>
      </c>
      <c r="DP29" s="22">
        <f t="shared" si="12"/>
        <v>0</v>
      </c>
      <c r="DQ29" s="22">
        <f t="shared" si="12"/>
        <v>0</v>
      </c>
      <c r="DR29" s="22">
        <f t="shared" si="12"/>
        <v>0</v>
      </c>
      <c r="DS29" s="22">
        <f t="shared" si="12"/>
        <v>0</v>
      </c>
      <c r="DT29" s="22">
        <f>SUM(DT3:DT28)</f>
        <v>238</v>
      </c>
    </row>
    <row r="30" spans="2:124" ht="15.75" customHeight="1">
      <c r="C30" s="1"/>
      <c r="D30" s="1"/>
    </row>
    <row r="31" spans="2:124" ht="15.75" customHeight="1">
      <c r="B31" s="78" t="s">
        <v>365</v>
      </c>
      <c r="C31" s="79" t="s">
        <v>366</v>
      </c>
      <c r="D31" s="1"/>
      <c r="AC31" s="187" t="s">
        <v>346</v>
      </c>
      <c r="AF31">
        <f t="shared" ref="AF31:AO35" si="13">COUNTIFS($AC$3:$AC$28, $AC31, AF$3:AF$28,"X")</f>
        <v>0</v>
      </c>
      <c r="AG31">
        <f t="shared" si="13"/>
        <v>0</v>
      </c>
      <c r="AH31">
        <f t="shared" si="13"/>
        <v>0</v>
      </c>
      <c r="AI31">
        <f t="shared" si="13"/>
        <v>0</v>
      </c>
      <c r="AJ31">
        <f t="shared" si="13"/>
        <v>0</v>
      </c>
      <c r="AK31">
        <f t="shared" si="13"/>
        <v>0</v>
      </c>
      <c r="AL31">
        <f t="shared" si="13"/>
        <v>0</v>
      </c>
      <c r="AM31">
        <f t="shared" si="13"/>
        <v>0</v>
      </c>
      <c r="AN31">
        <f t="shared" si="13"/>
        <v>0</v>
      </c>
      <c r="AO31">
        <f t="shared" si="13"/>
        <v>0</v>
      </c>
      <c r="AP31">
        <f t="shared" ref="AP31:AY35" si="14">COUNTIFS($AC$3:$AC$28, $AC31, AP$3:AP$28,"X")</f>
        <v>0</v>
      </c>
      <c r="AQ31">
        <f t="shared" si="14"/>
        <v>0</v>
      </c>
      <c r="AR31">
        <f t="shared" si="14"/>
        <v>0</v>
      </c>
      <c r="AS31">
        <f t="shared" si="14"/>
        <v>0</v>
      </c>
      <c r="AT31">
        <f t="shared" si="14"/>
        <v>0</v>
      </c>
      <c r="AU31">
        <f t="shared" si="14"/>
        <v>0</v>
      </c>
      <c r="AV31">
        <f t="shared" si="14"/>
        <v>0</v>
      </c>
      <c r="AW31">
        <f t="shared" si="14"/>
        <v>0</v>
      </c>
      <c r="AX31">
        <f t="shared" si="14"/>
        <v>0</v>
      </c>
      <c r="AY31">
        <f t="shared" si="14"/>
        <v>0</v>
      </c>
      <c r="AZ31">
        <f t="shared" ref="AZ31:BI35" si="15">COUNTIFS($AC$3:$AC$28, $AC31, AZ$3:AZ$28,"X")</f>
        <v>0</v>
      </c>
      <c r="BA31">
        <f t="shared" si="15"/>
        <v>0</v>
      </c>
      <c r="BB31">
        <f t="shared" si="15"/>
        <v>0</v>
      </c>
      <c r="BC31">
        <f t="shared" si="15"/>
        <v>0</v>
      </c>
      <c r="BD31">
        <f t="shared" si="15"/>
        <v>0</v>
      </c>
      <c r="BE31">
        <f t="shared" si="15"/>
        <v>1</v>
      </c>
      <c r="BF31">
        <f t="shared" si="15"/>
        <v>1</v>
      </c>
      <c r="BG31">
        <f t="shared" si="15"/>
        <v>1</v>
      </c>
      <c r="BH31">
        <f t="shared" si="15"/>
        <v>1</v>
      </c>
      <c r="BI31">
        <f t="shared" si="15"/>
        <v>0</v>
      </c>
      <c r="BJ31">
        <f t="shared" ref="BJ31:BS35" si="16">COUNTIFS($AC$3:$AC$28, $AC31, BJ$3:BJ$28,"X")</f>
        <v>0</v>
      </c>
      <c r="BK31">
        <f t="shared" si="16"/>
        <v>1</v>
      </c>
      <c r="BL31">
        <f t="shared" si="16"/>
        <v>1</v>
      </c>
      <c r="BM31">
        <f t="shared" si="16"/>
        <v>1</v>
      </c>
      <c r="BN31">
        <f t="shared" si="16"/>
        <v>1</v>
      </c>
      <c r="BO31">
        <f t="shared" si="16"/>
        <v>1</v>
      </c>
      <c r="BP31">
        <f t="shared" si="16"/>
        <v>0</v>
      </c>
      <c r="BQ31">
        <f t="shared" si="16"/>
        <v>0</v>
      </c>
      <c r="BR31">
        <f t="shared" si="16"/>
        <v>1</v>
      </c>
      <c r="BS31">
        <f t="shared" si="16"/>
        <v>1</v>
      </c>
      <c r="BT31">
        <f t="shared" ref="BT31:CC35" si="17">COUNTIFS($AC$3:$AC$28, $AC31, BT$3:BT$28,"X")</f>
        <v>1</v>
      </c>
      <c r="BU31">
        <f t="shared" si="17"/>
        <v>1</v>
      </c>
      <c r="BV31">
        <f t="shared" si="17"/>
        <v>1</v>
      </c>
      <c r="BW31">
        <f t="shared" si="17"/>
        <v>0</v>
      </c>
      <c r="BX31">
        <f t="shared" si="17"/>
        <v>0</v>
      </c>
      <c r="BY31">
        <f t="shared" si="17"/>
        <v>1</v>
      </c>
      <c r="BZ31">
        <f t="shared" si="17"/>
        <v>1</v>
      </c>
      <c r="CA31">
        <f t="shared" si="17"/>
        <v>1</v>
      </c>
      <c r="CB31">
        <f t="shared" si="17"/>
        <v>1</v>
      </c>
      <c r="CC31">
        <f t="shared" si="17"/>
        <v>1</v>
      </c>
      <c r="CD31">
        <f t="shared" ref="CD31:CM35" si="18">COUNTIFS($AC$3:$AC$28, $AC31, CD$3:CD$28,"X")</f>
        <v>0</v>
      </c>
      <c r="CE31">
        <f t="shared" si="18"/>
        <v>0</v>
      </c>
      <c r="CF31">
        <f t="shared" si="18"/>
        <v>1</v>
      </c>
      <c r="CG31">
        <f t="shared" si="18"/>
        <v>1</v>
      </c>
      <c r="CH31">
        <f t="shared" si="18"/>
        <v>1</v>
      </c>
      <c r="CI31">
        <f t="shared" si="18"/>
        <v>1</v>
      </c>
      <c r="CJ31">
        <f t="shared" si="18"/>
        <v>1</v>
      </c>
      <c r="CK31">
        <f t="shared" si="18"/>
        <v>0</v>
      </c>
      <c r="CL31">
        <f t="shared" si="18"/>
        <v>0</v>
      </c>
      <c r="CM31">
        <f t="shared" si="18"/>
        <v>1</v>
      </c>
      <c r="CN31">
        <f t="shared" ref="CN31:CW35" si="19">COUNTIFS($AC$3:$AC$28, $AC31, CN$3:CN$28,"X")</f>
        <v>1</v>
      </c>
      <c r="CO31">
        <f t="shared" si="19"/>
        <v>1</v>
      </c>
      <c r="CP31">
        <f t="shared" si="19"/>
        <v>1</v>
      </c>
      <c r="CQ31">
        <f t="shared" si="19"/>
        <v>0</v>
      </c>
      <c r="CR31">
        <f t="shared" si="19"/>
        <v>0</v>
      </c>
      <c r="CS31">
        <f t="shared" si="19"/>
        <v>0</v>
      </c>
      <c r="CT31">
        <f t="shared" si="19"/>
        <v>0</v>
      </c>
      <c r="CU31">
        <f t="shared" si="19"/>
        <v>0</v>
      </c>
      <c r="CV31">
        <f t="shared" si="19"/>
        <v>0</v>
      </c>
      <c r="CW31">
        <f t="shared" si="19"/>
        <v>0</v>
      </c>
      <c r="CX31">
        <f t="shared" ref="CX31:DG35" si="20">COUNTIFS($AC$3:$AC$28, $AC31, CX$3:CX$28,"X")</f>
        <v>0</v>
      </c>
      <c r="CY31">
        <f t="shared" si="20"/>
        <v>0</v>
      </c>
      <c r="CZ31">
        <f t="shared" si="20"/>
        <v>0</v>
      </c>
      <c r="DA31">
        <f t="shared" si="20"/>
        <v>0</v>
      </c>
      <c r="DB31">
        <f t="shared" si="20"/>
        <v>0</v>
      </c>
      <c r="DC31">
        <f t="shared" si="20"/>
        <v>0</v>
      </c>
      <c r="DD31">
        <f t="shared" si="20"/>
        <v>0</v>
      </c>
      <c r="DE31">
        <f t="shared" si="20"/>
        <v>0</v>
      </c>
      <c r="DF31">
        <f t="shared" si="20"/>
        <v>0</v>
      </c>
      <c r="DG31">
        <f t="shared" si="20"/>
        <v>0</v>
      </c>
      <c r="DH31">
        <f t="shared" ref="DH31:DS35" si="21">COUNTIFS($AC$3:$AC$28, $AC31, DH$3:DH$28,"X")</f>
        <v>0</v>
      </c>
      <c r="DI31">
        <f t="shared" si="21"/>
        <v>0</v>
      </c>
      <c r="DJ31">
        <f t="shared" si="21"/>
        <v>0</v>
      </c>
      <c r="DK31">
        <f t="shared" si="21"/>
        <v>0</v>
      </c>
      <c r="DL31">
        <f t="shared" si="21"/>
        <v>0</v>
      </c>
      <c r="DM31">
        <f t="shared" si="21"/>
        <v>0</v>
      </c>
      <c r="DN31">
        <f t="shared" si="21"/>
        <v>0</v>
      </c>
      <c r="DO31">
        <f t="shared" si="21"/>
        <v>0</v>
      </c>
      <c r="DP31">
        <f t="shared" si="21"/>
        <v>0</v>
      </c>
      <c r="DQ31">
        <f t="shared" si="21"/>
        <v>0</v>
      </c>
      <c r="DR31">
        <f t="shared" si="21"/>
        <v>0</v>
      </c>
      <c r="DS31">
        <f t="shared" si="21"/>
        <v>0</v>
      </c>
      <c r="DT31">
        <f>SUMIFS($DT$3:$DT$28, $AC$3:$AC$28, AC31)</f>
        <v>28</v>
      </c>
    </row>
    <row r="32" spans="2:124" ht="15.75" customHeight="1">
      <c r="B32" s="100"/>
      <c r="C32" s="80" t="s">
        <v>367</v>
      </c>
      <c r="D32" s="1"/>
      <c r="AC32" s="187" t="s">
        <v>352</v>
      </c>
      <c r="AF32">
        <f t="shared" si="13"/>
        <v>0</v>
      </c>
      <c r="AG32">
        <f t="shared" si="13"/>
        <v>0</v>
      </c>
      <c r="AH32">
        <f t="shared" si="13"/>
        <v>0</v>
      </c>
      <c r="AI32">
        <f t="shared" si="13"/>
        <v>0</v>
      </c>
      <c r="AJ32">
        <f t="shared" si="13"/>
        <v>0</v>
      </c>
      <c r="AK32">
        <f t="shared" si="13"/>
        <v>0</v>
      </c>
      <c r="AL32">
        <f t="shared" si="13"/>
        <v>1</v>
      </c>
      <c r="AM32">
        <f t="shared" si="13"/>
        <v>0</v>
      </c>
      <c r="AN32">
        <f t="shared" si="13"/>
        <v>0</v>
      </c>
      <c r="AO32">
        <f t="shared" si="13"/>
        <v>0</v>
      </c>
      <c r="AP32">
        <f t="shared" si="14"/>
        <v>0</v>
      </c>
      <c r="AQ32">
        <f t="shared" si="14"/>
        <v>0</v>
      </c>
      <c r="AR32">
        <f t="shared" si="14"/>
        <v>0</v>
      </c>
      <c r="AS32">
        <f t="shared" si="14"/>
        <v>0</v>
      </c>
      <c r="AT32">
        <f t="shared" si="14"/>
        <v>0</v>
      </c>
      <c r="AU32">
        <f t="shared" si="14"/>
        <v>0</v>
      </c>
      <c r="AV32">
        <f t="shared" si="14"/>
        <v>0</v>
      </c>
      <c r="AW32">
        <f t="shared" si="14"/>
        <v>0</v>
      </c>
      <c r="AX32">
        <f t="shared" si="14"/>
        <v>0</v>
      </c>
      <c r="AY32">
        <f t="shared" si="14"/>
        <v>0</v>
      </c>
      <c r="AZ32">
        <f t="shared" si="15"/>
        <v>0</v>
      </c>
      <c r="BA32">
        <f t="shared" si="15"/>
        <v>0</v>
      </c>
      <c r="BB32">
        <f t="shared" si="15"/>
        <v>0</v>
      </c>
      <c r="BC32">
        <f t="shared" si="15"/>
        <v>0</v>
      </c>
      <c r="BD32">
        <f t="shared" si="15"/>
        <v>0</v>
      </c>
      <c r="BE32">
        <f t="shared" si="15"/>
        <v>0</v>
      </c>
      <c r="BF32">
        <f t="shared" si="15"/>
        <v>0</v>
      </c>
      <c r="BG32">
        <f t="shared" si="15"/>
        <v>1</v>
      </c>
      <c r="BH32">
        <f t="shared" si="15"/>
        <v>1</v>
      </c>
      <c r="BI32">
        <f t="shared" si="15"/>
        <v>0</v>
      </c>
      <c r="BJ32">
        <f t="shared" si="16"/>
        <v>0</v>
      </c>
      <c r="BK32">
        <f t="shared" si="16"/>
        <v>1</v>
      </c>
      <c r="BL32">
        <f t="shared" si="16"/>
        <v>1</v>
      </c>
      <c r="BM32">
        <f t="shared" si="16"/>
        <v>1</v>
      </c>
      <c r="BN32">
        <f t="shared" si="16"/>
        <v>1</v>
      </c>
      <c r="BO32">
        <f t="shared" si="16"/>
        <v>1</v>
      </c>
      <c r="BP32">
        <f t="shared" si="16"/>
        <v>0</v>
      </c>
      <c r="BQ32">
        <f t="shared" si="16"/>
        <v>0</v>
      </c>
      <c r="BR32">
        <f t="shared" si="16"/>
        <v>1</v>
      </c>
      <c r="BS32">
        <f t="shared" si="16"/>
        <v>1</v>
      </c>
      <c r="BT32">
        <f t="shared" si="17"/>
        <v>1</v>
      </c>
      <c r="BU32">
        <f t="shared" si="17"/>
        <v>1</v>
      </c>
      <c r="BV32">
        <f t="shared" si="17"/>
        <v>1</v>
      </c>
      <c r="BW32">
        <f t="shared" si="17"/>
        <v>0</v>
      </c>
      <c r="BX32">
        <f t="shared" si="17"/>
        <v>0</v>
      </c>
      <c r="BY32">
        <f t="shared" si="17"/>
        <v>1</v>
      </c>
      <c r="BZ32">
        <f t="shared" si="17"/>
        <v>1</v>
      </c>
      <c r="CA32">
        <f t="shared" si="17"/>
        <v>1</v>
      </c>
      <c r="CB32">
        <f t="shared" si="17"/>
        <v>1</v>
      </c>
      <c r="CC32">
        <f t="shared" si="17"/>
        <v>1</v>
      </c>
      <c r="CD32">
        <f t="shared" si="18"/>
        <v>0</v>
      </c>
      <c r="CE32">
        <f t="shared" si="18"/>
        <v>0</v>
      </c>
      <c r="CF32">
        <f t="shared" si="18"/>
        <v>2</v>
      </c>
      <c r="CG32">
        <f t="shared" si="18"/>
        <v>2</v>
      </c>
      <c r="CH32">
        <f t="shared" si="18"/>
        <v>2</v>
      </c>
      <c r="CI32">
        <f t="shared" si="18"/>
        <v>2</v>
      </c>
      <c r="CJ32">
        <f t="shared" si="18"/>
        <v>2</v>
      </c>
      <c r="CK32">
        <f t="shared" si="18"/>
        <v>0</v>
      </c>
      <c r="CL32">
        <f t="shared" si="18"/>
        <v>0</v>
      </c>
      <c r="CM32">
        <f t="shared" si="18"/>
        <v>2</v>
      </c>
      <c r="CN32">
        <f t="shared" si="19"/>
        <v>2</v>
      </c>
      <c r="CO32">
        <f t="shared" si="19"/>
        <v>2</v>
      </c>
      <c r="CP32">
        <f t="shared" si="19"/>
        <v>1</v>
      </c>
      <c r="CQ32">
        <f t="shared" si="19"/>
        <v>1</v>
      </c>
      <c r="CR32">
        <f t="shared" si="19"/>
        <v>0</v>
      </c>
      <c r="CS32">
        <f t="shared" si="19"/>
        <v>0</v>
      </c>
      <c r="CT32">
        <f t="shared" si="19"/>
        <v>1</v>
      </c>
      <c r="CU32">
        <f t="shared" si="19"/>
        <v>1</v>
      </c>
      <c r="CV32">
        <f t="shared" si="19"/>
        <v>1</v>
      </c>
      <c r="CW32">
        <f t="shared" si="19"/>
        <v>1</v>
      </c>
      <c r="CX32">
        <f t="shared" si="20"/>
        <v>1</v>
      </c>
      <c r="CY32">
        <f t="shared" si="20"/>
        <v>0</v>
      </c>
      <c r="CZ32">
        <f t="shared" si="20"/>
        <v>0</v>
      </c>
      <c r="DA32">
        <f t="shared" si="20"/>
        <v>1</v>
      </c>
      <c r="DB32">
        <f t="shared" si="20"/>
        <v>1</v>
      </c>
      <c r="DC32">
        <f t="shared" si="20"/>
        <v>1</v>
      </c>
      <c r="DD32">
        <f t="shared" si="20"/>
        <v>1</v>
      </c>
      <c r="DE32">
        <f t="shared" si="20"/>
        <v>0</v>
      </c>
      <c r="DF32">
        <f t="shared" si="20"/>
        <v>0</v>
      </c>
      <c r="DG32">
        <f t="shared" si="20"/>
        <v>0</v>
      </c>
      <c r="DH32">
        <f t="shared" si="21"/>
        <v>0</v>
      </c>
      <c r="DI32">
        <f t="shared" si="21"/>
        <v>0</v>
      </c>
      <c r="DJ32">
        <f t="shared" si="21"/>
        <v>0</v>
      </c>
      <c r="DK32">
        <f t="shared" si="21"/>
        <v>0</v>
      </c>
      <c r="DL32">
        <f t="shared" si="21"/>
        <v>0</v>
      </c>
      <c r="DM32">
        <f t="shared" si="21"/>
        <v>0</v>
      </c>
      <c r="DN32">
        <f t="shared" si="21"/>
        <v>0</v>
      </c>
      <c r="DO32">
        <f t="shared" si="21"/>
        <v>0</v>
      </c>
      <c r="DP32">
        <f t="shared" si="21"/>
        <v>0</v>
      </c>
      <c r="DQ32">
        <f t="shared" si="21"/>
        <v>0</v>
      </c>
      <c r="DR32">
        <f t="shared" si="21"/>
        <v>0</v>
      </c>
      <c r="DS32">
        <f t="shared" si="21"/>
        <v>0</v>
      </c>
      <c r="DT32">
        <f>SUMIFS($DT$3:$DT$28, $AC$3:$AC$28, AC32)</f>
        <v>45</v>
      </c>
    </row>
    <row r="33" spans="2:124" ht="15.75" customHeight="1">
      <c r="B33" s="100"/>
      <c r="C33" s="81" t="s">
        <v>368</v>
      </c>
      <c r="D33" s="1"/>
      <c r="AC33" s="187" t="s">
        <v>356</v>
      </c>
      <c r="AF33">
        <f t="shared" si="13"/>
        <v>0</v>
      </c>
      <c r="AG33">
        <f t="shared" si="13"/>
        <v>0</v>
      </c>
      <c r="AH33">
        <f t="shared" si="13"/>
        <v>0</v>
      </c>
      <c r="AI33">
        <f t="shared" si="13"/>
        <v>0</v>
      </c>
      <c r="AJ33">
        <f t="shared" si="13"/>
        <v>1</v>
      </c>
      <c r="AK33">
        <f t="shared" si="13"/>
        <v>1</v>
      </c>
      <c r="AL33">
        <f t="shared" si="13"/>
        <v>1</v>
      </c>
      <c r="AM33">
        <f t="shared" si="13"/>
        <v>1</v>
      </c>
      <c r="AN33">
        <f t="shared" si="13"/>
        <v>0</v>
      </c>
      <c r="AO33">
        <f t="shared" si="13"/>
        <v>0</v>
      </c>
      <c r="AP33">
        <f t="shared" si="14"/>
        <v>2</v>
      </c>
      <c r="AQ33">
        <f t="shared" si="14"/>
        <v>2</v>
      </c>
      <c r="AR33">
        <f t="shared" si="14"/>
        <v>2</v>
      </c>
      <c r="AS33">
        <f t="shared" si="14"/>
        <v>2</v>
      </c>
      <c r="AT33">
        <f t="shared" si="14"/>
        <v>2</v>
      </c>
      <c r="AU33">
        <f t="shared" si="14"/>
        <v>0</v>
      </c>
      <c r="AV33">
        <f t="shared" si="14"/>
        <v>0</v>
      </c>
      <c r="AW33">
        <f t="shared" si="14"/>
        <v>0</v>
      </c>
      <c r="AX33">
        <f t="shared" si="14"/>
        <v>1</v>
      </c>
      <c r="AY33">
        <f t="shared" si="14"/>
        <v>1</v>
      </c>
      <c r="AZ33">
        <f t="shared" si="15"/>
        <v>1</v>
      </c>
      <c r="BA33">
        <f t="shared" si="15"/>
        <v>1</v>
      </c>
      <c r="BB33">
        <f t="shared" si="15"/>
        <v>0</v>
      </c>
      <c r="BC33">
        <f t="shared" si="15"/>
        <v>0</v>
      </c>
      <c r="BD33">
        <f t="shared" si="15"/>
        <v>1</v>
      </c>
      <c r="BE33">
        <f t="shared" si="15"/>
        <v>0</v>
      </c>
      <c r="BF33">
        <f t="shared" si="15"/>
        <v>0</v>
      </c>
      <c r="BG33">
        <f t="shared" si="15"/>
        <v>0</v>
      </c>
      <c r="BH33">
        <f t="shared" si="15"/>
        <v>0</v>
      </c>
      <c r="BI33">
        <f t="shared" si="15"/>
        <v>0</v>
      </c>
      <c r="BJ33">
        <f t="shared" si="16"/>
        <v>0</v>
      </c>
      <c r="BK33">
        <f t="shared" si="16"/>
        <v>0</v>
      </c>
      <c r="BL33">
        <f t="shared" si="16"/>
        <v>0</v>
      </c>
      <c r="BM33">
        <f t="shared" si="16"/>
        <v>0</v>
      </c>
      <c r="BN33">
        <f t="shared" si="16"/>
        <v>0</v>
      </c>
      <c r="BO33">
        <f t="shared" si="16"/>
        <v>0</v>
      </c>
      <c r="BP33">
        <f t="shared" si="16"/>
        <v>0</v>
      </c>
      <c r="BQ33">
        <f t="shared" si="16"/>
        <v>0</v>
      </c>
      <c r="BR33">
        <f t="shared" si="16"/>
        <v>1</v>
      </c>
      <c r="BS33">
        <f t="shared" si="16"/>
        <v>1</v>
      </c>
      <c r="BT33">
        <f t="shared" si="17"/>
        <v>1</v>
      </c>
      <c r="BU33">
        <f t="shared" si="17"/>
        <v>2</v>
      </c>
      <c r="BV33">
        <f t="shared" si="17"/>
        <v>2</v>
      </c>
      <c r="BW33">
        <f t="shared" si="17"/>
        <v>0</v>
      </c>
      <c r="BX33">
        <f t="shared" si="17"/>
        <v>0</v>
      </c>
      <c r="BY33">
        <f t="shared" si="17"/>
        <v>2</v>
      </c>
      <c r="BZ33">
        <f t="shared" si="17"/>
        <v>2</v>
      </c>
      <c r="CA33">
        <f t="shared" si="17"/>
        <v>2</v>
      </c>
      <c r="CB33">
        <f t="shared" si="17"/>
        <v>1</v>
      </c>
      <c r="CC33">
        <f t="shared" si="17"/>
        <v>0</v>
      </c>
      <c r="CD33">
        <f t="shared" si="18"/>
        <v>0</v>
      </c>
      <c r="CE33">
        <f t="shared" si="18"/>
        <v>0</v>
      </c>
      <c r="CF33">
        <f t="shared" si="18"/>
        <v>1</v>
      </c>
      <c r="CG33">
        <f t="shared" si="18"/>
        <v>1</v>
      </c>
      <c r="CH33">
        <f t="shared" si="18"/>
        <v>1</v>
      </c>
      <c r="CI33">
        <f t="shared" si="18"/>
        <v>1</v>
      </c>
      <c r="CJ33">
        <f t="shared" si="18"/>
        <v>1</v>
      </c>
      <c r="CK33">
        <f t="shared" si="18"/>
        <v>0</v>
      </c>
      <c r="CL33">
        <f t="shared" si="18"/>
        <v>0</v>
      </c>
      <c r="CM33">
        <f t="shared" si="18"/>
        <v>1</v>
      </c>
      <c r="CN33">
        <f t="shared" si="19"/>
        <v>1</v>
      </c>
      <c r="CO33">
        <f t="shared" si="19"/>
        <v>1</v>
      </c>
      <c r="CP33">
        <f t="shared" si="19"/>
        <v>1</v>
      </c>
      <c r="CQ33">
        <f t="shared" si="19"/>
        <v>1</v>
      </c>
      <c r="CR33">
        <f t="shared" si="19"/>
        <v>0</v>
      </c>
      <c r="CS33">
        <f t="shared" si="19"/>
        <v>0</v>
      </c>
      <c r="CT33">
        <f t="shared" si="19"/>
        <v>0</v>
      </c>
      <c r="CU33">
        <f t="shared" si="19"/>
        <v>1</v>
      </c>
      <c r="CV33">
        <f t="shared" si="19"/>
        <v>1</v>
      </c>
      <c r="CW33">
        <f t="shared" si="19"/>
        <v>1</v>
      </c>
      <c r="CX33">
        <f t="shared" si="20"/>
        <v>0</v>
      </c>
      <c r="CY33">
        <f t="shared" si="20"/>
        <v>0</v>
      </c>
      <c r="CZ33">
        <f t="shared" si="20"/>
        <v>0</v>
      </c>
      <c r="DA33">
        <f t="shared" si="20"/>
        <v>0</v>
      </c>
      <c r="DB33">
        <f t="shared" si="20"/>
        <v>0</v>
      </c>
      <c r="DC33">
        <f t="shared" si="20"/>
        <v>0</v>
      </c>
      <c r="DD33">
        <f t="shared" si="20"/>
        <v>0</v>
      </c>
      <c r="DE33">
        <f t="shared" si="20"/>
        <v>0</v>
      </c>
      <c r="DF33">
        <f t="shared" si="20"/>
        <v>0</v>
      </c>
      <c r="DG33">
        <f t="shared" si="20"/>
        <v>0</v>
      </c>
      <c r="DH33">
        <f t="shared" si="21"/>
        <v>0</v>
      </c>
      <c r="DI33">
        <f t="shared" si="21"/>
        <v>0</v>
      </c>
      <c r="DJ33">
        <f t="shared" si="21"/>
        <v>0</v>
      </c>
      <c r="DK33">
        <f t="shared" si="21"/>
        <v>0</v>
      </c>
      <c r="DL33">
        <f t="shared" si="21"/>
        <v>0</v>
      </c>
      <c r="DM33">
        <f t="shared" si="21"/>
        <v>0</v>
      </c>
      <c r="DN33">
        <f t="shared" si="21"/>
        <v>0</v>
      </c>
      <c r="DO33">
        <f t="shared" si="21"/>
        <v>0</v>
      </c>
      <c r="DP33">
        <f t="shared" si="21"/>
        <v>0</v>
      </c>
      <c r="DQ33">
        <f t="shared" si="21"/>
        <v>0</v>
      </c>
      <c r="DR33">
        <f t="shared" si="21"/>
        <v>0</v>
      </c>
      <c r="DS33">
        <f t="shared" si="21"/>
        <v>0</v>
      </c>
      <c r="DT33">
        <f>SUMIFS($DT$3:$DT$28, $AC$3:$AC$28, AC33)</f>
        <v>46</v>
      </c>
    </row>
    <row r="34" spans="2:124" ht="15.75" customHeight="1">
      <c r="B34" s="100"/>
      <c r="C34" s="82" t="s">
        <v>454</v>
      </c>
      <c r="D34" s="1"/>
      <c r="AC34" s="187" t="s">
        <v>340</v>
      </c>
      <c r="AF34">
        <f t="shared" si="13"/>
        <v>0</v>
      </c>
      <c r="AG34">
        <f t="shared" si="13"/>
        <v>0</v>
      </c>
      <c r="AH34">
        <f t="shared" si="13"/>
        <v>0</v>
      </c>
      <c r="AI34">
        <f t="shared" si="13"/>
        <v>1</v>
      </c>
      <c r="AJ34">
        <f t="shared" si="13"/>
        <v>1</v>
      </c>
      <c r="AK34">
        <f t="shared" si="13"/>
        <v>1</v>
      </c>
      <c r="AL34">
        <f t="shared" si="13"/>
        <v>1</v>
      </c>
      <c r="AM34">
        <f t="shared" si="13"/>
        <v>1</v>
      </c>
      <c r="AN34">
        <f t="shared" si="13"/>
        <v>0</v>
      </c>
      <c r="AO34">
        <f t="shared" si="13"/>
        <v>0</v>
      </c>
      <c r="AP34">
        <f t="shared" si="14"/>
        <v>1</v>
      </c>
      <c r="AQ34">
        <f t="shared" si="14"/>
        <v>1</v>
      </c>
      <c r="AR34">
        <f t="shared" si="14"/>
        <v>1</v>
      </c>
      <c r="AS34">
        <f t="shared" si="14"/>
        <v>1</v>
      </c>
      <c r="AT34">
        <f t="shared" si="14"/>
        <v>1</v>
      </c>
      <c r="AU34">
        <f t="shared" si="14"/>
        <v>0</v>
      </c>
      <c r="AV34">
        <f t="shared" si="14"/>
        <v>0</v>
      </c>
      <c r="AW34">
        <f t="shared" si="14"/>
        <v>1</v>
      </c>
      <c r="AX34">
        <f t="shared" si="14"/>
        <v>1</v>
      </c>
      <c r="AY34">
        <f t="shared" si="14"/>
        <v>1</v>
      </c>
      <c r="AZ34">
        <f t="shared" si="15"/>
        <v>1</v>
      </c>
      <c r="BA34">
        <f t="shared" si="15"/>
        <v>1</v>
      </c>
      <c r="BB34">
        <f t="shared" si="15"/>
        <v>0</v>
      </c>
      <c r="BC34">
        <f t="shared" si="15"/>
        <v>0</v>
      </c>
      <c r="BD34">
        <f t="shared" si="15"/>
        <v>1</v>
      </c>
      <c r="BE34">
        <f t="shared" si="15"/>
        <v>1</v>
      </c>
      <c r="BF34">
        <f t="shared" si="15"/>
        <v>1</v>
      </c>
      <c r="BG34">
        <f t="shared" si="15"/>
        <v>1</v>
      </c>
      <c r="BH34">
        <f t="shared" si="15"/>
        <v>1</v>
      </c>
      <c r="BI34">
        <f t="shared" si="15"/>
        <v>0</v>
      </c>
      <c r="BJ34">
        <f t="shared" si="16"/>
        <v>0</v>
      </c>
      <c r="BK34">
        <f t="shared" si="16"/>
        <v>1</v>
      </c>
      <c r="BL34">
        <f t="shared" si="16"/>
        <v>1</v>
      </c>
      <c r="BM34">
        <f t="shared" si="16"/>
        <v>1</v>
      </c>
      <c r="BN34">
        <f t="shared" si="16"/>
        <v>1</v>
      </c>
      <c r="BO34">
        <f t="shared" si="16"/>
        <v>1</v>
      </c>
      <c r="BP34">
        <f t="shared" si="16"/>
        <v>0</v>
      </c>
      <c r="BQ34">
        <f t="shared" si="16"/>
        <v>0</v>
      </c>
      <c r="BR34">
        <f t="shared" si="16"/>
        <v>1</v>
      </c>
      <c r="BS34">
        <f t="shared" si="16"/>
        <v>1</v>
      </c>
      <c r="BT34">
        <f t="shared" si="17"/>
        <v>1</v>
      </c>
      <c r="BU34">
        <f t="shared" si="17"/>
        <v>1</v>
      </c>
      <c r="BV34">
        <f t="shared" si="17"/>
        <v>1</v>
      </c>
      <c r="BW34">
        <f t="shared" si="17"/>
        <v>0</v>
      </c>
      <c r="BX34">
        <f t="shared" si="17"/>
        <v>0</v>
      </c>
      <c r="BY34">
        <f t="shared" si="17"/>
        <v>1</v>
      </c>
      <c r="BZ34">
        <f t="shared" si="17"/>
        <v>1</v>
      </c>
      <c r="CA34">
        <f t="shared" si="17"/>
        <v>1</v>
      </c>
      <c r="CB34">
        <f t="shared" si="17"/>
        <v>1</v>
      </c>
      <c r="CC34">
        <f t="shared" si="17"/>
        <v>1</v>
      </c>
      <c r="CD34">
        <f t="shared" si="18"/>
        <v>0</v>
      </c>
      <c r="CE34">
        <f t="shared" si="18"/>
        <v>0</v>
      </c>
      <c r="CF34">
        <f t="shared" si="18"/>
        <v>1</v>
      </c>
      <c r="CG34">
        <f t="shared" si="18"/>
        <v>1</v>
      </c>
      <c r="CH34">
        <f t="shared" si="18"/>
        <v>1</v>
      </c>
      <c r="CI34">
        <f t="shared" si="18"/>
        <v>1</v>
      </c>
      <c r="CJ34">
        <f t="shared" si="18"/>
        <v>1</v>
      </c>
      <c r="CK34">
        <f t="shared" si="18"/>
        <v>0</v>
      </c>
      <c r="CL34">
        <f t="shared" si="18"/>
        <v>0</v>
      </c>
      <c r="CM34">
        <f t="shared" si="18"/>
        <v>1</v>
      </c>
      <c r="CN34">
        <f t="shared" si="19"/>
        <v>1</v>
      </c>
      <c r="CO34">
        <f t="shared" si="19"/>
        <v>1</v>
      </c>
      <c r="CP34">
        <f t="shared" si="19"/>
        <v>1</v>
      </c>
      <c r="CQ34">
        <f t="shared" si="19"/>
        <v>1</v>
      </c>
      <c r="CR34">
        <f t="shared" si="19"/>
        <v>0</v>
      </c>
      <c r="CS34">
        <f t="shared" si="19"/>
        <v>0</v>
      </c>
      <c r="CT34">
        <f t="shared" si="19"/>
        <v>1</v>
      </c>
      <c r="CU34">
        <f t="shared" si="19"/>
        <v>1</v>
      </c>
      <c r="CV34">
        <f t="shared" si="19"/>
        <v>1</v>
      </c>
      <c r="CW34">
        <f t="shared" si="19"/>
        <v>1</v>
      </c>
      <c r="CX34">
        <f t="shared" si="20"/>
        <v>1</v>
      </c>
      <c r="CY34">
        <f t="shared" si="20"/>
        <v>0</v>
      </c>
      <c r="CZ34">
        <f t="shared" si="20"/>
        <v>0</v>
      </c>
      <c r="DA34">
        <f t="shared" si="20"/>
        <v>1</v>
      </c>
      <c r="DB34">
        <f t="shared" si="20"/>
        <v>1</v>
      </c>
      <c r="DC34">
        <f t="shared" si="20"/>
        <v>1</v>
      </c>
      <c r="DD34">
        <f t="shared" si="20"/>
        <v>1</v>
      </c>
      <c r="DE34">
        <f t="shared" si="20"/>
        <v>1</v>
      </c>
      <c r="DF34">
        <f t="shared" si="20"/>
        <v>0</v>
      </c>
      <c r="DG34">
        <f t="shared" si="20"/>
        <v>0</v>
      </c>
      <c r="DH34">
        <f t="shared" si="21"/>
        <v>1</v>
      </c>
      <c r="DI34">
        <f t="shared" si="21"/>
        <v>1</v>
      </c>
      <c r="DJ34">
        <f t="shared" si="21"/>
        <v>0</v>
      </c>
      <c r="DK34">
        <f t="shared" si="21"/>
        <v>0</v>
      </c>
      <c r="DL34">
        <f t="shared" si="21"/>
        <v>0</v>
      </c>
      <c r="DM34">
        <f t="shared" si="21"/>
        <v>0</v>
      </c>
      <c r="DN34">
        <f t="shared" si="21"/>
        <v>0</v>
      </c>
      <c r="DO34">
        <f t="shared" si="21"/>
        <v>0</v>
      </c>
      <c r="DP34">
        <f t="shared" si="21"/>
        <v>0</v>
      </c>
      <c r="DQ34">
        <f t="shared" si="21"/>
        <v>0</v>
      </c>
      <c r="DR34">
        <f t="shared" si="21"/>
        <v>0</v>
      </c>
      <c r="DS34">
        <f t="shared" si="21"/>
        <v>0</v>
      </c>
      <c r="DT34">
        <f>SUMIFS($DT$3:$DT$28, $AC$3:$AC$28, AC34)</f>
        <v>57</v>
      </c>
    </row>
    <row r="35" spans="2:124" ht="15.75" customHeight="1">
      <c r="B35" s="101"/>
      <c r="C35" s="77"/>
      <c r="D35" s="1"/>
      <c r="AC35" s="187" t="s">
        <v>354</v>
      </c>
      <c r="AF35">
        <f t="shared" si="13"/>
        <v>0</v>
      </c>
      <c r="AG35">
        <f t="shared" si="13"/>
        <v>0</v>
      </c>
      <c r="AH35">
        <f t="shared" si="13"/>
        <v>0</v>
      </c>
      <c r="AI35">
        <f t="shared" si="13"/>
        <v>1</v>
      </c>
      <c r="AJ35">
        <f t="shared" si="13"/>
        <v>1</v>
      </c>
      <c r="AK35">
        <f t="shared" si="13"/>
        <v>1</v>
      </c>
      <c r="AL35">
        <f t="shared" si="13"/>
        <v>1</v>
      </c>
      <c r="AM35">
        <f t="shared" si="13"/>
        <v>1</v>
      </c>
      <c r="AN35">
        <f t="shared" si="13"/>
        <v>0</v>
      </c>
      <c r="AO35">
        <f t="shared" si="13"/>
        <v>0</v>
      </c>
      <c r="AP35">
        <f t="shared" si="14"/>
        <v>1</v>
      </c>
      <c r="AQ35">
        <f t="shared" si="14"/>
        <v>1</v>
      </c>
      <c r="AR35">
        <f t="shared" si="14"/>
        <v>1</v>
      </c>
      <c r="AS35">
        <f t="shared" si="14"/>
        <v>1</v>
      </c>
      <c r="AT35">
        <f t="shared" si="14"/>
        <v>1</v>
      </c>
      <c r="AU35">
        <f t="shared" si="14"/>
        <v>0</v>
      </c>
      <c r="AV35">
        <f t="shared" si="14"/>
        <v>0</v>
      </c>
      <c r="AW35">
        <f t="shared" si="14"/>
        <v>0</v>
      </c>
      <c r="AX35">
        <f t="shared" si="14"/>
        <v>0</v>
      </c>
      <c r="AY35">
        <f t="shared" si="14"/>
        <v>0</v>
      </c>
      <c r="AZ35">
        <f t="shared" si="15"/>
        <v>1</v>
      </c>
      <c r="BA35">
        <f t="shared" si="15"/>
        <v>0</v>
      </c>
      <c r="BB35">
        <f t="shared" si="15"/>
        <v>0</v>
      </c>
      <c r="BC35">
        <f t="shared" si="15"/>
        <v>0</v>
      </c>
      <c r="BD35">
        <f t="shared" si="15"/>
        <v>1</v>
      </c>
      <c r="BE35">
        <f t="shared" si="15"/>
        <v>1</v>
      </c>
      <c r="BF35">
        <f t="shared" si="15"/>
        <v>1</v>
      </c>
      <c r="BG35">
        <f t="shared" si="15"/>
        <v>0</v>
      </c>
      <c r="BH35">
        <f t="shared" si="15"/>
        <v>0</v>
      </c>
      <c r="BI35">
        <f t="shared" si="15"/>
        <v>0</v>
      </c>
      <c r="BJ35">
        <f t="shared" si="16"/>
        <v>0</v>
      </c>
      <c r="BK35">
        <f t="shared" si="16"/>
        <v>1</v>
      </c>
      <c r="BL35">
        <f t="shared" si="16"/>
        <v>1</v>
      </c>
      <c r="BM35">
        <f t="shared" si="16"/>
        <v>1</v>
      </c>
      <c r="BN35">
        <f t="shared" si="16"/>
        <v>1</v>
      </c>
      <c r="BO35">
        <f t="shared" si="16"/>
        <v>1</v>
      </c>
      <c r="BP35">
        <f t="shared" si="16"/>
        <v>0</v>
      </c>
      <c r="BQ35">
        <f t="shared" si="16"/>
        <v>0</v>
      </c>
      <c r="BR35">
        <f t="shared" si="16"/>
        <v>1</v>
      </c>
      <c r="BS35">
        <f t="shared" si="16"/>
        <v>1</v>
      </c>
      <c r="BT35">
        <f t="shared" si="17"/>
        <v>1</v>
      </c>
      <c r="BU35">
        <f t="shared" si="17"/>
        <v>1</v>
      </c>
      <c r="BV35">
        <f t="shared" si="17"/>
        <v>1</v>
      </c>
      <c r="BW35">
        <f t="shared" si="17"/>
        <v>0</v>
      </c>
      <c r="BX35">
        <f t="shared" si="17"/>
        <v>0</v>
      </c>
      <c r="BY35">
        <f t="shared" si="17"/>
        <v>1</v>
      </c>
      <c r="BZ35">
        <f t="shared" si="17"/>
        <v>1</v>
      </c>
      <c r="CA35">
        <f t="shared" si="17"/>
        <v>1</v>
      </c>
      <c r="CB35">
        <f t="shared" si="17"/>
        <v>1</v>
      </c>
      <c r="CC35">
        <f t="shared" si="17"/>
        <v>1</v>
      </c>
      <c r="CD35">
        <f t="shared" si="18"/>
        <v>0</v>
      </c>
      <c r="CE35">
        <f t="shared" si="18"/>
        <v>0</v>
      </c>
      <c r="CF35">
        <f t="shared" si="18"/>
        <v>1</v>
      </c>
      <c r="CG35">
        <f t="shared" si="18"/>
        <v>1</v>
      </c>
      <c r="CH35">
        <f t="shared" si="18"/>
        <v>1</v>
      </c>
      <c r="CI35">
        <f t="shared" si="18"/>
        <v>1</v>
      </c>
      <c r="CJ35">
        <f t="shared" si="18"/>
        <v>1</v>
      </c>
      <c r="CK35">
        <f t="shared" si="18"/>
        <v>0</v>
      </c>
      <c r="CL35">
        <f t="shared" si="18"/>
        <v>0</v>
      </c>
      <c r="CM35">
        <f t="shared" si="18"/>
        <v>1</v>
      </c>
      <c r="CN35">
        <f t="shared" si="19"/>
        <v>1</v>
      </c>
      <c r="CO35">
        <f t="shared" si="19"/>
        <v>1</v>
      </c>
      <c r="CP35">
        <f t="shared" si="19"/>
        <v>1</v>
      </c>
      <c r="CQ35">
        <f t="shared" si="19"/>
        <v>1</v>
      </c>
      <c r="CR35">
        <f t="shared" si="19"/>
        <v>0</v>
      </c>
      <c r="CS35">
        <f t="shared" si="19"/>
        <v>0</v>
      </c>
      <c r="CT35">
        <f t="shared" si="19"/>
        <v>1</v>
      </c>
      <c r="CU35">
        <f t="shared" si="19"/>
        <v>1</v>
      </c>
      <c r="CV35">
        <f t="shared" si="19"/>
        <v>1</v>
      </c>
      <c r="CW35">
        <f t="shared" si="19"/>
        <v>1</v>
      </c>
      <c r="CX35">
        <f t="shared" si="20"/>
        <v>1</v>
      </c>
      <c r="CY35">
        <f t="shared" si="20"/>
        <v>0</v>
      </c>
      <c r="CZ35">
        <f t="shared" si="20"/>
        <v>0</v>
      </c>
      <c r="DA35">
        <f t="shared" si="20"/>
        <v>1</v>
      </c>
      <c r="DB35">
        <f t="shared" si="20"/>
        <v>1</v>
      </c>
      <c r="DC35">
        <f t="shared" si="20"/>
        <v>1</v>
      </c>
      <c r="DD35">
        <f t="shared" si="20"/>
        <v>1</v>
      </c>
      <c r="DE35">
        <f t="shared" si="20"/>
        <v>1</v>
      </c>
      <c r="DF35">
        <f t="shared" si="20"/>
        <v>0</v>
      </c>
      <c r="DG35">
        <f t="shared" si="20"/>
        <v>0</v>
      </c>
      <c r="DH35">
        <f t="shared" si="21"/>
        <v>1</v>
      </c>
      <c r="DI35">
        <f t="shared" si="21"/>
        <v>0</v>
      </c>
      <c r="DJ35">
        <f t="shared" si="21"/>
        <v>0</v>
      </c>
      <c r="DK35">
        <f t="shared" si="21"/>
        <v>0</v>
      </c>
      <c r="DL35">
        <f t="shared" si="21"/>
        <v>0</v>
      </c>
      <c r="DM35">
        <f t="shared" si="21"/>
        <v>0</v>
      </c>
      <c r="DN35">
        <f t="shared" si="21"/>
        <v>0</v>
      </c>
      <c r="DO35">
        <f t="shared" si="21"/>
        <v>0</v>
      </c>
      <c r="DP35">
        <f t="shared" si="21"/>
        <v>0</v>
      </c>
      <c r="DQ35">
        <f t="shared" si="21"/>
        <v>0</v>
      </c>
      <c r="DR35">
        <f t="shared" si="21"/>
        <v>0</v>
      </c>
      <c r="DS35">
        <f t="shared" si="21"/>
        <v>0</v>
      </c>
      <c r="DT35">
        <f>SUMIFS($DT$3:$DT$28, $AC$3:$AC$28, AC35)</f>
        <v>50</v>
      </c>
    </row>
    <row r="36" spans="2:124" ht="15.75" customHeight="1">
      <c r="C36" s="1"/>
      <c r="D36" s="1"/>
      <c r="AC36" s="187" t="s">
        <v>335</v>
      </c>
      <c r="AF36">
        <f>SUM(AF31:AF35)</f>
        <v>0</v>
      </c>
      <c r="AG36">
        <f t="shared" ref="AG36:CR36" si="22">SUM(AG31:AG35)</f>
        <v>0</v>
      </c>
      <c r="AH36">
        <f t="shared" si="22"/>
        <v>0</v>
      </c>
      <c r="AI36">
        <f t="shared" si="22"/>
        <v>2</v>
      </c>
      <c r="AJ36">
        <f t="shared" si="22"/>
        <v>3</v>
      </c>
      <c r="AK36">
        <f t="shared" si="22"/>
        <v>3</v>
      </c>
      <c r="AL36">
        <f t="shared" si="22"/>
        <v>4</v>
      </c>
      <c r="AM36">
        <f t="shared" si="22"/>
        <v>3</v>
      </c>
      <c r="AN36">
        <f t="shared" si="22"/>
        <v>0</v>
      </c>
      <c r="AO36">
        <f t="shared" si="22"/>
        <v>0</v>
      </c>
      <c r="AP36">
        <f t="shared" si="22"/>
        <v>4</v>
      </c>
      <c r="AQ36">
        <f t="shared" si="22"/>
        <v>4</v>
      </c>
      <c r="AR36">
        <f t="shared" si="22"/>
        <v>4</v>
      </c>
      <c r="AS36">
        <f t="shared" si="22"/>
        <v>4</v>
      </c>
      <c r="AT36">
        <f t="shared" si="22"/>
        <v>4</v>
      </c>
      <c r="AU36">
        <f t="shared" si="22"/>
        <v>0</v>
      </c>
      <c r="AV36">
        <f t="shared" si="22"/>
        <v>0</v>
      </c>
      <c r="AW36">
        <f t="shared" si="22"/>
        <v>1</v>
      </c>
      <c r="AX36">
        <f t="shared" si="22"/>
        <v>2</v>
      </c>
      <c r="AY36">
        <f t="shared" si="22"/>
        <v>2</v>
      </c>
      <c r="AZ36">
        <f t="shared" si="22"/>
        <v>3</v>
      </c>
      <c r="BA36">
        <f t="shared" si="22"/>
        <v>2</v>
      </c>
      <c r="BB36">
        <f t="shared" si="22"/>
        <v>0</v>
      </c>
      <c r="BC36">
        <f t="shared" si="22"/>
        <v>0</v>
      </c>
      <c r="BD36">
        <f t="shared" si="22"/>
        <v>3</v>
      </c>
      <c r="BE36">
        <f t="shared" si="22"/>
        <v>3</v>
      </c>
      <c r="BF36">
        <f t="shared" si="22"/>
        <v>3</v>
      </c>
      <c r="BG36">
        <f t="shared" si="22"/>
        <v>3</v>
      </c>
      <c r="BH36">
        <f t="shared" si="22"/>
        <v>3</v>
      </c>
      <c r="BI36">
        <f t="shared" si="22"/>
        <v>0</v>
      </c>
      <c r="BJ36">
        <f t="shared" si="22"/>
        <v>0</v>
      </c>
      <c r="BK36">
        <f t="shared" si="22"/>
        <v>4</v>
      </c>
      <c r="BL36">
        <f t="shared" si="22"/>
        <v>4</v>
      </c>
      <c r="BM36">
        <f t="shared" si="22"/>
        <v>4</v>
      </c>
      <c r="BN36">
        <f t="shared" si="22"/>
        <v>4</v>
      </c>
      <c r="BO36">
        <f t="shared" si="22"/>
        <v>4</v>
      </c>
      <c r="BP36">
        <f t="shared" si="22"/>
        <v>0</v>
      </c>
      <c r="BQ36">
        <f t="shared" si="22"/>
        <v>0</v>
      </c>
      <c r="BR36">
        <f t="shared" si="22"/>
        <v>5</v>
      </c>
      <c r="BS36">
        <f t="shared" si="22"/>
        <v>5</v>
      </c>
      <c r="BT36">
        <f t="shared" si="22"/>
        <v>5</v>
      </c>
      <c r="BU36">
        <f t="shared" si="22"/>
        <v>6</v>
      </c>
      <c r="BV36">
        <f t="shared" si="22"/>
        <v>6</v>
      </c>
      <c r="BW36">
        <f t="shared" si="22"/>
        <v>0</v>
      </c>
      <c r="BX36">
        <f t="shared" si="22"/>
        <v>0</v>
      </c>
      <c r="BY36">
        <f t="shared" si="22"/>
        <v>6</v>
      </c>
      <c r="BZ36">
        <f t="shared" si="22"/>
        <v>6</v>
      </c>
      <c r="CA36">
        <f t="shared" si="22"/>
        <v>6</v>
      </c>
      <c r="CB36">
        <f t="shared" si="22"/>
        <v>5</v>
      </c>
      <c r="CC36">
        <f t="shared" si="22"/>
        <v>4</v>
      </c>
      <c r="CD36">
        <f t="shared" si="22"/>
        <v>0</v>
      </c>
      <c r="CE36">
        <f t="shared" si="22"/>
        <v>0</v>
      </c>
      <c r="CF36">
        <f t="shared" si="22"/>
        <v>6</v>
      </c>
      <c r="CG36">
        <f t="shared" si="22"/>
        <v>6</v>
      </c>
      <c r="CH36">
        <f t="shared" si="22"/>
        <v>6</v>
      </c>
      <c r="CI36">
        <f t="shared" si="22"/>
        <v>6</v>
      </c>
      <c r="CJ36">
        <f t="shared" si="22"/>
        <v>6</v>
      </c>
      <c r="CK36">
        <f t="shared" si="22"/>
        <v>0</v>
      </c>
      <c r="CL36">
        <f t="shared" si="22"/>
        <v>0</v>
      </c>
      <c r="CM36">
        <f t="shared" si="22"/>
        <v>6</v>
      </c>
      <c r="CN36">
        <f t="shared" si="22"/>
        <v>6</v>
      </c>
      <c r="CO36">
        <f t="shared" si="22"/>
        <v>6</v>
      </c>
      <c r="CP36">
        <f t="shared" si="22"/>
        <v>5</v>
      </c>
      <c r="CQ36">
        <f t="shared" si="22"/>
        <v>4</v>
      </c>
      <c r="CR36">
        <f t="shared" si="22"/>
        <v>0</v>
      </c>
      <c r="CS36">
        <f t="shared" ref="CS36:DS36" si="23">SUM(CS31:CS35)</f>
        <v>0</v>
      </c>
      <c r="CT36">
        <f t="shared" si="23"/>
        <v>3</v>
      </c>
      <c r="CU36">
        <f t="shared" si="23"/>
        <v>4</v>
      </c>
      <c r="CV36">
        <f t="shared" si="23"/>
        <v>4</v>
      </c>
      <c r="CW36">
        <f t="shared" si="23"/>
        <v>4</v>
      </c>
      <c r="CX36">
        <f t="shared" si="23"/>
        <v>3</v>
      </c>
      <c r="CY36">
        <f t="shared" si="23"/>
        <v>0</v>
      </c>
      <c r="CZ36">
        <f t="shared" si="23"/>
        <v>0</v>
      </c>
      <c r="DA36">
        <f t="shared" si="23"/>
        <v>3</v>
      </c>
      <c r="DB36">
        <f t="shared" si="23"/>
        <v>3</v>
      </c>
      <c r="DC36">
        <f t="shared" si="23"/>
        <v>3</v>
      </c>
      <c r="DD36">
        <f t="shared" si="23"/>
        <v>3</v>
      </c>
      <c r="DE36">
        <f t="shared" si="23"/>
        <v>2</v>
      </c>
      <c r="DF36">
        <f t="shared" si="23"/>
        <v>0</v>
      </c>
      <c r="DG36">
        <f t="shared" si="23"/>
        <v>0</v>
      </c>
      <c r="DH36">
        <f t="shared" si="23"/>
        <v>2</v>
      </c>
      <c r="DI36">
        <f t="shared" si="23"/>
        <v>1</v>
      </c>
      <c r="DJ36">
        <f t="shared" si="23"/>
        <v>0</v>
      </c>
      <c r="DK36">
        <f t="shared" si="23"/>
        <v>0</v>
      </c>
      <c r="DL36">
        <f t="shared" si="23"/>
        <v>0</v>
      </c>
      <c r="DM36">
        <f t="shared" si="23"/>
        <v>0</v>
      </c>
      <c r="DN36">
        <f t="shared" si="23"/>
        <v>0</v>
      </c>
      <c r="DO36">
        <f t="shared" si="23"/>
        <v>0</v>
      </c>
      <c r="DP36">
        <f t="shared" si="23"/>
        <v>0</v>
      </c>
      <c r="DQ36">
        <f t="shared" si="23"/>
        <v>0</v>
      </c>
      <c r="DR36">
        <f t="shared" si="23"/>
        <v>0</v>
      </c>
      <c r="DS36">
        <f t="shared" si="23"/>
        <v>0</v>
      </c>
    </row>
    <row r="37" spans="2:124" ht="15.75" customHeight="1">
      <c r="C37" s="1"/>
      <c r="D37" s="1"/>
    </row>
    <row r="38" spans="2:124" ht="15.75" customHeight="1">
      <c r="C38" s="1"/>
      <c r="D38" s="1"/>
    </row>
    <row r="39" spans="2:124" ht="15.75" customHeight="1">
      <c r="C39" s="1"/>
      <c r="D39" s="1"/>
    </row>
    <row r="40" spans="2:124" ht="15.75" customHeight="1">
      <c r="C40" s="1"/>
      <c r="D40" s="1"/>
    </row>
    <row r="41" spans="2:124" ht="15.75" customHeight="1">
      <c r="C41" s="1"/>
      <c r="D41" s="1"/>
    </row>
    <row r="42" spans="2:124" ht="15.75" customHeight="1">
      <c r="C42" s="1"/>
      <c r="D42" s="1"/>
    </row>
    <row r="43" spans="2:124" ht="15.75" customHeight="1">
      <c r="C43" s="1"/>
      <c r="D43" s="1"/>
    </row>
    <row r="44" spans="2:124" ht="15.75" customHeight="1">
      <c r="C44" s="1"/>
      <c r="D44" s="1"/>
    </row>
    <row r="45" spans="2:124" ht="15.75" customHeight="1">
      <c r="C45" s="1"/>
      <c r="D45" s="1"/>
    </row>
    <row r="46" spans="2:124" ht="15.75" customHeight="1">
      <c r="C46" s="1"/>
      <c r="D46" s="1"/>
    </row>
    <row r="47" spans="2:124" ht="15.75" customHeight="1">
      <c r="C47" s="1"/>
      <c r="D47" s="1"/>
    </row>
    <row r="48" spans="2:124" ht="15.75" customHeight="1">
      <c r="C48" s="1"/>
      <c r="D48" s="1"/>
    </row>
    <row r="49" spans="3:4" ht="15.75" customHeight="1">
      <c r="C49" s="1"/>
      <c r="D49" s="1"/>
    </row>
    <row r="50" spans="3:4" ht="15.75" customHeight="1">
      <c r="C50" s="1"/>
      <c r="D50" s="1"/>
    </row>
    <row r="51" spans="3:4" ht="15.75" customHeight="1">
      <c r="C51" s="1"/>
      <c r="D51" s="1"/>
    </row>
    <row r="52" spans="3:4" ht="15.75" customHeight="1">
      <c r="C52" s="1"/>
      <c r="D52" s="1"/>
    </row>
    <row r="53" spans="3:4" ht="15.75" customHeight="1">
      <c r="C53" s="1"/>
      <c r="D53" s="1"/>
    </row>
    <row r="54" spans="3:4" ht="15.75" customHeight="1">
      <c r="C54" s="1"/>
      <c r="D54" s="1"/>
    </row>
    <row r="55" spans="3:4" ht="15.75" customHeight="1">
      <c r="C55" s="1"/>
      <c r="D55" s="1"/>
    </row>
    <row r="56" spans="3:4" ht="15.75" customHeight="1">
      <c r="C56" s="1"/>
      <c r="D56" s="1"/>
    </row>
    <row r="57" spans="3:4" ht="15.75" customHeight="1">
      <c r="C57" s="1"/>
      <c r="D57" s="1"/>
    </row>
    <row r="58" spans="3:4" ht="15.75" customHeight="1">
      <c r="C58" s="1"/>
      <c r="D58" s="1"/>
    </row>
    <row r="59" spans="3:4" ht="15.75" customHeight="1">
      <c r="C59" s="1"/>
      <c r="D59" s="1"/>
    </row>
    <row r="60" spans="3:4" ht="15.75" customHeight="1">
      <c r="C60" s="1"/>
      <c r="D60" s="1"/>
    </row>
    <row r="61" spans="3:4" ht="15.75" customHeight="1">
      <c r="C61" s="1"/>
      <c r="D61" s="1"/>
    </row>
    <row r="62" spans="3:4" ht="15.75" customHeight="1">
      <c r="C62" s="1"/>
      <c r="D62" s="1"/>
    </row>
    <row r="63" spans="3:4" ht="15.75" customHeight="1">
      <c r="C63" s="1"/>
      <c r="D63" s="1"/>
    </row>
    <row r="64" spans="3:4" ht="15.75" customHeight="1">
      <c r="C64" s="1"/>
      <c r="D64" s="1"/>
    </row>
    <row r="65" spans="3:4" ht="15.75" customHeight="1">
      <c r="C65" s="1"/>
      <c r="D65" s="1"/>
    </row>
    <row r="66" spans="3:4" ht="15.75" customHeight="1">
      <c r="C66" s="1"/>
      <c r="D66" s="1"/>
    </row>
    <row r="67" spans="3:4" ht="15.75" customHeight="1">
      <c r="C67" s="1"/>
      <c r="D67" s="1"/>
    </row>
    <row r="68" spans="3:4" ht="15.75" customHeight="1">
      <c r="C68" s="1"/>
      <c r="D68" s="1"/>
    </row>
    <row r="69" spans="3:4" ht="15.75" customHeight="1">
      <c r="C69" s="1"/>
      <c r="D69" s="1"/>
    </row>
    <row r="70" spans="3:4" ht="15.75" customHeight="1">
      <c r="C70" s="1"/>
      <c r="D70" s="1"/>
    </row>
    <row r="71" spans="3:4" ht="15.75" customHeight="1">
      <c r="C71" s="1"/>
      <c r="D71" s="1"/>
    </row>
    <row r="72" spans="3:4" ht="15.75" customHeight="1">
      <c r="C72" s="1"/>
      <c r="D72" s="1"/>
    </row>
    <row r="73" spans="3:4" ht="15.75" customHeight="1">
      <c r="C73" s="1"/>
      <c r="D73" s="1"/>
    </row>
    <row r="74" spans="3:4" ht="15.75" customHeight="1">
      <c r="C74" s="1"/>
      <c r="D74" s="1"/>
    </row>
    <row r="75" spans="3:4" ht="15.75" customHeight="1">
      <c r="C75" s="1"/>
      <c r="D75" s="1"/>
    </row>
    <row r="76" spans="3:4" ht="15.75" customHeight="1">
      <c r="C76" s="1"/>
      <c r="D76" s="1"/>
    </row>
    <row r="77" spans="3:4" ht="15.75" customHeight="1">
      <c r="C77" s="1"/>
      <c r="D77" s="1"/>
    </row>
    <row r="78" spans="3:4" ht="15.75" customHeight="1">
      <c r="C78" s="1"/>
      <c r="D78" s="1"/>
    </row>
    <row r="79" spans="3:4" ht="15.75" customHeight="1">
      <c r="C79" s="1"/>
      <c r="D79" s="1"/>
    </row>
    <row r="80" spans="3:4" ht="15.75" customHeight="1">
      <c r="C80" s="1"/>
      <c r="D80" s="1"/>
    </row>
    <row r="81" spans="3:4" ht="15.75" customHeight="1">
      <c r="C81" s="1"/>
      <c r="D81" s="1"/>
    </row>
    <row r="82" spans="3:4" ht="15.75" customHeight="1">
      <c r="C82" s="1"/>
      <c r="D82" s="1"/>
    </row>
    <row r="83" spans="3:4" ht="15.75" customHeight="1">
      <c r="C83" s="1"/>
      <c r="D83" s="1"/>
    </row>
    <row r="84" spans="3:4" ht="15.75" customHeight="1">
      <c r="C84" s="1"/>
      <c r="D84" s="1"/>
    </row>
    <row r="85" spans="3:4" ht="15.75" customHeight="1">
      <c r="C85" s="1"/>
      <c r="D85" s="1"/>
    </row>
    <row r="86" spans="3:4" ht="15.75" customHeight="1">
      <c r="C86" s="1"/>
      <c r="D86" s="1"/>
    </row>
    <row r="87" spans="3:4" ht="15.75" customHeight="1">
      <c r="C87" s="1"/>
      <c r="D87" s="1"/>
    </row>
    <row r="88" spans="3:4" ht="15.75" customHeight="1">
      <c r="C88" s="1"/>
      <c r="D88" s="1"/>
    </row>
    <row r="89" spans="3:4" ht="15.75" customHeight="1">
      <c r="C89" s="1"/>
      <c r="D89" s="1"/>
    </row>
    <row r="90" spans="3:4" ht="15.75" customHeight="1">
      <c r="C90" s="1"/>
      <c r="D90" s="1"/>
    </row>
    <row r="91" spans="3:4" ht="15.75" customHeight="1">
      <c r="C91" s="1"/>
      <c r="D91" s="1"/>
    </row>
    <row r="92" spans="3:4" ht="15.75" customHeight="1">
      <c r="C92" s="1"/>
      <c r="D92" s="1"/>
    </row>
    <row r="93" spans="3:4" ht="15.75" customHeight="1">
      <c r="C93" s="1"/>
      <c r="D93" s="1"/>
    </row>
    <row r="94" spans="3:4" ht="15.75" customHeight="1">
      <c r="C94" s="1"/>
      <c r="D94" s="1"/>
    </row>
    <row r="95" spans="3:4" ht="15.75" customHeight="1">
      <c r="C95" s="1"/>
      <c r="D95" s="1"/>
    </row>
    <row r="96" spans="3:4" ht="15.75" customHeight="1">
      <c r="C96" s="1"/>
      <c r="D96" s="1"/>
    </row>
    <row r="97" spans="3:4" ht="15.75" customHeight="1">
      <c r="C97" s="1"/>
      <c r="D97" s="1"/>
    </row>
    <row r="98" spans="3:4" ht="15.75" customHeight="1">
      <c r="C98" s="1"/>
      <c r="D98" s="1"/>
    </row>
    <row r="99" spans="3:4" ht="15.75" customHeight="1">
      <c r="C99" s="1"/>
      <c r="D99" s="1"/>
    </row>
    <row r="100" spans="3:4" ht="15.75" customHeight="1">
      <c r="C100" s="1"/>
      <c r="D100" s="1"/>
    </row>
    <row r="101" spans="3:4" ht="15.75" customHeight="1">
      <c r="C101" s="1"/>
      <c r="D101" s="1"/>
    </row>
    <row r="102" spans="3:4" ht="15.75" customHeight="1">
      <c r="C102" s="1"/>
      <c r="D102" s="1"/>
    </row>
    <row r="103" spans="3:4" ht="15.75" customHeight="1">
      <c r="C103" s="1"/>
      <c r="D103" s="1"/>
    </row>
    <row r="104" spans="3:4" ht="15.75" customHeight="1">
      <c r="C104" s="1"/>
      <c r="D104" s="1"/>
    </row>
    <row r="105" spans="3:4" ht="15.75" customHeight="1">
      <c r="C105" s="1"/>
      <c r="D105" s="1"/>
    </row>
    <row r="106" spans="3:4" ht="15.75" customHeight="1">
      <c r="C106" s="1"/>
      <c r="D106" s="1"/>
    </row>
    <row r="107" spans="3:4" ht="15.75" customHeight="1">
      <c r="C107" s="1"/>
      <c r="D107" s="1"/>
    </row>
    <row r="108" spans="3:4" ht="15.75" customHeight="1">
      <c r="C108" s="1"/>
      <c r="D108" s="1"/>
    </row>
    <row r="109" spans="3:4" ht="15.75" customHeight="1">
      <c r="C109" s="1"/>
      <c r="D109" s="1"/>
    </row>
    <row r="110" spans="3:4" ht="15.75" customHeight="1">
      <c r="C110" s="1"/>
      <c r="D110" s="1"/>
    </row>
    <row r="111" spans="3:4" ht="15.75" customHeight="1">
      <c r="C111" s="1"/>
      <c r="D111" s="1"/>
    </row>
    <row r="112" spans="3:4" ht="15.75" customHeight="1">
      <c r="C112" s="1"/>
      <c r="D112" s="1"/>
    </row>
    <row r="113" spans="3:4" ht="15.75" customHeight="1">
      <c r="C113" s="1"/>
      <c r="D113" s="1"/>
    </row>
    <row r="114" spans="3:4" ht="15.75" customHeight="1">
      <c r="C114" s="1"/>
      <c r="D114" s="1"/>
    </row>
    <row r="115" spans="3:4" ht="15.75" customHeight="1">
      <c r="C115" s="1"/>
      <c r="D115" s="1"/>
    </row>
    <row r="116" spans="3:4" ht="15.75" customHeight="1">
      <c r="C116" s="1"/>
      <c r="D116" s="1"/>
    </row>
    <row r="117" spans="3:4" ht="15.75" customHeight="1">
      <c r="C117" s="1"/>
      <c r="D117" s="1"/>
    </row>
    <row r="118" spans="3:4" ht="15.75" customHeight="1">
      <c r="C118" s="1"/>
      <c r="D118" s="1"/>
    </row>
    <row r="119" spans="3:4" ht="15.75" customHeight="1">
      <c r="C119" s="1"/>
      <c r="D119" s="1"/>
    </row>
    <row r="120" spans="3:4" ht="15.75" customHeight="1">
      <c r="C120" s="1"/>
      <c r="D120" s="1"/>
    </row>
    <row r="121" spans="3:4" ht="15.75" customHeight="1">
      <c r="C121" s="1"/>
      <c r="D121" s="1"/>
    </row>
    <row r="122" spans="3:4" ht="15.75" customHeight="1">
      <c r="C122" s="1"/>
      <c r="D122" s="1"/>
    </row>
    <row r="123" spans="3:4" ht="15.75" customHeight="1">
      <c r="C123" s="1"/>
      <c r="D123" s="1"/>
    </row>
    <row r="124" spans="3:4" ht="15.75" customHeight="1">
      <c r="C124" s="1"/>
      <c r="D124" s="1"/>
    </row>
    <row r="125" spans="3:4" ht="15.75" customHeight="1">
      <c r="C125" s="1"/>
      <c r="D125" s="1"/>
    </row>
    <row r="126" spans="3:4" ht="15.75" customHeight="1">
      <c r="C126" s="1"/>
      <c r="D126" s="1"/>
    </row>
    <row r="127" spans="3:4" ht="15.75" customHeight="1">
      <c r="C127" s="1"/>
      <c r="D127" s="1"/>
    </row>
    <row r="128" spans="3:4" ht="15.75" customHeight="1">
      <c r="C128" s="1"/>
      <c r="D128" s="1"/>
    </row>
    <row r="129" spans="3:4" ht="15.75" customHeight="1">
      <c r="C129" s="1"/>
      <c r="D129" s="1"/>
    </row>
    <row r="130" spans="3:4" ht="15.75" customHeight="1">
      <c r="C130" s="1"/>
      <c r="D130" s="1"/>
    </row>
    <row r="131" spans="3:4" ht="15.75" customHeight="1">
      <c r="C131" s="1"/>
      <c r="D131" s="1"/>
    </row>
    <row r="132" spans="3:4" ht="15.75" customHeight="1">
      <c r="C132" s="1"/>
      <c r="D132" s="1"/>
    </row>
    <row r="133" spans="3:4" ht="15.75" customHeight="1">
      <c r="C133" s="1"/>
      <c r="D133" s="1"/>
    </row>
    <row r="134" spans="3:4" ht="15.75" customHeight="1">
      <c r="C134" s="1"/>
      <c r="D134" s="1"/>
    </row>
    <row r="135" spans="3:4" ht="15.75" customHeight="1">
      <c r="C135" s="1"/>
      <c r="D135" s="1"/>
    </row>
    <row r="136" spans="3:4" ht="15.75" customHeight="1">
      <c r="C136" s="1"/>
      <c r="D136" s="1"/>
    </row>
    <row r="137" spans="3:4" ht="15.75" customHeight="1">
      <c r="C137" s="1"/>
      <c r="D137" s="1"/>
    </row>
    <row r="138" spans="3:4" ht="15.75" customHeight="1">
      <c r="C138" s="1"/>
      <c r="D138" s="1"/>
    </row>
    <row r="139" spans="3:4" ht="15.75" customHeight="1">
      <c r="C139" s="1"/>
      <c r="D139" s="1"/>
    </row>
    <row r="140" spans="3:4" ht="15.75" customHeight="1">
      <c r="C140" s="1"/>
      <c r="D140" s="1"/>
    </row>
    <row r="141" spans="3:4" ht="15.75" customHeight="1">
      <c r="C141" s="1"/>
      <c r="D141" s="1"/>
    </row>
    <row r="142" spans="3:4" ht="15.75" customHeight="1">
      <c r="C142" s="1"/>
      <c r="D142" s="1"/>
    </row>
    <row r="143" spans="3:4" ht="15.75" customHeight="1">
      <c r="C143" s="1"/>
      <c r="D143" s="1"/>
    </row>
    <row r="144" spans="3:4" ht="15.75" customHeight="1">
      <c r="C144" s="1"/>
      <c r="D144" s="1"/>
    </row>
    <row r="145" spans="3:4" ht="15.75" customHeight="1">
      <c r="C145" s="1"/>
      <c r="D145" s="1"/>
    </row>
    <row r="146" spans="3:4" ht="15.75" customHeight="1">
      <c r="C146" s="1"/>
      <c r="D146" s="1"/>
    </row>
    <row r="147" spans="3:4" ht="15.75" customHeight="1">
      <c r="C147" s="1"/>
      <c r="D147" s="1"/>
    </row>
    <row r="148" spans="3:4" ht="15.75" customHeight="1">
      <c r="C148" s="1"/>
      <c r="D148" s="1"/>
    </row>
    <row r="149" spans="3:4" ht="15.75" customHeight="1">
      <c r="C149" s="1"/>
      <c r="D149" s="1"/>
    </row>
    <row r="150" spans="3:4" ht="15.75" customHeight="1">
      <c r="C150" s="1"/>
      <c r="D150" s="1"/>
    </row>
    <row r="151" spans="3:4" ht="15.75" customHeight="1">
      <c r="C151" s="1"/>
      <c r="D151" s="1"/>
    </row>
    <row r="152" spans="3:4" ht="15.75" customHeight="1">
      <c r="C152" s="1"/>
      <c r="D152" s="1"/>
    </row>
    <row r="153" spans="3:4" ht="15.75" customHeight="1">
      <c r="C153" s="1"/>
      <c r="D153" s="1"/>
    </row>
    <row r="154" spans="3:4" ht="15.75" customHeight="1">
      <c r="C154" s="1"/>
      <c r="D154" s="1"/>
    </row>
    <row r="155" spans="3:4" ht="15.75" customHeight="1">
      <c r="C155" s="1"/>
      <c r="D155" s="1"/>
    </row>
    <row r="156" spans="3:4" ht="15.75" customHeight="1">
      <c r="C156" s="1"/>
      <c r="D156" s="1"/>
    </row>
    <row r="157" spans="3:4" ht="15.75" customHeight="1">
      <c r="C157" s="1"/>
      <c r="D157" s="1"/>
    </row>
    <row r="158" spans="3:4" ht="15.75" customHeight="1">
      <c r="C158" s="1"/>
      <c r="D158" s="1"/>
    </row>
    <row r="159" spans="3:4" ht="15.75" customHeight="1">
      <c r="C159" s="1"/>
      <c r="D159" s="1"/>
    </row>
    <row r="160" spans="3:4" ht="15.75" customHeight="1">
      <c r="C160" s="1"/>
      <c r="D160" s="1"/>
    </row>
    <row r="161" spans="3:4" ht="15.75" customHeight="1">
      <c r="C161" s="1"/>
      <c r="D161" s="1"/>
    </row>
    <row r="162" spans="3:4" ht="15.75" customHeight="1">
      <c r="C162" s="1"/>
      <c r="D162" s="1"/>
    </row>
    <row r="163" spans="3:4" ht="15.75" customHeight="1">
      <c r="C163" s="1"/>
      <c r="D163" s="1"/>
    </row>
    <row r="164" spans="3:4" ht="15.75" customHeight="1">
      <c r="C164" s="1"/>
      <c r="D164" s="1"/>
    </row>
    <row r="165" spans="3:4" ht="15.75" customHeight="1">
      <c r="C165" s="1"/>
      <c r="D165" s="1"/>
    </row>
    <row r="166" spans="3:4" ht="15.75" customHeight="1">
      <c r="C166" s="1"/>
      <c r="D166" s="1"/>
    </row>
    <row r="167" spans="3:4" ht="15.75" customHeight="1">
      <c r="C167" s="1"/>
      <c r="D167" s="1"/>
    </row>
    <row r="168" spans="3:4" ht="15.75" customHeight="1">
      <c r="C168" s="1"/>
      <c r="D168" s="1"/>
    </row>
    <row r="169" spans="3:4" ht="15.75" customHeight="1">
      <c r="C169" s="1"/>
      <c r="D169" s="1"/>
    </row>
    <row r="170" spans="3:4" ht="15.75" customHeight="1">
      <c r="C170" s="1"/>
      <c r="D170" s="1"/>
    </row>
    <row r="171" spans="3:4" ht="15.75" customHeight="1">
      <c r="C171" s="1"/>
      <c r="D171" s="1"/>
    </row>
    <row r="172" spans="3:4" ht="15.75" customHeight="1">
      <c r="C172" s="1"/>
      <c r="D172" s="1"/>
    </row>
    <row r="173" spans="3:4" ht="15.75" customHeight="1">
      <c r="C173" s="1"/>
      <c r="D173" s="1"/>
    </row>
    <row r="174" spans="3:4" ht="15.75" customHeight="1">
      <c r="C174" s="1"/>
      <c r="D174" s="1"/>
    </row>
    <row r="175" spans="3:4" ht="15.75" customHeight="1">
      <c r="C175" s="1"/>
      <c r="D175" s="1"/>
    </row>
    <row r="176" spans="3:4" ht="15.75" customHeight="1">
      <c r="C176" s="1"/>
      <c r="D176" s="1"/>
    </row>
    <row r="177" spans="3:4" ht="15.75" customHeight="1">
      <c r="C177" s="1"/>
      <c r="D177" s="1"/>
    </row>
    <row r="178" spans="3:4" ht="15.75" customHeight="1">
      <c r="C178" s="1"/>
      <c r="D178" s="1"/>
    </row>
    <row r="179" spans="3:4" ht="15.75" customHeight="1">
      <c r="C179" s="1"/>
      <c r="D179" s="1"/>
    </row>
    <row r="180" spans="3:4" ht="15.75" customHeight="1">
      <c r="C180" s="1"/>
      <c r="D180" s="1"/>
    </row>
    <row r="181" spans="3:4" ht="15.75" customHeight="1">
      <c r="C181" s="1"/>
      <c r="D181" s="1"/>
    </row>
    <row r="182" spans="3:4" ht="15.75" customHeight="1">
      <c r="C182" s="1"/>
      <c r="D182" s="1"/>
    </row>
    <row r="183" spans="3:4" ht="15.75" customHeight="1">
      <c r="C183" s="1"/>
      <c r="D183" s="1"/>
    </row>
    <row r="184" spans="3:4" ht="15.75" customHeight="1">
      <c r="C184" s="1"/>
      <c r="D184" s="1"/>
    </row>
    <row r="185" spans="3:4" ht="15.75" customHeight="1">
      <c r="C185" s="1"/>
      <c r="D185" s="1"/>
    </row>
    <row r="186" spans="3:4" ht="15.75" customHeight="1">
      <c r="C186" s="1"/>
      <c r="D186" s="1"/>
    </row>
    <row r="187" spans="3:4" ht="15.75" customHeight="1">
      <c r="C187" s="1"/>
      <c r="D187" s="1"/>
    </row>
    <row r="188" spans="3:4" ht="15.75" customHeight="1">
      <c r="C188" s="1"/>
      <c r="D188" s="1"/>
    </row>
    <row r="189" spans="3:4" ht="15.75" customHeight="1">
      <c r="C189" s="1"/>
      <c r="D189" s="1"/>
    </row>
    <row r="190" spans="3:4" ht="15.75" customHeight="1">
      <c r="C190" s="1"/>
      <c r="D190" s="1"/>
    </row>
    <row r="191" spans="3:4" ht="15.75" customHeight="1">
      <c r="C191" s="1"/>
      <c r="D191" s="1"/>
    </row>
    <row r="192" spans="3:4" ht="15.75" customHeight="1">
      <c r="C192" s="1"/>
      <c r="D192" s="1"/>
    </row>
    <row r="193" spans="3:4" ht="15.75" customHeight="1">
      <c r="C193" s="1"/>
      <c r="D193" s="1"/>
    </row>
    <row r="194" spans="3:4" ht="15.75" customHeight="1">
      <c r="C194" s="1"/>
      <c r="D194" s="1"/>
    </row>
    <row r="195" spans="3:4" ht="15.75" customHeight="1">
      <c r="C195" s="1"/>
      <c r="D195" s="1"/>
    </row>
    <row r="196" spans="3:4" ht="15.75" customHeight="1">
      <c r="C196" s="1"/>
      <c r="D196" s="1"/>
    </row>
    <row r="197" spans="3:4" ht="15.75" customHeight="1">
      <c r="C197" s="1"/>
      <c r="D197" s="1"/>
    </row>
    <row r="198" spans="3:4" ht="15.75" customHeight="1">
      <c r="C198" s="1"/>
      <c r="D198" s="1"/>
    </row>
    <row r="199" spans="3:4" ht="15.75" customHeight="1">
      <c r="C199" s="1"/>
      <c r="D199" s="1"/>
    </row>
    <row r="200" spans="3:4" ht="15.75" customHeight="1">
      <c r="C200" s="1"/>
      <c r="D200" s="1"/>
    </row>
    <row r="201" spans="3:4" ht="15.75" customHeight="1">
      <c r="C201" s="1"/>
      <c r="D201" s="1"/>
    </row>
    <row r="202" spans="3:4" ht="15.75" customHeight="1">
      <c r="C202" s="1"/>
      <c r="D202" s="1"/>
    </row>
    <row r="203" spans="3:4" ht="15.75" customHeight="1">
      <c r="C203" s="1"/>
      <c r="D203" s="1"/>
    </row>
    <row r="204" spans="3:4" ht="15.75" customHeight="1">
      <c r="C204" s="1"/>
      <c r="D204" s="1"/>
    </row>
    <row r="205" spans="3:4" ht="15.75" customHeight="1">
      <c r="C205" s="1"/>
      <c r="D205" s="1"/>
    </row>
    <row r="206" spans="3:4" ht="15.75" customHeight="1">
      <c r="C206" s="1"/>
      <c r="D206" s="1"/>
    </row>
    <row r="207" spans="3:4" ht="15.75" customHeight="1">
      <c r="C207" s="1"/>
      <c r="D207" s="1"/>
    </row>
    <row r="208" spans="3:4" ht="15.75" customHeight="1">
      <c r="C208" s="1"/>
      <c r="D208" s="1"/>
    </row>
    <row r="209" spans="3:4" ht="15.75" customHeight="1">
      <c r="C209" s="1"/>
      <c r="D209" s="1"/>
    </row>
    <row r="210" spans="3:4" ht="15.75" customHeight="1">
      <c r="C210" s="1"/>
      <c r="D210" s="1"/>
    </row>
    <row r="211" spans="3:4" ht="15.75" customHeight="1">
      <c r="C211" s="1"/>
      <c r="D211" s="1"/>
    </row>
    <row r="212" spans="3:4" ht="15.75" customHeight="1">
      <c r="C212" s="1"/>
      <c r="D212" s="1"/>
    </row>
    <row r="213" spans="3:4" ht="15.75" customHeight="1">
      <c r="C213" s="1"/>
      <c r="D213" s="1"/>
    </row>
    <row r="214" spans="3:4" ht="15.75" customHeight="1">
      <c r="C214" s="1"/>
      <c r="D214" s="1"/>
    </row>
    <row r="215" spans="3:4" ht="15.75" customHeight="1">
      <c r="C215" s="1"/>
      <c r="D215" s="1"/>
    </row>
    <row r="216" spans="3:4" ht="15.75" customHeight="1">
      <c r="C216" s="1"/>
      <c r="D216" s="1"/>
    </row>
    <row r="217" spans="3:4" ht="15.75" customHeight="1">
      <c r="C217" s="1"/>
      <c r="D217" s="1"/>
    </row>
    <row r="218" spans="3:4" ht="15.75" customHeight="1">
      <c r="C218" s="1"/>
      <c r="D218" s="1"/>
    </row>
    <row r="219" spans="3:4" ht="15.75" customHeight="1">
      <c r="C219" s="1"/>
      <c r="D219" s="1"/>
    </row>
    <row r="220" spans="3:4" ht="15.75" customHeight="1">
      <c r="C220" s="1"/>
      <c r="D220" s="1"/>
    </row>
    <row r="221" spans="3:4" ht="15.75" customHeight="1">
      <c r="C221" s="1"/>
      <c r="D221" s="1"/>
    </row>
    <row r="222" spans="3:4" ht="15.75" customHeight="1">
      <c r="C222" s="1"/>
      <c r="D222" s="1"/>
    </row>
    <row r="223" spans="3:4" ht="15.75" customHeight="1">
      <c r="C223" s="1"/>
      <c r="D223" s="1"/>
    </row>
    <row r="224" spans="3:4" ht="15.75" customHeight="1">
      <c r="C224" s="1"/>
      <c r="D224" s="1"/>
    </row>
    <row r="225" spans="3:4" ht="15.75" customHeight="1">
      <c r="C225" s="1"/>
      <c r="D225" s="1"/>
    </row>
    <row r="226" spans="3:4" ht="15.75" customHeight="1">
      <c r="C226" s="1"/>
      <c r="D226" s="1"/>
    </row>
    <row r="227" spans="3:4" ht="15.75" customHeight="1">
      <c r="C227" s="1"/>
      <c r="D227" s="1"/>
    </row>
    <row r="228" spans="3:4" ht="15.75" customHeight="1">
      <c r="C228" s="1"/>
      <c r="D228" s="1"/>
    </row>
    <row r="229" spans="3:4" ht="15.75" customHeight="1">
      <c r="C229" s="1"/>
      <c r="D229" s="1"/>
    </row>
    <row r="230" spans="3:4" ht="15.75" customHeight="1">
      <c r="C230" s="1"/>
      <c r="D230" s="1"/>
    </row>
    <row r="231" spans="3:4" ht="15.75" customHeight="1">
      <c r="C231" s="1"/>
      <c r="D231" s="1"/>
    </row>
    <row r="232" spans="3:4" ht="15.75" customHeight="1">
      <c r="C232" s="1"/>
      <c r="D232" s="1"/>
    </row>
    <row r="233" spans="3:4" ht="15.75" customHeight="1">
      <c r="C233" s="1"/>
      <c r="D233" s="1"/>
    </row>
    <row r="234" spans="3:4" ht="15.75" customHeight="1">
      <c r="C234" s="1"/>
      <c r="D234" s="1"/>
    </row>
    <row r="235" spans="3:4" ht="15.75" customHeight="1">
      <c r="C235" s="1"/>
      <c r="D235" s="1"/>
    </row>
    <row r="236" spans="3:4" ht="15.75" customHeight="1">
      <c r="C236" s="1"/>
      <c r="D236" s="1"/>
    </row>
    <row r="237" spans="3:4" ht="15.75" customHeight="1">
      <c r="C237" s="1"/>
      <c r="D237" s="1"/>
    </row>
    <row r="238" spans="3:4" ht="15.75" customHeight="1">
      <c r="C238" s="1"/>
      <c r="D238" s="1"/>
    </row>
    <row r="239" spans="3:4" ht="15.75" customHeight="1">
      <c r="C239" s="1"/>
      <c r="D239" s="1"/>
    </row>
    <row r="240" spans="3:4" ht="15.75" customHeight="1">
      <c r="C240" s="1"/>
      <c r="D240" s="1"/>
    </row>
    <row r="241" spans="3:4" ht="15.75" customHeight="1">
      <c r="C241" s="1"/>
      <c r="D241" s="1"/>
    </row>
    <row r="242" spans="3:4" ht="15.75" customHeight="1">
      <c r="C242" s="1"/>
      <c r="D242" s="1"/>
    </row>
    <row r="243" spans="3:4" ht="15.75" customHeight="1">
      <c r="C243" s="1"/>
      <c r="D243" s="1"/>
    </row>
    <row r="244" spans="3:4" ht="15.75" customHeight="1">
      <c r="C244" s="1"/>
      <c r="D244" s="1"/>
    </row>
    <row r="245" spans="3:4" ht="15.75" customHeight="1">
      <c r="C245" s="1"/>
      <c r="D245" s="1"/>
    </row>
    <row r="246" spans="3:4" ht="15.75" customHeight="1">
      <c r="C246" s="1"/>
      <c r="D246" s="1"/>
    </row>
    <row r="247" spans="3:4" ht="15.75" customHeight="1">
      <c r="C247" s="1"/>
      <c r="D247" s="1"/>
    </row>
    <row r="248" spans="3:4" ht="15.75" customHeight="1">
      <c r="C248" s="1"/>
      <c r="D248" s="1"/>
    </row>
    <row r="249" spans="3:4" ht="15.75" customHeight="1">
      <c r="C249" s="1"/>
      <c r="D249" s="1"/>
    </row>
    <row r="250" spans="3:4" ht="15.75" customHeight="1">
      <c r="C250" s="1"/>
      <c r="D250" s="1"/>
    </row>
    <row r="251" spans="3:4" ht="15.75" customHeight="1">
      <c r="C251" s="1"/>
      <c r="D251" s="1"/>
    </row>
    <row r="252" spans="3:4" ht="15.75" customHeight="1">
      <c r="C252" s="1"/>
      <c r="D252" s="1"/>
    </row>
    <row r="253" spans="3:4" ht="15.75" customHeight="1">
      <c r="C253" s="1"/>
      <c r="D253" s="1"/>
    </row>
    <row r="254" spans="3:4" ht="15.75" customHeight="1">
      <c r="C254" s="1"/>
      <c r="D254" s="1"/>
    </row>
    <row r="255" spans="3:4" ht="15.75" customHeight="1">
      <c r="C255" s="1"/>
      <c r="D255" s="1"/>
    </row>
    <row r="256" spans="3:4" ht="15.75" customHeight="1">
      <c r="C256" s="1"/>
      <c r="D256" s="1"/>
    </row>
    <row r="257" spans="3:4" ht="15.75" customHeight="1">
      <c r="C257" s="1"/>
      <c r="D257" s="1"/>
    </row>
    <row r="258" spans="3:4" ht="15.75" customHeight="1">
      <c r="C258" s="1"/>
      <c r="D258" s="1"/>
    </row>
    <row r="259" spans="3:4" ht="15.75" customHeight="1">
      <c r="C259" s="1"/>
      <c r="D259" s="1"/>
    </row>
    <row r="260" spans="3:4" ht="15.75" customHeight="1">
      <c r="C260" s="1"/>
      <c r="D260" s="1"/>
    </row>
    <row r="261" spans="3:4" ht="15.75" customHeight="1">
      <c r="C261" s="1"/>
      <c r="D261" s="1"/>
    </row>
    <row r="262" spans="3:4" ht="15.75" customHeight="1">
      <c r="C262" s="1"/>
      <c r="D262" s="1"/>
    </row>
    <row r="263" spans="3:4" ht="15.75" customHeight="1">
      <c r="C263" s="1"/>
      <c r="D263" s="1"/>
    </row>
    <row r="264" spans="3:4" ht="15.75" customHeight="1">
      <c r="C264" s="1"/>
      <c r="D264" s="1"/>
    </row>
    <row r="265" spans="3:4" ht="15.75" customHeight="1">
      <c r="C265" s="1"/>
      <c r="D265" s="1"/>
    </row>
    <row r="266" spans="3:4" ht="15.75" customHeight="1">
      <c r="C266" s="1"/>
      <c r="D266" s="1"/>
    </row>
    <row r="267" spans="3:4" ht="15.75" customHeight="1">
      <c r="C267" s="1"/>
      <c r="D267" s="1"/>
    </row>
    <row r="268" spans="3:4" ht="15.75" customHeight="1">
      <c r="C268" s="1"/>
      <c r="D268" s="1"/>
    </row>
    <row r="269" spans="3:4" ht="15.75" customHeight="1">
      <c r="C269" s="1"/>
      <c r="D269" s="1"/>
    </row>
    <row r="270" spans="3:4" ht="15.75" customHeight="1">
      <c r="C270" s="1"/>
      <c r="D270" s="1"/>
    </row>
    <row r="271" spans="3:4" ht="15.75" customHeight="1">
      <c r="C271" s="1"/>
      <c r="D271" s="1"/>
    </row>
    <row r="272" spans="3:4" ht="15.75" customHeight="1">
      <c r="C272" s="1"/>
      <c r="D272" s="1"/>
    </row>
    <row r="273" spans="3:4" ht="15.75" customHeight="1">
      <c r="C273" s="1"/>
      <c r="D273" s="1"/>
    </row>
    <row r="274" spans="3:4" ht="15.75" customHeight="1">
      <c r="C274" s="1"/>
      <c r="D274" s="1"/>
    </row>
    <row r="275" spans="3:4" ht="15.75" customHeight="1">
      <c r="C275" s="1"/>
      <c r="D275" s="1"/>
    </row>
    <row r="276" spans="3:4" ht="15.75" customHeight="1">
      <c r="C276" s="1"/>
      <c r="D276" s="1"/>
    </row>
    <row r="277" spans="3:4" ht="15.75" customHeight="1">
      <c r="C277" s="1"/>
      <c r="D277" s="1"/>
    </row>
    <row r="278" spans="3:4" ht="15.75" customHeight="1">
      <c r="C278" s="1"/>
      <c r="D278" s="1"/>
    </row>
    <row r="279" spans="3:4" ht="15.75" customHeight="1">
      <c r="C279" s="1"/>
      <c r="D279" s="1"/>
    </row>
    <row r="280" spans="3:4" ht="15.75" customHeight="1">
      <c r="C280" s="1"/>
      <c r="D280" s="1"/>
    </row>
    <row r="281" spans="3:4" ht="15.75" customHeight="1">
      <c r="C281" s="1"/>
      <c r="D281" s="1"/>
    </row>
    <row r="282" spans="3:4" ht="15.75" customHeight="1">
      <c r="C282" s="1"/>
      <c r="D282" s="1"/>
    </row>
    <row r="283" spans="3:4" ht="15.75" customHeight="1">
      <c r="C283" s="1"/>
      <c r="D283" s="1"/>
    </row>
    <row r="284" spans="3:4" ht="15.75" customHeight="1">
      <c r="C284" s="1"/>
      <c r="D284" s="1"/>
    </row>
    <row r="285" spans="3:4" ht="15.75" customHeight="1">
      <c r="C285" s="1"/>
      <c r="D285" s="1"/>
    </row>
    <row r="286" spans="3:4" ht="15.75" customHeight="1">
      <c r="C286" s="1"/>
      <c r="D286" s="1"/>
    </row>
    <row r="287" spans="3:4" ht="15.75" customHeight="1">
      <c r="C287" s="1"/>
      <c r="D287" s="1"/>
    </row>
    <row r="288" spans="3:4" ht="15.75" customHeight="1">
      <c r="C288" s="1"/>
      <c r="D288" s="1"/>
    </row>
    <row r="289" spans="3:4" ht="15.75" customHeight="1">
      <c r="C289" s="1"/>
      <c r="D289" s="1"/>
    </row>
    <row r="290" spans="3:4" ht="15.75" customHeight="1">
      <c r="C290" s="1"/>
      <c r="D290" s="1"/>
    </row>
    <row r="291" spans="3:4" ht="15.75" customHeight="1">
      <c r="C291" s="1"/>
      <c r="D291" s="1"/>
    </row>
    <row r="292" spans="3:4" ht="15.75" customHeight="1">
      <c r="C292" s="1"/>
      <c r="D292" s="1"/>
    </row>
    <row r="293" spans="3:4" ht="15.75" customHeight="1">
      <c r="C293" s="1"/>
      <c r="D293" s="1"/>
    </row>
    <row r="294" spans="3:4" ht="15.75" customHeight="1">
      <c r="C294" s="1"/>
      <c r="D294" s="1"/>
    </row>
    <row r="295" spans="3:4" ht="15.75" customHeight="1">
      <c r="C295" s="1"/>
      <c r="D295" s="1"/>
    </row>
    <row r="296" spans="3:4" ht="15.75" customHeight="1">
      <c r="C296" s="1"/>
      <c r="D296" s="1"/>
    </row>
    <row r="297" spans="3:4" ht="15.75" customHeight="1">
      <c r="C297" s="1"/>
      <c r="D297" s="1"/>
    </row>
    <row r="298" spans="3:4" ht="15.75" customHeight="1">
      <c r="C298" s="1"/>
      <c r="D298" s="1"/>
    </row>
    <row r="299" spans="3:4" ht="15.75" customHeight="1">
      <c r="C299" s="1"/>
      <c r="D299" s="1"/>
    </row>
    <row r="300" spans="3:4" ht="15.75" customHeight="1">
      <c r="C300" s="1"/>
      <c r="D300" s="1"/>
    </row>
    <row r="301" spans="3:4" ht="15.75" customHeight="1">
      <c r="C301" s="1"/>
      <c r="D301" s="1"/>
    </row>
    <row r="302" spans="3:4" ht="15.75" customHeight="1">
      <c r="C302" s="1"/>
      <c r="D302" s="1"/>
    </row>
    <row r="303" spans="3:4" ht="15.75" customHeight="1">
      <c r="C303" s="1"/>
      <c r="D303" s="1"/>
    </row>
    <row r="304" spans="3:4" ht="15.75" customHeight="1">
      <c r="C304" s="1"/>
      <c r="D304" s="1"/>
    </row>
    <row r="305" spans="3:4" ht="15.75" customHeight="1">
      <c r="C305" s="1"/>
      <c r="D305" s="1"/>
    </row>
    <row r="306" spans="3:4" ht="15.75" customHeight="1">
      <c r="C306" s="1"/>
      <c r="D306" s="1"/>
    </row>
    <row r="307" spans="3:4" ht="15.75" customHeight="1">
      <c r="C307" s="1"/>
      <c r="D307" s="1"/>
    </row>
    <row r="308" spans="3:4" ht="15.75" customHeight="1">
      <c r="C308" s="1"/>
      <c r="D308" s="1"/>
    </row>
    <row r="309" spans="3:4" ht="15.75" customHeight="1">
      <c r="C309" s="1"/>
      <c r="D309" s="1"/>
    </row>
    <row r="310" spans="3:4" ht="15.75" customHeight="1">
      <c r="C310" s="1"/>
      <c r="D310" s="1"/>
    </row>
    <row r="311" spans="3:4" ht="15.75" customHeight="1">
      <c r="C311" s="1"/>
      <c r="D311" s="1"/>
    </row>
    <row r="312" spans="3:4" ht="15.75" customHeight="1">
      <c r="C312" s="1"/>
      <c r="D312" s="1"/>
    </row>
    <row r="313" spans="3:4" ht="15.75" customHeight="1">
      <c r="C313" s="1"/>
      <c r="D313" s="1"/>
    </row>
    <row r="314" spans="3:4" ht="15.75" customHeight="1">
      <c r="C314" s="1"/>
      <c r="D314" s="1"/>
    </row>
    <row r="315" spans="3:4" ht="15.75" customHeight="1">
      <c r="C315" s="1"/>
      <c r="D315" s="1"/>
    </row>
    <row r="316" spans="3:4" ht="15.75" customHeight="1">
      <c r="C316" s="1"/>
      <c r="D316" s="1"/>
    </row>
    <row r="317" spans="3:4" ht="15.75" customHeight="1">
      <c r="C317" s="1"/>
      <c r="D317" s="1"/>
    </row>
    <row r="318" spans="3:4" ht="15.75" customHeight="1">
      <c r="C318" s="1"/>
      <c r="D318" s="1"/>
    </row>
    <row r="319" spans="3:4" ht="15.75" customHeight="1">
      <c r="C319" s="1"/>
      <c r="D319" s="1"/>
    </row>
    <row r="320" spans="3:4" ht="15.75" customHeight="1">
      <c r="C320" s="1"/>
      <c r="D320" s="1"/>
    </row>
    <row r="321" spans="3:4" ht="15.75" customHeight="1">
      <c r="C321" s="1"/>
      <c r="D321" s="1"/>
    </row>
    <row r="322" spans="3:4" ht="15.75" customHeight="1">
      <c r="C322" s="1"/>
      <c r="D322" s="1"/>
    </row>
    <row r="323" spans="3:4" ht="15.75" customHeight="1">
      <c r="C323" s="1"/>
      <c r="D323" s="1"/>
    </row>
    <row r="324" spans="3:4" ht="15.75" customHeight="1">
      <c r="C324" s="1"/>
      <c r="D324" s="1"/>
    </row>
    <row r="325" spans="3:4" ht="15.75" customHeight="1">
      <c r="C325" s="1"/>
      <c r="D325" s="1"/>
    </row>
    <row r="326" spans="3:4" ht="15.75" customHeight="1">
      <c r="C326" s="1"/>
      <c r="D326" s="1"/>
    </row>
    <row r="327" spans="3:4" ht="15.75" customHeight="1">
      <c r="C327" s="1"/>
      <c r="D327" s="1"/>
    </row>
    <row r="328" spans="3:4" ht="15.75" customHeight="1">
      <c r="C328" s="1"/>
      <c r="D328" s="1"/>
    </row>
    <row r="329" spans="3:4" ht="15.75" customHeight="1">
      <c r="C329" s="1"/>
      <c r="D329" s="1"/>
    </row>
    <row r="330" spans="3:4" ht="15.75" customHeight="1">
      <c r="C330" s="1"/>
      <c r="D330" s="1"/>
    </row>
    <row r="331" spans="3:4" ht="15.75" customHeight="1">
      <c r="C331" s="1"/>
      <c r="D331" s="1"/>
    </row>
    <row r="332" spans="3:4" ht="15.75" customHeight="1">
      <c r="C332" s="1"/>
      <c r="D332" s="1"/>
    </row>
    <row r="333" spans="3:4" ht="15.75" customHeight="1">
      <c r="C333" s="1"/>
      <c r="D333" s="1"/>
    </row>
    <row r="334" spans="3:4" ht="15.75" customHeight="1">
      <c r="C334" s="1"/>
      <c r="D334" s="1"/>
    </row>
    <row r="335" spans="3:4" ht="15.75" customHeight="1">
      <c r="C335" s="1"/>
      <c r="D335" s="1"/>
    </row>
    <row r="336" spans="3:4" ht="15.75" customHeight="1">
      <c r="C336" s="1"/>
      <c r="D336" s="1"/>
    </row>
    <row r="337" spans="3:4" ht="15.75" customHeight="1">
      <c r="C337" s="1"/>
      <c r="D337" s="1"/>
    </row>
    <row r="338" spans="3:4" ht="15.75" customHeight="1">
      <c r="C338" s="1"/>
      <c r="D338" s="1"/>
    </row>
    <row r="339" spans="3:4" ht="15.75" customHeight="1">
      <c r="C339" s="1"/>
      <c r="D339" s="1"/>
    </row>
    <row r="340" spans="3:4" ht="15.75" customHeight="1">
      <c r="C340" s="1"/>
      <c r="D340" s="1"/>
    </row>
    <row r="341" spans="3:4" ht="15.75" customHeight="1">
      <c r="C341" s="1"/>
      <c r="D341" s="1"/>
    </row>
    <row r="342" spans="3:4" ht="15.75" customHeight="1">
      <c r="C342" s="1"/>
      <c r="D342" s="1"/>
    </row>
    <row r="343" spans="3:4" ht="15.75" customHeight="1">
      <c r="C343" s="1"/>
      <c r="D343" s="1"/>
    </row>
    <row r="344" spans="3:4" ht="15.75" customHeight="1">
      <c r="C344" s="1"/>
      <c r="D344" s="1"/>
    </row>
    <row r="345" spans="3:4" ht="15.75" customHeight="1">
      <c r="C345" s="1"/>
      <c r="D345" s="1"/>
    </row>
    <row r="346" spans="3:4" ht="15.75" customHeight="1">
      <c r="C346" s="1"/>
      <c r="D346" s="1"/>
    </row>
    <row r="347" spans="3:4" ht="15.75" customHeight="1">
      <c r="C347" s="1"/>
      <c r="D347" s="1"/>
    </row>
    <row r="348" spans="3:4" ht="15.75" customHeight="1">
      <c r="C348" s="1"/>
      <c r="D348" s="1"/>
    </row>
    <row r="349" spans="3:4" ht="15.75" customHeight="1">
      <c r="C349" s="1"/>
      <c r="D349" s="1"/>
    </row>
    <row r="350" spans="3:4" ht="15.75" customHeight="1">
      <c r="C350" s="1"/>
      <c r="D350" s="1"/>
    </row>
    <row r="351" spans="3:4" ht="15.75" customHeight="1">
      <c r="C351" s="1"/>
      <c r="D351" s="1"/>
    </row>
    <row r="352" spans="3:4" ht="15.75" customHeight="1">
      <c r="C352" s="1"/>
      <c r="D352" s="1"/>
    </row>
    <row r="353" spans="3:4" ht="15.75" customHeight="1">
      <c r="C353" s="1"/>
      <c r="D353" s="1"/>
    </row>
    <row r="354" spans="3:4" ht="15.75" customHeight="1">
      <c r="C354" s="1"/>
      <c r="D354" s="1"/>
    </row>
    <row r="355" spans="3:4" ht="15.75" customHeight="1">
      <c r="C355" s="1"/>
      <c r="D355" s="1"/>
    </row>
    <row r="356" spans="3:4" ht="15.75" customHeight="1">
      <c r="C356" s="1"/>
      <c r="D356" s="1"/>
    </row>
    <row r="357" spans="3:4" ht="15.75" customHeight="1">
      <c r="C357" s="1"/>
      <c r="D357" s="1"/>
    </row>
    <row r="358" spans="3:4" ht="15.75" customHeight="1">
      <c r="C358" s="1"/>
      <c r="D358" s="1"/>
    </row>
    <row r="359" spans="3:4" ht="15.75" customHeight="1">
      <c r="C359" s="1"/>
      <c r="D359" s="1"/>
    </row>
    <row r="360" spans="3:4" ht="15.75" customHeight="1">
      <c r="C360" s="1"/>
      <c r="D360" s="1"/>
    </row>
    <row r="361" spans="3:4" ht="15.75" customHeight="1">
      <c r="C361" s="1"/>
      <c r="D361" s="1"/>
    </row>
    <row r="362" spans="3:4" ht="15.75" customHeight="1">
      <c r="C362" s="1"/>
      <c r="D362" s="1"/>
    </row>
    <row r="363" spans="3:4" ht="15.75" customHeight="1">
      <c r="C363" s="1"/>
      <c r="D363" s="1"/>
    </row>
    <row r="364" spans="3:4" ht="15.75" customHeight="1">
      <c r="C364" s="1"/>
      <c r="D364" s="1"/>
    </row>
    <row r="365" spans="3:4" ht="15.75" customHeight="1">
      <c r="C365" s="1"/>
      <c r="D365" s="1"/>
    </row>
    <row r="366" spans="3:4" ht="15.75" customHeight="1">
      <c r="C366" s="1"/>
      <c r="D366" s="1"/>
    </row>
    <row r="367" spans="3:4" ht="15.75" customHeight="1">
      <c r="C367" s="1"/>
      <c r="D367" s="1"/>
    </row>
    <row r="368" spans="3:4" ht="15.75" customHeight="1">
      <c r="C368" s="1"/>
      <c r="D368" s="1"/>
    </row>
    <row r="369" spans="3:4" ht="15.75" customHeight="1">
      <c r="C369" s="1"/>
      <c r="D369" s="1"/>
    </row>
    <row r="370" spans="3:4" ht="15.75" customHeight="1">
      <c r="C370" s="1"/>
      <c r="D370" s="1"/>
    </row>
    <row r="371" spans="3:4" ht="15.75" customHeight="1">
      <c r="C371" s="1"/>
      <c r="D371" s="1"/>
    </row>
    <row r="372" spans="3:4" ht="15.75" customHeight="1">
      <c r="C372" s="1"/>
      <c r="D372" s="1"/>
    </row>
    <row r="373" spans="3:4" ht="15.75" customHeight="1">
      <c r="C373" s="1"/>
      <c r="D373" s="1"/>
    </row>
    <row r="374" spans="3:4" ht="15.75" customHeight="1">
      <c r="C374" s="1"/>
      <c r="D374" s="1"/>
    </row>
    <row r="375" spans="3:4" ht="15.75" customHeight="1">
      <c r="C375" s="1"/>
      <c r="D375" s="1"/>
    </row>
    <row r="376" spans="3:4" ht="15.75" customHeight="1">
      <c r="C376" s="1"/>
      <c r="D376" s="1"/>
    </row>
    <row r="377" spans="3:4" ht="15.75" customHeight="1">
      <c r="C377" s="1"/>
      <c r="D377" s="1"/>
    </row>
    <row r="378" spans="3:4" ht="15.75" customHeight="1">
      <c r="C378" s="1"/>
      <c r="D378" s="1"/>
    </row>
    <row r="379" spans="3:4" ht="15.75" customHeight="1">
      <c r="C379" s="1"/>
      <c r="D379" s="1"/>
    </row>
    <row r="380" spans="3:4" ht="15.75" customHeight="1">
      <c r="C380" s="1"/>
      <c r="D380" s="1"/>
    </row>
    <row r="381" spans="3:4" ht="15.75" customHeight="1">
      <c r="C381" s="1"/>
      <c r="D381" s="1"/>
    </row>
    <row r="382" spans="3:4" ht="15.75" customHeight="1">
      <c r="C382" s="1"/>
      <c r="D382" s="1"/>
    </row>
    <row r="383" spans="3:4" ht="15.75" customHeight="1">
      <c r="C383" s="1"/>
      <c r="D383" s="1"/>
    </row>
    <row r="384" spans="3:4" ht="15.75" customHeight="1">
      <c r="C384" s="1"/>
      <c r="D384" s="1"/>
    </row>
    <row r="385" spans="3:4" ht="15.75" customHeight="1">
      <c r="C385" s="1"/>
      <c r="D385" s="1"/>
    </row>
    <row r="386" spans="3:4" ht="15.75" customHeight="1">
      <c r="C386" s="1"/>
      <c r="D386" s="1"/>
    </row>
    <row r="387" spans="3:4" ht="15.75" customHeight="1">
      <c r="C387" s="1"/>
      <c r="D387" s="1"/>
    </row>
    <row r="388" spans="3:4" ht="15.75" customHeight="1">
      <c r="C388" s="1"/>
      <c r="D388" s="1"/>
    </row>
    <row r="389" spans="3:4" ht="15.75" customHeight="1">
      <c r="C389" s="1"/>
      <c r="D389" s="1"/>
    </row>
    <row r="390" spans="3:4" ht="15.75" customHeight="1">
      <c r="C390" s="1"/>
      <c r="D390" s="1"/>
    </row>
    <row r="391" spans="3:4" ht="15.75" customHeight="1">
      <c r="C391" s="1"/>
      <c r="D391" s="1"/>
    </row>
    <row r="392" spans="3:4" ht="15.75" customHeight="1">
      <c r="C392" s="1"/>
      <c r="D392" s="1"/>
    </row>
    <row r="393" spans="3:4" ht="15.75" customHeight="1">
      <c r="C393" s="1"/>
      <c r="D393" s="1"/>
    </row>
    <row r="394" spans="3:4" ht="15.75" customHeight="1">
      <c r="C394" s="1"/>
      <c r="D394" s="1"/>
    </row>
    <row r="395" spans="3:4" ht="15.75" customHeight="1">
      <c r="C395" s="1"/>
      <c r="D395" s="1"/>
    </row>
    <row r="396" spans="3:4" ht="15.75" customHeight="1">
      <c r="C396" s="1"/>
      <c r="D396" s="1"/>
    </row>
    <row r="397" spans="3:4" ht="15.75" customHeight="1">
      <c r="C397" s="1"/>
      <c r="D397" s="1"/>
    </row>
    <row r="398" spans="3:4" ht="15.75" customHeight="1">
      <c r="C398" s="1"/>
      <c r="D398" s="1"/>
    </row>
    <row r="399" spans="3:4" ht="15.75" customHeight="1">
      <c r="C399" s="1"/>
      <c r="D399" s="1"/>
    </row>
    <row r="400" spans="3:4" ht="15.75" customHeight="1">
      <c r="C400" s="1"/>
      <c r="D400" s="1"/>
    </row>
    <row r="401" spans="3:4" ht="15.75" customHeight="1">
      <c r="C401" s="1"/>
      <c r="D401" s="1"/>
    </row>
    <row r="402" spans="3:4" ht="15.75" customHeight="1">
      <c r="C402" s="1"/>
      <c r="D402" s="1"/>
    </row>
    <row r="403" spans="3:4" ht="15.75" customHeight="1">
      <c r="C403" s="1"/>
      <c r="D403" s="1"/>
    </row>
    <row r="404" spans="3:4" ht="15.75" customHeight="1">
      <c r="C404" s="1"/>
      <c r="D404" s="1"/>
    </row>
    <row r="405" spans="3:4" ht="15.75" customHeight="1">
      <c r="C405" s="1"/>
      <c r="D405" s="1"/>
    </row>
    <row r="406" spans="3:4" ht="15.75" customHeight="1">
      <c r="C406" s="1"/>
      <c r="D406" s="1"/>
    </row>
    <row r="407" spans="3:4" ht="15.75" customHeight="1">
      <c r="C407" s="1"/>
      <c r="D407" s="1"/>
    </row>
    <row r="408" spans="3:4" ht="15.75" customHeight="1">
      <c r="C408" s="1"/>
      <c r="D408" s="1"/>
    </row>
    <row r="409" spans="3:4" ht="15.75" customHeight="1">
      <c r="C409" s="1"/>
      <c r="D409" s="1"/>
    </row>
    <row r="410" spans="3:4" ht="15.75" customHeight="1">
      <c r="C410" s="1"/>
      <c r="D410" s="1"/>
    </row>
    <row r="411" spans="3:4" ht="15.75" customHeight="1">
      <c r="C411" s="1"/>
      <c r="D411" s="1"/>
    </row>
    <row r="412" spans="3:4" ht="15.75" customHeight="1">
      <c r="C412" s="1"/>
      <c r="D412" s="1"/>
    </row>
    <row r="413" spans="3:4" ht="15.75" customHeight="1">
      <c r="C413" s="1"/>
      <c r="D413" s="1"/>
    </row>
    <row r="414" spans="3:4" ht="15.75" customHeight="1">
      <c r="C414" s="1"/>
      <c r="D414" s="1"/>
    </row>
    <row r="415" spans="3:4" ht="15.75" customHeight="1">
      <c r="C415" s="1"/>
      <c r="D415" s="1"/>
    </row>
    <row r="416" spans="3:4" ht="15.75" customHeight="1">
      <c r="C416" s="1"/>
      <c r="D416" s="1"/>
    </row>
    <row r="417" spans="3:4" ht="15.75" customHeight="1">
      <c r="C417" s="1"/>
      <c r="D417" s="1"/>
    </row>
    <row r="418" spans="3:4" ht="15.75" customHeight="1">
      <c r="C418" s="1"/>
      <c r="D418" s="1"/>
    </row>
    <row r="419" spans="3:4" ht="15.75" customHeight="1">
      <c r="C419" s="1"/>
      <c r="D419" s="1"/>
    </row>
    <row r="420" spans="3:4" ht="15.75" customHeight="1">
      <c r="C420" s="1"/>
      <c r="D420" s="1"/>
    </row>
    <row r="421" spans="3:4" ht="15.75" customHeight="1">
      <c r="C421" s="1"/>
      <c r="D421" s="1"/>
    </row>
    <row r="422" spans="3:4" ht="15.75" customHeight="1">
      <c r="C422" s="1"/>
      <c r="D422" s="1"/>
    </row>
    <row r="423" spans="3:4" ht="15.75" customHeight="1">
      <c r="C423" s="1"/>
      <c r="D423" s="1"/>
    </row>
    <row r="424" spans="3:4" ht="15.75" customHeight="1">
      <c r="C424" s="1"/>
      <c r="D424" s="1"/>
    </row>
    <row r="425" spans="3:4" ht="15.75" customHeight="1">
      <c r="C425" s="1"/>
      <c r="D425" s="1"/>
    </row>
    <row r="426" spans="3:4" ht="15.75" customHeight="1">
      <c r="C426" s="1"/>
      <c r="D426" s="1"/>
    </row>
    <row r="427" spans="3:4" ht="15.75" customHeight="1">
      <c r="C427" s="1"/>
      <c r="D427" s="1"/>
    </row>
    <row r="428" spans="3:4" ht="15.75" customHeight="1">
      <c r="C428" s="1"/>
      <c r="D428" s="1"/>
    </row>
    <row r="429" spans="3:4" ht="15.75" customHeight="1">
      <c r="C429" s="1"/>
      <c r="D429" s="1"/>
    </row>
    <row r="430" spans="3:4" ht="15.75" customHeight="1">
      <c r="C430" s="1"/>
      <c r="D430" s="1"/>
    </row>
    <row r="431" spans="3:4" ht="15.75" customHeight="1">
      <c r="C431" s="1"/>
      <c r="D431" s="1"/>
    </row>
    <row r="432" spans="3:4" ht="15.75" customHeight="1">
      <c r="C432" s="1"/>
      <c r="D432" s="1"/>
    </row>
    <row r="433" spans="3:4" ht="15.75" customHeight="1">
      <c r="C433" s="1"/>
      <c r="D433" s="1"/>
    </row>
    <row r="434" spans="3:4" ht="15.75" customHeight="1">
      <c r="C434" s="1"/>
      <c r="D434" s="1"/>
    </row>
    <row r="435" spans="3:4" ht="15.75" customHeight="1">
      <c r="C435" s="1"/>
      <c r="D435" s="1"/>
    </row>
    <row r="436" spans="3:4" ht="15.75" customHeight="1">
      <c r="C436" s="1"/>
      <c r="D436" s="1"/>
    </row>
    <row r="437" spans="3:4" ht="15.75" customHeight="1">
      <c r="C437" s="1"/>
      <c r="D437" s="1"/>
    </row>
    <row r="438" spans="3:4" ht="15.75" customHeight="1">
      <c r="C438" s="1"/>
      <c r="D438" s="1"/>
    </row>
    <row r="439" spans="3:4" ht="15.75" customHeight="1">
      <c r="C439" s="1"/>
      <c r="D439" s="1"/>
    </row>
    <row r="440" spans="3:4" ht="15.75" customHeight="1">
      <c r="C440" s="1"/>
      <c r="D440" s="1"/>
    </row>
    <row r="441" spans="3:4" ht="15.75" customHeight="1">
      <c r="C441" s="1"/>
      <c r="D441" s="1"/>
    </row>
    <row r="442" spans="3:4" ht="15.75" customHeight="1">
      <c r="C442" s="1"/>
      <c r="D442" s="1"/>
    </row>
    <row r="443" spans="3:4" ht="15.75" customHeight="1">
      <c r="C443" s="1"/>
      <c r="D443" s="1"/>
    </row>
    <row r="444" spans="3:4" ht="15.75" customHeight="1">
      <c r="C444" s="1"/>
      <c r="D444" s="1"/>
    </row>
    <row r="445" spans="3:4" ht="15.75" customHeight="1">
      <c r="C445" s="1"/>
      <c r="D445" s="1"/>
    </row>
    <row r="446" spans="3:4" ht="15.75" customHeight="1">
      <c r="C446" s="1"/>
      <c r="D446" s="1"/>
    </row>
    <row r="447" spans="3:4" ht="15.75" customHeight="1">
      <c r="C447" s="1"/>
      <c r="D447" s="1"/>
    </row>
    <row r="448" spans="3:4" ht="15.75" customHeight="1">
      <c r="C448" s="1"/>
      <c r="D448" s="1"/>
    </row>
    <row r="449" spans="3:4" ht="15.75" customHeight="1">
      <c r="C449" s="1"/>
      <c r="D449" s="1"/>
    </row>
    <row r="450" spans="3:4" ht="15.75" customHeight="1">
      <c r="C450" s="1"/>
      <c r="D450" s="1"/>
    </row>
    <row r="451" spans="3:4" ht="15.75" customHeight="1">
      <c r="C451" s="1"/>
      <c r="D451" s="1"/>
    </row>
    <row r="452" spans="3:4" ht="15.75" customHeight="1">
      <c r="C452" s="1"/>
      <c r="D452" s="1"/>
    </row>
    <row r="453" spans="3:4" ht="15.75" customHeight="1">
      <c r="C453" s="1"/>
      <c r="D453" s="1"/>
    </row>
    <row r="454" spans="3:4" ht="15.75" customHeight="1">
      <c r="C454" s="1"/>
      <c r="D454" s="1"/>
    </row>
    <row r="455" spans="3:4" ht="15.75" customHeight="1">
      <c r="C455" s="1"/>
      <c r="D455" s="1"/>
    </row>
    <row r="456" spans="3:4" ht="15.75" customHeight="1">
      <c r="C456" s="1"/>
      <c r="D456" s="1"/>
    </row>
    <row r="457" spans="3:4" ht="15.75" customHeight="1">
      <c r="C457" s="1"/>
      <c r="D457" s="1"/>
    </row>
    <row r="458" spans="3:4" ht="15.75" customHeight="1">
      <c r="C458" s="1"/>
      <c r="D458" s="1"/>
    </row>
    <row r="459" spans="3:4" ht="15.75" customHeight="1">
      <c r="C459" s="1"/>
      <c r="D459" s="1"/>
    </row>
    <row r="460" spans="3:4" ht="15.75" customHeight="1">
      <c r="C460" s="1"/>
      <c r="D460" s="1"/>
    </row>
    <row r="461" spans="3:4" ht="15.75" customHeight="1">
      <c r="C461" s="1"/>
      <c r="D461" s="1"/>
    </row>
    <row r="462" spans="3:4" ht="15.75" customHeight="1">
      <c r="C462" s="1"/>
      <c r="D462" s="1"/>
    </row>
    <row r="463" spans="3:4" ht="15.75" customHeight="1">
      <c r="C463" s="1"/>
      <c r="D463" s="1"/>
    </row>
    <row r="464" spans="3:4" ht="15.75" customHeight="1">
      <c r="C464" s="1"/>
      <c r="D464" s="1"/>
    </row>
    <row r="465" spans="3:4" ht="15.75" customHeight="1">
      <c r="C465" s="1"/>
      <c r="D465" s="1"/>
    </row>
    <row r="466" spans="3:4" ht="15.75" customHeight="1">
      <c r="C466" s="1"/>
      <c r="D466" s="1"/>
    </row>
    <row r="467" spans="3:4" ht="15.75" customHeight="1">
      <c r="C467" s="1"/>
      <c r="D467" s="1"/>
    </row>
    <row r="468" spans="3:4" ht="15.75" customHeight="1">
      <c r="C468" s="1"/>
      <c r="D468" s="1"/>
    </row>
    <row r="469" spans="3:4" ht="15.75" customHeight="1">
      <c r="C469" s="1"/>
      <c r="D469" s="1"/>
    </row>
    <row r="470" spans="3:4" ht="15.75" customHeight="1">
      <c r="C470" s="1"/>
      <c r="D470" s="1"/>
    </row>
    <row r="471" spans="3:4" ht="15.75" customHeight="1">
      <c r="C471" s="1"/>
      <c r="D471" s="1"/>
    </row>
    <row r="472" spans="3:4" ht="15.75" customHeight="1">
      <c r="C472" s="1"/>
      <c r="D472" s="1"/>
    </row>
    <row r="473" spans="3:4" ht="15.75" customHeight="1">
      <c r="C473" s="1"/>
      <c r="D473" s="1"/>
    </row>
    <row r="474" spans="3:4" ht="15.75" customHeight="1">
      <c r="C474" s="1"/>
      <c r="D474" s="1"/>
    </row>
    <row r="475" spans="3:4" ht="15.75" customHeight="1">
      <c r="C475" s="1"/>
      <c r="D475" s="1"/>
    </row>
    <row r="476" spans="3:4" ht="15.75" customHeight="1">
      <c r="C476" s="1"/>
      <c r="D476" s="1"/>
    </row>
    <row r="477" spans="3:4" ht="15.75" customHeight="1">
      <c r="C477" s="1"/>
      <c r="D477" s="1"/>
    </row>
    <row r="478" spans="3:4" ht="15.75" customHeight="1">
      <c r="C478" s="1"/>
      <c r="D478" s="1"/>
    </row>
    <row r="479" spans="3:4" ht="15.75" customHeight="1">
      <c r="C479" s="1"/>
      <c r="D479" s="1"/>
    </row>
    <row r="480" spans="3:4" ht="15.75" customHeight="1">
      <c r="C480" s="1"/>
      <c r="D480" s="1"/>
    </row>
    <row r="481" spans="3:4" ht="15.75" customHeight="1">
      <c r="C481" s="1"/>
      <c r="D481" s="1"/>
    </row>
    <row r="482" spans="3:4" ht="15.75" customHeight="1">
      <c r="C482" s="1"/>
      <c r="D482" s="1"/>
    </row>
    <row r="483" spans="3:4" ht="15.75" customHeight="1">
      <c r="C483" s="1"/>
      <c r="D483" s="1"/>
    </row>
    <row r="484" spans="3:4" ht="15.75" customHeight="1">
      <c r="C484" s="1"/>
      <c r="D484" s="1"/>
    </row>
    <row r="485" spans="3:4" ht="15.75" customHeight="1">
      <c r="C485" s="1"/>
      <c r="D485" s="1"/>
    </row>
    <row r="486" spans="3:4" ht="15.75" customHeight="1">
      <c r="C486" s="1"/>
      <c r="D486" s="1"/>
    </row>
    <row r="487" spans="3:4" ht="15.75" customHeight="1">
      <c r="C487" s="1"/>
      <c r="D487" s="1"/>
    </row>
    <row r="488" spans="3:4" ht="15.75" customHeight="1">
      <c r="C488" s="1"/>
      <c r="D488" s="1"/>
    </row>
    <row r="489" spans="3:4" ht="15.75" customHeight="1">
      <c r="C489" s="1"/>
      <c r="D489" s="1"/>
    </row>
    <row r="490" spans="3:4" ht="15.75" customHeight="1">
      <c r="C490" s="1"/>
      <c r="D490" s="1"/>
    </row>
    <row r="491" spans="3:4" ht="15.75" customHeight="1">
      <c r="C491" s="1"/>
      <c r="D491" s="1"/>
    </row>
    <row r="492" spans="3:4" ht="15.75" customHeight="1">
      <c r="C492" s="1"/>
      <c r="D492" s="1"/>
    </row>
    <row r="493" spans="3:4" ht="15.75" customHeight="1">
      <c r="C493" s="1"/>
      <c r="D493" s="1"/>
    </row>
    <row r="494" spans="3:4" ht="15.75" customHeight="1">
      <c r="C494" s="1"/>
      <c r="D494" s="1"/>
    </row>
    <row r="495" spans="3:4" ht="15.75" customHeight="1">
      <c r="C495" s="1"/>
      <c r="D495" s="1"/>
    </row>
    <row r="496" spans="3:4" ht="15.75" customHeight="1">
      <c r="C496" s="1"/>
      <c r="D496" s="1"/>
    </row>
    <row r="497" spans="3:4" ht="15.75" customHeight="1">
      <c r="C497" s="1"/>
      <c r="D497" s="1"/>
    </row>
    <row r="498" spans="3:4" ht="15.75" customHeight="1">
      <c r="C498" s="1"/>
      <c r="D498" s="1"/>
    </row>
    <row r="499" spans="3:4" ht="15.75" customHeight="1">
      <c r="C499" s="1"/>
      <c r="D499" s="1"/>
    </row>
    <row r="500" spans="3:4" ht="15.75" customHeight="1">
      <c r="C500" s="1"/>
      <c r="D500" s="1"/>
    </row>
    <row r="501" spans="3:4" ht="15.75" customHeight="1">
      <c r="C501" s="1"/>
      <c r="D501" s="1"/>
    </row>
    <row r="502" spans="3:4" ht="15.75" customHeight="1">
      <c r="C502" s="1"/>
      <c r="D502" s="1"/>
    </row>
    <row r="503" spans="3:4" ht="15.75" customHeight="1">
      <c r="C503" s="1"/>
      <c r="D503" s="1"/>
    </row>
    <row r="504" spans="3:4" ht="15.75" customHeight="1">
      <c r="C504" s="1"/>
      <c r="D504" s="1"/>
    </row>
    <row r="505" spans="3:4" ht="15.75" customHeight="1">
      <c r="C505" s="1"/>
      <c r="D505" s="1"/>
    </row>
    <row r="506" spans="3:4" ht="15.75" customHeight="1">
      <c r="C506" s="1"/>
      <c r="D506" s="1"/>
    </row>
    <row r="507" spans="3:4" ht="15.75" customHeight="1">
      <c r="C507" s="1"/>
      <c r="D507" s="1"/>
    </row>
    <row r="508" spans="3:4" ht="15.75" customHeight="1">
      <c r="C508" s="1"/>
      <c r="D508" s="1"/>
    </row>
    <row r="509" spans="3:4" ht="15.75" customHeight="1">
      <c r="C509" s="1"/>
      <c r="D509" s="1"/>
    </row>
    <row r="510" spans="3:4" ht="15.75" customHeight="1">
      <c r="C510" s="1"/>
      <c r="D510" s="1"/>
    </row>
    <row r="511" spans="3:4" ht="15.75" customHeight="1">
      <c r="C511" s="1"/>
      <c r="D511" s="1"/>
    </row>
    <row r="512" spans="3:4" ht="15.75" customHeight="1">
      <c r="C512" s="1"/>
      <c r="D512" s="1"/>
    </row>
    <row r="513" spans="3:4" ht="15.75" customHeight="1">
      <c r="C513" s="1"/>
      <c r="D513" s="1"/>
    </row>
    <row r="514" spans="3:4" ht="15.75" customHeight="1">
      <c r="C514" s="1"/>
      <c r="D514" s="1"/>
    </row>
    <row r="515" spans="3:4" ht="15.75" customHeight="1">
      <c r="C515" s="1"/>
      <c r="D515" s="1"/>
    </row>
    <row r="516" spans="3:4" ht="15.75" customHeight="1">
      <c r="C516" s="1"/>
      <c r="D516" s="1"/>
    </row>
    <row r="517" spans="3:4" ht="15.75" customHeight="1">
      <c r="C517" s="1"/>
      <c r="D517" s="1"/>
    </row>
    <row r="518" spans="3:4" ht="15.75" customHeight="1">
      <c r="C518" s="1"/>
      <c r="D518" s="1"/>
    </row>
    <row r="519" spans="3:4" ht="15.75" customHeight="1">
      <c r="C519" s="1"/>
      <c r="D519" s="1"/>
    </row>
    <row r="520" spans="3:4" ht="15.75" customHeight="1">
      <c r="C520" s="1"/>
      <c r="D520" s="1"/>
    </row>
    <row r="521" spans="3:4" ht="15.75" customHeight="1">
      <c r="C521" s="1"/>
      <c r="D521" s="1"/>
    </row>
    <row r="522" spans="3:4" ht="15.75" customHeight="1">
      <c r="C522" s="1"/>
      <c r="D522" s="1"/>
    </row>
    <row r="523" spans="3:4" ht="15.75" customHeight="1">
      <c r="C523" s="1"/>
      <c r="D523" s="1"/>
    </row>
    <row r="524" spans="3:4" ht="15.75" customHeight="1">
      <c r="C524" s="1"/>
      <c r="D524" s="1"/>
    </row>
    <row r="525" spans="3:4" ht="15.75" customHeight="1">
      <c r="C525" s="1"/>
      <c r="D525" s="1"/>
    </row>
    <row r="526" spans="3:4" ht="15.75" customHeight="1">
      <c r="C526" s="1"/>
      <c r="D526" s="1"/>
    </row>
    <row r="527" spans="3:4" ht="15.75" customHeight="1">
      <c r="C527" s="1"/>
      <c r="D527" s="1"/>
    </row>
    <row r="528" spans="3:4" ht="15.75" customHeight="1">
      <c r="C528" s="1"/>
      <c r="D528" s="1"/>
    </row>
    <row r="529" spans="3:4" ht="15.75" customHeight="1">
      <c r="C529" s="1"/>
      <c r="D529" s="1"/>
    </row>
    <row r="530" spans="3:4" ht="15.75" customHeight="1">
      <c r="C530" s="1"/>
      <c r="D530" s="1"/>
    </row>
    <row r="531" spans="3:4" ht="15.75" customHeight="1">
      <c r="C531" s="1"/>
      <c r="D531" s="1"/>
    </row>
    <row r="532" spans="3:4" ht="15.75" customHeight="1">
      <c r="C532" s="1"/>
      <c r="D532" s="1"/>
    </row>
    <row r="533" spans="3:4" ht="15.75" customHeight="1">
      <c r="C533" s="1"/>
      <c r="D533" s="1"/>
    </row>
    <row r="534" spans="3:4" ht="15.75" customHeight="1">
      <c r="C534" s="1"/>
      <c r="D534" s="1"/>
    </row>
    <row r="535" spans="3:4" ht="15.75" customHeight="1">
      <c r="C535" s="1"/>
      <c r="D535" s="1"/>
    </row>
    <row r="536" spans="3:4" ht="15.75" customHeight="1">
      <c r="C536" s="1"/>
      <c r="D536" s="1"/>
    </row>
    <row r="537" spans="3:4" ht="15.75" customHeight="1">
      <c r="C537" s="1"/>
      <c r="D537" s="1"/>
    </row>
    <row r="538" spans="3:4" ht="15.75" customHeight="1">
      <c r="C538" s="1"/>
      <c r="D538" s="1"/>
    </row>
    <row r="539" spans="3:4" ht="15.75" customHeight="1">
      <c r="C539" s="1"/>
      <c r="D539" s="1"/>
    </row>
    <row r="540" spans="3:4" ht="15.75" customHeight="1">
      <c r="C540" s="1"/>
      <c r="D540" s="1"/>
    </row>
    <row r="541" spans="3:4" ht="15.75" customHeight="1">
      <c r="C541" s="1"/>
      <c r="D541" s="1"/>
    </row>
    <row r="542" spans="3:4" ht="15.75" customHeight="1">
      <c r="C542" s="1"/>
      <c r="D542" s="1"/>
    </row>
    <row r="543" spans="3:4" ht="15.75" customHeight="1">
      <c r="C543" s="1"/>
      <c r="D543" s="1"/>
    </row>
    <row r="544" spans="3:4" ht="15.75" customHeight="1">
      <c r="C544" s="1"/>
      <c r="D544" s="1"/>
    </row>
    <row r="545" spans="3:4" ht="15.75" customHeight="1">
      <c r="C545" s="1"/>
      <c r="D545" s="1"/>
    </row>
    <row r="546" spans="3:4" ht="15.75" customHeight="1">
      <c r="C546" s="1"/>
      <c r="D546" s="1"/>
    </row>
    <row r="547" spans="3:4" ht="15.75" customHeight="1">
      <c r="C547" s="1"/>
      <c r="D547" s="1"/>
    </row>
    <row r="548" spans="3:4" ht="15.75" customHeight="1">
      <c r="C548" s="1"/>
      <c r="D548" s="1"/>
    </row>
    <row r="549" spans="3:4" ht="15.75" customHeight="1">
      <c r="C549" s="1"/>
      <c r="D549" s="1"/>
    </row>
    <row r="550" spans="3:4" ht="15.75" customHeight="1">
      <c r="C550" s="1"/>
      <c r="D550" s="1"/>
    </row>
    <row r="551" spans="3:4" ht="15.75" customHeight="1">
      <c r="C551" s="1"/>
      <c r="D551" s="1"/>
    </row>
    <row r="552" spans="3:4" ht="15.75" customHeight="1">
      <c r="C552" s="1"/>
      <c r="D552" s="1"/>
    </row>
    <row r="553" spans="3:4" ht="15.75" customHeight="1">
      <c r="C553" s="1"/>
      <c r="D553" s="1"/>
    </row>
    <row r="554" spans="3:4" ht="15.75" customHeight="1">
      <c r="C554" s="1"/>
      <c r="D554" s="1"/>
    </row>
    <row r="555" spans="3:4" ht="15.75" customHeight="1">
      <c r="C555" s="1"/>
      <c r="D555" s="1"/>
    </row>
    <row r="556" spans="3:4" ht="15.75" customHeight="1">
      <c r="C556" s="1"/>
      <c r="D556" s="1"/>
    </row>
    <row r="557" spans="3:4" ht="15.75" customHeight="1">
      <c r="C557" s="1"/>
      <c r="D557" s="1"/>
    </row>
    <row r="558" spans="3:4" ht="15.75" customHeight="1">
      <c r="C558" s="1"/>
      <c r="D558" s="1"/>
    </row>
    <row r="559" spans="3:4" ht="15.75" customHeight="1">
      <c r="C559" s="1"/>
      <c r="D559" s="1"/>
    </row>
    <row r="560" spans="3:4" ht="15.75" customHeight="1">
      <c r="C560" s="1"/>
      <c r="D560" s="1"/>
    </row>
    <row r="561" spans="3:4" ht="15.75" customHeight="1">
      <c r="C561" s="1"/>
      <c r="D561" s="1"/>
    </row>
    <row r="562" spans="3:4" ht="15.75" customHeight="1">
      <c r="C562" s="1"/>
      <c r="D562" s="1"/>
    </row>
    <row r="563" spans="3:4" ht="15.75" customHeight="1">
      <c r="C563" s="1"/>
      <c r="D563" s="1"/>
    </row>
    <row r="564" spans="3:4" ht="15.75" customHeight="1">
      <c r="C564" s="1"/>
      <c r="D564" s="1"/>
    </row>
    <row r="565" spans="3:4" ht="15.75" customHeight="1">
      <c r="C565" s="1"/>
      <c r="D565" s="1"/>
    </row>
    <row r="566" spans="3:4" ht="15.75" customHeight="1">
      <c r="C566" s="1"/>
      <c r="D566" s="1"/>
    </row>
    <row r="567" spans="3:4" ht="15.75" customHeight="1">
      <c r="C567" s="1"/>
      <c r="D567" s="1"/>
    </row>
    <row r="568" spans="3:4" ht="15.75" customHeight="1">
      <c r="C568" s="1"/>
      <c r="D568" s="1"/>
    </row>
    <row r="569" spans="3:4" ht="15.75" customHeight="1">
      <c r="C569" s="1"/>
      <c r="D569" s="1"/>
    </row>
    <row r="570" spans="3:4" ht="15.75" customHeight="1">
      <c r="C570" s="1"/>
      <c r="D570" s="1"/>
    </row>
    <row r="571" spans="3:4" ht="15.75" customHeight="1">
      <c r="C571" s="1"/>
      <c r="D571" s="1"/>
    </row>
    <row r="572" spans="3:4" ht="15.75" customHeight="1">
      <c r="C572" s="1"/>
      <c r="D572" s="1"/>
    </row>
    <row r="573" spans="3:4" ht="15.75" customHeight="1">
      <c r="C573" s="1"/>
      <c r="D573" s="1"/>
    </row>
    <row r="574" spans="3:4" ht="15.75" customHeight="1">
      <c r="C574" s="1"/>
      <c r="D574" s="1"/>
    </row>
    <row r="575" spans="3:4" ht="15.75" customHeight="1">
      <c r="C575" s="1"/>
      <c r="D575" s="1"/>
    </row>
    <row r="576" spans="3:4" ht="15.75" customHeight="1">
      <c r="C576" s="1"/>
      <c r="D576" s="1"/>
    </row>
    <row r="577" spans="3:4" ht="15.75" customHeight="1">
      <c r="C577" s="1"/>
      <c r="D577" s="1"/>
    </row>
    <row r="578" spans="3:4" ht="15.75" customHeight="1">
      <c r="C578" s="1"/>
      <c r="D578" s="1"/>
    </row>
    <row r="579" spans="3:4" ht="15.75" customHeight="1">
      <c r="C579" s="1"/>
      <c r="D579" s="1"/>
    </row>
    <row r="580" spans="3:4" ht="15.75" customHeight="1">
      <c r="C580" s="1"/>
      <c r="D580" s="1"/>
    </row>
    <row r="581" spans="3:4" ht="15.75" customHeight="1">
      <c r="C581" s="1"/>
      <c r="D581" s="1"/>
    </row>
    <row r="582" spans="3:4" ht="15.75" customHeight="1">
      <c r="C582" s="1"/>
      <c r="D582" s="1"/>
    </row>
    <row r="583" spans="3:4" ht="15.75" customHeight="1">
      <c r="C583" s="1"/>
      <c r="D583" s="1"/>
    </row>
    <row r="584" spans="3:4" ht="15.75" customHeight="1">
      <c r="C584" s="1"/>
      <c r="D584" s="1"/>
    </row>
    <row r="585" spans="3:4" ht="15.75" customHeight="1">
      <c r="C585" s="1"/>
      <c r="D585" s="1"/>
    </row>
    <row r="586" spans="3:4" ht="15.75" customHeight="1">
      <c r="C586" s="1"/>
      <c r="D586" s="1"/>
    </row>
    <row r="587" spans="3:4" ht="15.75" customHeight="1">
      <c r="C587" s="1"/>
      <c r="D587" s="1"/>
    </row>
    <row r="588" spans="3:4" ht="15.75" customHeight="1">
      <c r="C588" s="1"/>
      <c r="D588" s="1"/>
    </row>
    <row r="589" spans="3:4" ht="15.75" customHeight="1">
      <c r="C589" s="1"/>
      <c r="D589" s="1"/>
    </row>
    <row r="590" spans="3:4" ht="15.75" customHeight="1">
      <c r="C590" s="1"/>
      <c r="D590" s="1"/>
    </row>
    <row r="591" spans="3:4" ht="15.75" customHeight="1">
      <c r="C591" s="1"/>
      <c r="D591" s="1"/>
    </row>
    <row r="592" spans="3:4" ht="15.75" customHeight="1">
      <c r="C592" s="1"/>
      <c r="D592" s="1"/>
    </row>
    <row r="593" spans="3:4" ht="15.75" customHeight="1">
      <c r="C593" s="1"/>
      <c r="D593" s="1"/>
    </row>
    <row r="594" spans="3:4" ht="15.75" customHeight="1">
      <c r="C594" s="1"/>
      <c r="D594" s="1"/>
    </row>
    <row r="595" spans="3:4" ht="15.75" customHeight="1">
      <c r="C595" s="1"/>
      <c r="D595" s="1"/>
    </row>
    <row r="596" spans="3:4" ht="15.75" customHeight="1">
      <c r="C596" s="1"/>
      <c r="D596" s="1"/>
    </row>
    <row r="597" spans="3:4" ht="15.75" customHeight="1">
      <c r="C597" s="1"/>
      <c r="D597" s="1"/>
    </row>
    <row r="598" spans="3:4" ht="15.75" customHeight="1">
      <c r="C598" s="1"/>
      <c r="D598" s="1"/>
    </row>
    <row r="599" spans="3:4" ht="15.75" customHeight="1">
      <c r="C599" s="1"/>
      <c r="D599" s="1"/>
    </row>
    <row r="600" spans="3:4" ht="15.75" customHeight="1">
      <c r="C600" s="1"/>
      <c r="D600" s="1"/>
    </row>
    <row r="601" spans="3:4" ht="15.75" customHeight="1">
      <c r="C601" s="1"/>
      <c r="D601" s="1"/>
    </row>
    <row r="602" spans="3:4" ht="15.75" customHeight="1">
      <c r="C602" s="1"/>
      <c r="D602" s="1"/>
    </row>
    <row r="603" spans="3:4" ht="15.75" customHeight="1">
      <c r="C603" s="1"/>
      <c r="D603" s="1"/>
    </row>
    <row r="604" spans="3:4" ht="15.75" customHeight="1">
      <c r="C604" s="1"/>
      <c r="D604" s="1"/>
    </row>
    <row r="605" spans="3:4" ht="15.75" customHeight="1">
      <c r="C605" s="1"/>
      <c r="D605" s="1"/>
    </row>
    <row r="606" spans="3:4" ht="15.75" customHeight="1">
      <c r="C606" s="1"/>
      <c r="D606" s="1"/>
    </row>
    <row r="607" spans="3:4" ht="15.75" customHeight="1">
      <c r="C607" s="1"/>
      <c r="D607" s="1"/>
    </row>
    <row r="608" spans="3:4" ht="15.75" customHeight="1">
      <c r="C608" s="1"/>
      <c r="D608" s="1"/>
    </row>
    <row r="609" spans="3:4" ht="15.75" customHeight="1">
      <c r="C609" s="1"/>
      <c r="D609" s="1"/>
    </row>
    <row r="610" spans="3:4" ht="15.75" customHeight="1">
      <c r="C610" s="1"/>
      <c r="D610" s="1"/>
    </row>
    <row r="611" spans="3:4" ht="15.75" customHeight="1">
      <c r="C611" s="1"/>
      <c r="D611" s="1"/>
    </row>
    <row r="612" spans="3:4" ht="15.75" customHeight="1">
      <c r="C612" s="1"/>
      <c r="D612" s="1"/>
    </row>
    <row r="613" spans="3:4" ht="15.75" customHeight="1">
      <c r="C613" s="1"/>
      <c r="D613" s="1"/>
    </row>
    <row r="614" spans="3:4" ht="15.75" customHeight="1">
      <c r="C614" s="1"/>
      <c r="D614" s="1"/>
    </row>
    <row r="615" spans="3:4" ht="15.75" customHeight="1">
      <c r="C615" s="1"/>
      <c r="D615" s="1"/>
    </row>
    <row r="616" spans="3:4" ht="15.75" customHeight="1">
      <c r="C616" s="1"/>
      <c r="D616" s="1"/>
    </row>
    <row r="617" spans="3:4" ht="15.75" customHeight="1">
      <c r="C617" s="1"/>
      <c r="D617" s="1"/>
    </row>
    <row r="618" spans="3:4" ht="15.75" customHeight="1">
      <c r="C618" s="1"/>
      <c r="D618" s="1"/>
    </row>
    <row r="619" spans="3:4" ht="15.75" customHeight="1">
      <c r="C619" s="1"/>
      <c r="D619" s="1"/>
    </row>
    <row r="620" spans="3:4" ht="15.75" customHeight="1">
      <c r="C620" s="1"/>
      <c r="D620" s="1"/>
    </row>
    <row r="621" spans="3:4" ht="15.75" customHeight="1">
      <c r="C621" s="1"/>
      <c r="D621" s="1"/>
    </row>
    <row r="622" spans="3:4" ht="15.75" customHeight="1">
      <c r="C622" s="1"/>
      <c r="D622" s="1"/>
    </row>
    <row r="623" spans="3:4" ht="15.75" customHeight="1">
      <c r="C623" s="1"/>
      <c r="D623" s="1"/>
    </row>
    <row r="624" spans="3:4" ht="15.75" customHeight="1">
      <c r="C624" s="1"/>
      <c r="D624" s="1"/>
    </row>
    <row r="625" spans="3:4" ht="15.75" customHeight="1">
      <c r="C625" s="1"/>
      <c r="D625" s="1"/>
    </row>
    <row r="626" spans="3:4" ht="15.75" customHeight="1">
      <c r="C626" s="1"/>
      <c r="D626" s="1"/>
    </row>
    <row r="627" spans="3:4" ht="15.75" customHeight="1">
      <c r="C627" s="1"/>
      <c r="D627" s="1"/>
    </row>
    <row r="628" spans="3:4" ht="15.75" customHeight="1">
      <c r="C628" s="1"/>
      <c r="D628" s="1"/>
    </row>
    <row r="629" spans="3:4" ht="15.75" customHeight="1">
      <c r="C629" s="1"/>
      <c r="D629" s="1"/>
    </row>
    <row r="630" spans="3:4" ht="15.75" customHeight="1">
      <c r="C630" s="1"/>
      <c r="D630" s="1"/>
    </row>
    <row r="631" spans="3:4" ht="15.75" customHeight="1">
      <c r="C631" s="1"/>
      <c r="D631" s="1"/>
    </row>
    <row r="632" spans="3:4" ht="15.75" customHeight="1">
      <c r="C632" s="1"/>
      <c r="D632" s="1"/>
    </row>
    <row r="633" spans="3:4" ht="15.75" customHeight="1">
      <c r="C633" s="1"/>
      <c r="D633" s="1"/>
    </row>
    <row r="634" spans="3:4" ht="15.75" customHeight="1">
      <c r="C634" s="1"/>
      <c r="D634" s="1"/>
    </row>
    <row r="635" spans="3:4" ht="15.75" customHeight="1">
      <c r="C635" s="1"/>
      <c r="D635" s="1"/>
    </row>
    <row r="636" spans="3:4" ht="15.75" customHeight="1">
      <c r="C636" s="1"/>
      <c r="D636" s="1"/>
    </row>
    <row r="637" spans="3:4" ht="15.75" customHeight="1">
      <c r="C637" s="1"/>
      <c r="D637" s="1"/>
    </row>
    <row r="638" spans="3:4" ht="15.75" customHeight="1">
      <c r="C638" s="1"/>
      <c r="D638" s="1"/>
    </row>
    <row r="639" spans="3:4" ht="15.75" customHeight="1">
      <c r="C639" s="1"/>
      <c r="D639" s="1"/>
    </row>
    <row r="640" spans="3:4" ht="15.75" customHeight="1">
      <c r="C640" s="1"/>
      <c r="D640" s="1"/>
    </row>
    <row r="641" spans="3:4" ht="15.75" customHeight="1">
      <c r="C641" s="1"/>
      <c r="D641" s="1"/>
    </row>
    <row r="642" spans="3:4" ht="15.75" customHeight="1">
      <c r="C642" s="1"/>
      <c r="D642" s="1"/>
    </row>
    <row r="643" spans="3:4" ht="15.75" customHeight="1">
      <c r="C643" s="1"/>
      <c r="D643" s="1"/>
    </row>
    <row r="644" spans="3:4" ht="15.75" customHeight="1">
      <c r="C644" s="1"/>
      <c r="D644" s="1"/>
    </row>
    <row r="645" spans="3:4" ht="15.75" customHeight="1">
      <c r="C645" s="1"/>
      <c r="D645" s="1"/>
    </row>
    <row r="646" spans="3:4" ht="15.75" customHeight="1">
      <c r="C646" s="1"/>
      <c r="D646" s="1"/>
    </row>
    <row r="647" spans="3:4" ht="15.75" customHeight="1">
      <c r="C647" s="1"/>
      <c r="D647" s="1"/>
    </row>
    <row r="648" spans="3:4" ht="15.75" customHeight="1">
      <c r="C648" s="1"/>
      <c r="D648" s="1"/>
    </row>
    <row r="649" spans="3:4" ht="15.75" customHeight="1">
      <c r="C649" s="1"/>
      <c r="D649" s="1"/>
    </row>
    <row r="650" spans="3:4" ht="15.75" customHeight="1">
      <c r="C650" s="1"/>
      <c r="D650" s="1"/>
    </row>
    <row r="651" spans="3:4" ht="15.75" customHeight="1">
      <c r="C651" s="1"/>
      <c r="D651" s="1"/>
    </row>
    <row r="652" spans="3:4" ht="15.75" customHeight="1">
      <c r="C652" s="1"/>
      <c r="D652" s="1"/>
    </row>
    <row r="653" spans="3:4" ht="15.75" customHeight="1">
      <c r="C653" s="1"/>
      <c r="D653" s="1"/>
    </row>
    <row r="654" spans="3:4" ht="15.75" customHeight="1">
      <c r="C654" s="1"/>
      <c r="D654" s="1"/>
    </row>
    <row r="655" spans="3:4" ht="15.75" customHeight="1">
      <c r="C655" s="1"/>
      <c r="D655" s="1"/>
    </row>
    <row r="656" spans="3:4" ht="15.75" customHeight="1">
      <c r="C656" s="1"/>
      <c r="D656" s="1"/>
    </row>
    <row r="657" spans="3:4" ht="15.75" customHeight="1">
      <c r="C657" s="1"/>
      <c r="D657" s="1"/>
    </row>
    <row r="658" spans="3:4" ht="15.75" customHeight="1">
      <c r="C658" s="1"/>
      <c r="D658" s="1"/>
    </row>
    <row r="659" spans="3:4" ht="15.75" customHeight="1">
      <c r="C659" s="1"/>
      <c r="D659" s="1"/>
    </row>
    <row r="660" spans="3:4" ht="15.75" customHeight="1">
      <c r="C660" s="1"/>
      <c r="D660" s="1"/>
    </row>
    <row r="661" spans="3:4" ht="15.75" customHeight="1">
      <c r="C661" s="1"/>
      <c r="D661" s="1"/>
    </row>
    <row r="662" spans="3:4" ht="15.75" customHeight="1">
      <c r="C662" s="1"/>
      <c r="D662" s="1"/>
    </row>
    <row r="663" spans="3:4" ht="15.75" customHeight="1">
      <c r="C663" s="1"/>
      <c r="D663" s="1"/>
    </row>
    <row r="664" spans="3:4" ht="15.75" customHeight="1">
      <c r="C664" s="1"/>
      <c r="D664" s="1"/>
    </row>
    <row r="665" spans="3:4" ht="15.75" customHeight="1">
      <c r="C665" s="1"/>
      <c r="D665" s="1"/>
    </row>
    <row r="666" spans="3:4" ht="15.75" customHeight="1">
      <c r="C666" s="1"/>
      <c r="D666" s="1"/>
    </row>
    <row r="667" spans="3:4" ht="15.75" customHeight="1">
      <c r="C667" s="1"/>
      <c r="D667" s="1"/>
    </row>
    <row r="668" spans="3:4" ht="15.75" customHeight="1">
      <c r="C668" s="1"/>
      <c r="D668" s="1"/>
    </row>
    <row r="669" spans="3:4" ht="15.75" customHeight="1">
      <c r="C669" s="1"/>
      <c r="D669" s="1"/>
    </row>
    <row r="670" spans="3:4" ht="15.75" customHeight="1">
      <c r="C670" s="1"/>
      <c r="D670" s="1"/>
    </row>
    <row r="671" spans="3:4" ht="15.75" customHeight="1">
      <c r="C671" s="1"/>
      <c r="D671" s="1"/>
    </row>
    <row r="672" spans="3:4" ht="15.75" customHeight="1">
      <c r="C672" s="1"/>
      <c r="D672" s="1"/>
    </row>
    <row r="673" spans="3:4" ht="15.75" customHeight="1">
      <c r="C673" s="1"/>
      <c r="D673" s="1"/>
    </row>
    <row r="674" spans="3:4" ht="15.75" customHeight="1">
      <c r="C674" s="1"/>
      <c r="D674" s="1"/>
    </row>
    <row r="675" spans="3:4" ht="15.75" customHeight="1">
      <c r="C675" s="1"/>
      <c r="D675" s="1"/>
    </row>
    <row r="676" spans="3:4" ht="15.75" customHeight="1">
      <c r="C676" s="1"/>
      <c r="D676" s="1"/>
    </row>
    <row r="677" spans="3:4" ht="15.75" customHeight="1">
      <c r="C677" s="1"/>
      <c r="D677" s="1"/>
    </row>
    <row r="678" spans="3:4" ht="15.75" customHeight="1">
      <c r="C678" s="1"/>
      <c r="D678" s="1"/>
    </row>
    <row r="679" spans="3:4" ht="15.75" customHeight="1">
      <c r="C679" s="1"/>
      <c r="D679" s="1"/>
    </row>
    <row r="680" spans="3:4" ht="15.75" customHeight="1">
      <c r="C680" s="1"/>
      <c r="D680" s="1"/>
    </row>
    <row r="681" spans="3:4" ht="15.75" customHeight="1">
      <c r="C681" s="1"/>
      <c r="D681" s="1"/>
    </row>
    <row r="682" spans="3:4" ht="15.75" customHeight="1">
      <c r="C682" s="1"/>
      <c r="D682" s="1"/>
    </row>
    <row r="683" spans="3:4" ht="15.75" customHeight="1">
      <c r="C683" s="1"/>
      <c r="D683" s="1"/>
    </row>
    <row r="684" spans="3:4" ht="15.75" customHeight="1">
      <c r="C684" s="1"/>
      <c r="D684" s="1"/>
    </row>
    <row r="685" spans="3:4" ht="15.75" customHeight="1">
      <c r="C685" s="1"/>
      <c r="D685" s="1"/>
    </row>
    <row r="686" spans="3:4" ht="15.75" customHeight="1">
      <c r="C686" s="1"/>
      <c r="D686" s="1"/>
    </row>
    <row r="687" spans="3:4" ht="15.75" customHeight="1">
      <c r="C687" s="1"/>
      <c r="D687" s="1"/>
    </row>
    <row r="688" spans="3:4" ht="15.75" customHeight="1">
      <c r="C688" s="1"/>
      <c r="D688" s="1"/>
    </row>
    <row r="689" spans="3:4" ht="15.75" customHeight="1">
      <c r="C689" s="1"/>
      <c r="D689" s="1"/>
    </row>
    <row r="690" spans="3:4" ht="15.75" customHeight="1">
      <c r="C690" s="1"/>
      <c r="D690" s="1"/>
    </row>
    <row r="691" spans="3:4" ht="15.75" customHeight="1">
      <c r="C691" s="1"/>
      <c r="D691" s="1"/>
    </row>
    <row r="692" spans="3:4" ht="15.75" customHeight="1">
      <c r="C692" s="1"/>
      <c r="D692" s="1"/>
    </row>
    <row r="693" spans="3:4" ht="15.75" customHeight="1">
      <c r="C693" s="1"/>
      <c r="D693" s="1"/>
    </row>
    <row r="694" spans="3:4" ht="15.75" customHeight="1">
      <c r="C694" s="1"/>
      <c r="D694" s="1"/>
    </row>
    <row r="695" spans="3:4" ht="15.75" customHeight="1">
      <c r="C695" s="1"/>
      <c r="D695" s="1"/>
    </row>
    <row r="696" spans="3:4" ht="15.75" customHeight="1">
      <c r="C696" s="1"/>
      <c r="D696" s="1"/>
    </row>
    <row r="697" spans="3:4" ht="15.75" customHeight="1">
      <c r="C697" s="1"/>
      <c r="D697" s="1"/>
    </row>
    <row r="698" spans="3:4" ht="15.75" customHeight="1">
      <c r="C698" s="1"/>
      <c r="D698" s="1"/>
    </row>
    <row r="699" spans="3:4" ht="15.75" customHeight="1">
      <c r="C699" s="1"/>
      <c r="D699" s="1"/>
    </row>
    <row r="700" spans="3:4" ht="15.75" customHeight="1">
      <c r="C700" s="1"/>
      <c r="D700" s="1"/>
    </row>
    <row r="701" spans="3:4" ht="15.75" customHeight="1">
      <c r="C701" s="1"/>
      <c r="D701" s="1"/>
    </row>
    <row r="702" spans="3:4" ht="15.75" customHeight="1">
      <c r="C702" s="1"/>
      <c r="D702" s="1"/>
    </row>
    <row r="703" spans="3:4" ht="15.75" customHeight="1">
      <c r="C703" s="1"/>
      <c r="D703" s="1"/>
    </row>
    <row r="704" spans="3:4" ht="15.75" customHeight="1">
      <c r="C704" s="1"/>
      <c r="D704" s="1"/>
    </row>
    <row r="705" spans="3:4" ht="15.75" customHeight="1">
      <c r="C705" s="1"/>
      <c r="D705" s="1"/>
    </row>
    <row r="706" spans="3:4" ht="15.75" customHeight="1">
      <c r="C706" s="1"/>
      <c r="D706" s="1"/>
    </row>
    <row r="707" spans="3:4" ht="15.75" customHeight="1">
      <c r="C707" s="1"/>
      <c r="D707" s="1"/>
    </row>
    <row r="708" spans="3:4" ht="15.75" customHeight="1">
      <c r="C708" s="1"/>
      <c r="D708" s="1"/>
    </row>
    <row r="709" spans="3:4" ht="15.75" customHeight="1">
      <c r="C709" s="1"/>
      <c r="D709" s="1"/>
    </row>
    <row r="710" spans="3:4" ht="15.75" customHeight="1">
      <c r="C710" s="1"/>
      <c r="D710" s="1"/>
    </row>
    <row r="711" spans="3:4" ht="15.75" customHeight="1">
      <c r="C711" s="1"/>
      <c r="D711" s="1"/>
    </row>
    <row r="712" spans="3:4" ht="15.75" customHeight="1">
      <c r="C712" s="1"/>
      <c r="D712" s="1"/>
    </row>
    <row r="713" spans="3:4" ht="15.75" customHeight="1">
      <c r="C713" s="1"/>
      <c r="D713" s="1"/>
    </row>
    <row r="714" spans="3:4" ht="15.75" customHeight="1">
      <c r="C714" s="1"/>
      <c r="D714" s="1"/>
    </row>
    <row r="715" spans="3:4" ht="15.75" customHeight="1">
      <c r="C715" s="1"/>
      <c r="D715" s="1"/>
    </row>
    <row r="716" spans="3:4" ht="15.75" customHeight="1">
      <c r="C716" s="1"/>
      <c r="D716" s="1"/>
    </row>
    <row r="717" spans="3:4" ht="15.75" customHeight="1">
      <c r="C717" s="1"/>
      <c r="D717" s="1"/>
    </row>
    <row r="718" spans="3:4" ht="15.75" customHeight="1">
      <c r="C718" s="1"/>
      <c r="D718" s="1"/>
    </row>
    <row r="719" spans="3:4" ht="15.75" customHeight="1">
      <c r="C719" s="1"/>
      <c r="D719" s="1"/>
    </row>
    <row r="720" spans="3:4" ht="15.75" customHeight="1">
      <c r="C720" s="1"/>
      <c r="D720" s="1"/>
    </row>
    <row r="721" spans="3:4" ht="15.75" customHeight="1">
      <c r="C721" s="1"/>
      <c r="D721" s="1"/>
    </row>
    <row r="722" spans="3:4" ht="15.75" customHeight="1">
      <c r="C722" s="1"/>
      <c r="D722" s="1"/>
    </row>
    <row r="723" spans="3:4" ht="15.75" customHeight="1">
      <c r="C723" s="1"/>
      <c r="D723" s="1"/>
    </row>
    <row r="724" spans="3:4" ht="15.75" customHeight="1">
      <c r="C724" s="1"/>
      <c r="D724" s="1"/>
    </row>
    <row r="725" spans="3:4" ht="15.75" customHeight="1">
      <c r="C725" s="1"/>
      <c r="D725" s="1"/>
    </row>
    <row r="726" spans="3:4" ht="15.75" customHeight="1">
      <c r="C726" s="1"/>
      <c r="D726" s="1"/>
    </row>
    <row r="727" spans="3:4" ht="15.75" customHeight="1">
      <c r="C727" s="1"/>
      <c r="D727" s="1"/>
    </row>
    <row r="728" spans="3:4" ht="15.75" customHeight="1">
      <c r="C728" s="1"/>
      <c r="D728" s="1"/>
    </row>
    <row r="729" spans="3:4" ht="15.75" customHeight="1">
      <c r="C729" s="1"/>
      <c r="D729" s="1"/>
    </row>
    <row r="730" spans="3:4" ht="15.75" customHeight="1">
      <c r="C730" s="1"/>
      <c r="D730" s="1"/>
    </row>
    <row r="731" spans="3:4" ht="15.75" customHeight="1">
      <c r="C731" s="1"/>
      <c r="D731" s="1"/>
    </row>
    <row r="732" spans="3:4" ht="15.75" customHeight="1">
      <c r="C732" s="1"/>
      <c r="D732" s="1"/>
    </row>
    <row r="733" spans="3:4" ht="15.75" customHeight="1">
      <c r="C733" s="1"/>
      <c r="D733" s="1"/>
    </row>
    <row r="734" spans="3:4" ht="15.75" customHeight="1">
      <c r="C734" s="1"/>
      <c r="D734" s="1"/>
    </row>
    <row r="735" spans="3:4" ht="15.75" customHeight="1">
      <c r="C735" s="1"/>
      <c r="D735" s="1"/>
    </row>
    <row r="736" spans="3:4" ht="15.75" customHeight="1">
      <c r="C736" s="1"/>
      <c r="D736" s="1"/>
    </row>
    <row r="737" spans="3:4" ht="15.75" customHeight="1">
      <c r="C737" s="1"/>
      <c r="D737" s="1"/>
    </row>
    <row r="738" spans="3:4" ht="15.75" customHeight="1">
      <c r="C738" s="1"/>
      <c r="D738" s="1"/>
    </row>
    <row r="739" spans="3:4" ht="15.75" customHeight="1">
      <c r="C739" s="1"/>
      <c r="D739" s="1"/>
    </row>
    <row r="740" spans="3:4" ht="15.75" customHeight="1">
      <c r="C740" s="1"/>
      <c r="D740" s="1"/>
    </row>
    <row r="741" spans="3:4" ht="15.75" customHeight="1">
      <c r="C741" s="1"/>
      <c r="D741" s="1"/>
    </row>
    <row r="742" spans="3:4" ht="15.75" customHeight="1">
      <c r="C742" s="1"/>
      <c r="D742" s="1"/>
    </row>
    <row r="743" spans="3:4" ht="15.75" customHeight="1">
      <c r="C743" s="1"/>
      <c r="D743" s="1"/>
    </row>
    <row r="744" spans="3:4" ht="15.75" customHeight="1">
      <c r="C744" s="1"/>
      <c r="D744" s="1"/>
    </row>
    <row r="745" spans="3:4" ht="15.75" customHeight="1">
      <c r="C745" s="1"/>
      <c r="D745" s="1"/>
    </row>
    <row r="746" spans="3:4" ht="15.75" customHeight="1">
      <c r="C746" s="1"/>
      <c r="D746" s="1"/>
    </row>
    <row r="747" spans="3:4" ht="15.75" customHeight="1">
      <c r="C747" s="1"/>
      <c r="D747" s="1"/>
    </row>
    <row r="748" spans="3:4" ht="15.75" customHeight="1">
      <c r="C748" s="1"/>
      <c r="D748" s="1"/>
    </row>
    <row r="749" spans="3:4" ht="15.75" customHeight="1">
      <c r="C749" s="1"/>
      <c r="D749" s="1"/>
    </row>
    <row r="750" spans="3:4" ht="15.75" customHeight="1">
      <c r="C750" s="1"/>
      <c r="D750" s="1"/>
    </row>
    <row r="751" spans="3:4" ht="15.75" customHeight="1">
      <c r="C751" s="1"/>
      <c r="D751" s="1"/>
    </row>
    <row r="752" spans="3:4" ht="15.75" customHeight="1">
      <c r="C752" s="1"/>
      <c r="D752" s="1"/>
    </row>
    <row r="753" spans="3:4" ht="15.75" customHeight="1">
      <c r="C753" s="1"/>
      <c r="D753" s="1"/>
    </row>
    <row r="754" spans="3:4" ht="15.75" customHeight="1">
      <c r="C754" s="1"/>
      <c r="D754" s="1"/>
    </row>
    <row r="755" spans="3:4" ht="15.75" customHeight="1">
      <c r="C755" s="1"/>
      <c r="D755" s="1"/>
    </row>
    <row r="756" spans="3:4" ht="15.75" customHeight="1">
      <c r="C756" s="1"/>
      <c r="D756" s="1"/>
    </row>
    <row r="757" spans="3:4" ht="15.75" customHeight="1">
      <c r="C757" s="1"/>
      <c r="D757" s="1"/>
    </row>
    <row r="758" spans="3:4" ht="15.75" customHeight="1">
      <c r="C758" s="1"/>
      <c r="D758" s="1"/>
    </row>
    <row r="759" spans="3:4" ht="15.75" customHeight="1">
      <c r="C759" s="1"/>
      <c r="D759" s="1"/>
    </row>
    <row r="760" spans="3:4" ht="15.75" customHeight="1">
      <c r="C760" s="1"/>
      <c r="D760" s="1"/>
    </row>
    <row r="761" spans="3:4" ht="15.75" customHeight="1">
      <c r="C761" s="1"/>
      <c r="D761" s="1"/>
    </row>
    <row r="762" spans="3:4" ht="15.75" customHeight="1">
      <c r="C762" s="1"/>
      <c r="D762" s="1"/>
    </row>
    <row r="763" spans="3:4" ht="15.75" customHeight="1">
      <c r="C763" s="1"/>
      <c r="D763" s="1"/>
    </row>
    <row r="764" spans="3:4" ht="15.75" customHeight="1">
      <c r="C764" s="1"/>
      <c r="D764" s="1"/>
    </row>
    <row r="765" spans="3:4" ht="15.75" customHeight="1">
      <c r="C765" s="1"/>
      <c r="D765" s="1"/>
    </row>
    <row r="766" spans="3:4" ht="15.75" customHeight="1">
      <c r="C766" s="1"/>
      <c r="D766" s="1"/>
    </row>
    <row r="767" spans="3:4" ht="15.75" customHeight="1">
      <c r="C767" s="1"/>
      <c r="D767" s="1"/>
    </row>
    <row r="768" spans="3:4" ht="15.75" customHeight="1">
      <c r="C768" s="1"/>
      <c r="D768" s="1"/>
    </row>
    <row r="769" spans="3:4" ht="15.75" customHeight="1">
      <c r="C769" s="1"/>
      <c r="D769" s="1"/>
    </row>
    <row r="770" spans="3:4" ht="15.75" customHeight="1">
      <c r="C770" s="1"/>
      <c r="D770" s="1"/>
    </row>
    <row r="771" spans="3:4" ht="15.75" customHeight="1">
      <c r="C771" s="1"/>
      <c r="D771" s="1"/>
    </row>
    <row r="772" spans="3:4" ht="15.75" customHeight="1">
      <c r="C772" s="1"/>
      <c r="D772" s="1"/>
    </row>
    <row r="773" spans="3:4" ht="15.75" customHeight="1">
      <c r="C773" s="1"/>
      <c r="D773" s="1"/>
    </row>
    <row r="774" spans="3:4" ht="15.75" customHeight="1">
      <c r="C774" s="1"/>
      <c r="D774" s="1"/>
    </row>
    <row r="775" spans="3:4" ht="15.75" customHeight="1">
      <c r="C775" s="1"/>
      <c r="D775" s="1"/>
    </row>
    <row r="776" spans="3:4" ht="15.75" customHeight="1">
      <c r="C776" s="1"/>
      <c r="D776" s="1"/>
    </row>
    <row r="777" spans="3:4" ht="15.75" customHeight="1">
      <c r="C777" s="1"/>
      <c r="D777" s="1"/>
    </row>
    <row r="778" spans="3:4" ht="15.75" customHeight="1">
      <c r="C778" s="1"/>
      <c r="D778" s="1"/>
    </row>
    <row r="779" spans="3:4" ht="15.75" customHeight="1">
      <c r="C779" s="1"/>
      <c r="D779" s="1"/>
    </row>
    <row r="780" spans="3:4" ht="15.75" customHeight="1">
      <c r="C780" s="1"/>
      <c r="D780" s="1"/>
    </row>
    <row r="781" spans="3:4" ht="15.75" customHeight="1">
      <c r="C781" s="1"/>
      <c r="D781" s="1"/>
    </row>
    <row r="782" spans="3:4" ht="15.75" customHeight="1">
      <c r="C782" s="1"/>
      <c r="D782" s="1"/>
    </row>
    <row r="783" spans="3:4" ht="15.75" customHeight="1">
      <c r="C783" s="1"/>
      <c r="D783" s="1"/>
    </row>
    <row r="784" spans="3:4" ht="15.75" customHeight="1">
      <c r="C784" s="1"/>
      <c r="D784" s="1"/>
    </row>
    <row r="785" spans="3:4" ht="15.75" customHeight="1">
      <c r="C785" s="1"/>
      <c r="D785" s="1"/>
    </row>
    <row r="786" spans="3:4" ht="15.75" customHeight="1">
      <c r="C786" s="1"/>
      <c r="D786" s="1"/>
    </row>
    <row r="787" spans="3:4" ht="15.75" customHeight="1">
      <c r="C787" s="1"/>
      <c r="D787" s="1"/>
    </row>
    <row r="788" spans="3:4" ht="15.75" customHeight="1">
      <c r="C788" s="1"/>
      <c r="D788" s="1"/>
    </row>
    <row r="789" spans="3:4" ht="15.75" customHeight="1">
      <c r="C789" s="1"/>
      <c r="D789" s="1"/>
    </row>
    <row r="790" spans="3:4" ht="15.75" customHeight="1">
      <c r="C790" s="1"/>
      <c r="D790" s="1"/>
    </row>
    <row r="791" spans="3:4" ht="15.75" customHeight="1">
      <c r="C791" s="1"/>
      <c r="D791" s="1"/>
    </row>
    <row r="792" spans="3:4" ht="15.75" customHeight="1">
      <c r="C792" s="1"/>
      <c r="D792" s="1"/>
    </row>
    <row r="793" spans="3:4" ht="15.75" customHeight="1">
      <c r="C793" s="1"/>
      <c r="D793" s="1"/>
    </row>
    <row r="794" spans="3:4" ht="15.75" customHeight="1">
      <c r="C794" s="1"/>
      <c r="D794" s="1"/>
    </row>
    <row r="795" spans="3:4" ht="15.75" customHeight="1">
      <c r="C795" s="1"/>
      <c r="D795" s="1"/>
    </row>
    <row r="796" spans="3:4" ht="15.75" customHeight="1">
      <c r="C796" s="1"/>
      <c r="D796" s="1"/>
    </row>
    <row r="797" spans="3:4" ht="15.75" customHeight="1">
      <c r="C797" s="1"/>
      <c r="D797" s="1"/>
    </row>
    <row r="798" spans="3:4" ht="15.75" customHeight="1">
      <c r="C798" s="1"/>
      <c r="D798" s="1"/>
    </row>
    <row r="799" spans="3:4" ht="15.75" customHeight="1">
      <c r="C799" s="1"/>
      <c r="D799" s="1"/>
    </row>
    <row r="800" spans="3:4" ht="15.75" customHeight="1">
      <c r="C800" s="1"/>
      <c r="D800" s="1"/>
    </row>
    <row r="801" spans="3:4" ht="15.75" customHeight="1">
      <c r="C801" s="1"/>
      <c r="D801" s="1"/>
    </row>
    <row r="802" spans="3:4" ht="15.75" customHeight="1">
      <c r="C802" s="1"/>
      <c r="D802" s="1"/>
    </row>
    <row r="803" spans="3:4" ht="15.75" customHeight="1">
      <c r="C803" s="1"/>
      <c r="D803" s="1"/>
    </row>
    <row r="804" spans="3:4" ht="15.75" customHeight="1">
      <c r="C804" s="1"/>
      <c r="D804" s="1"/>
    </row>
    <row r="805" spans="3:4" ht="15.75" customHeight="1">
      <c r="C805" s="1"/>
      <c r="D805" s="1"/>
    </row>
    <row r="806" spans="3:4" ht="15.75" customHeight="1">
      <c r="C806" s="1"/>
      <c r="D806" s="1"/>
    </row>
    <row r="807" spans="3:4" ht="15.75" customHeight="1">
      <c r="C807" s="1"/>
      <c r="D807" s="1"/>
    </row>
    <row r="808" spans="3:4" ht="15.75" customHeight="1">
      <c r="C808" s="1"/>
      <c r="D808" s="1"/>
    </row>
    <row r="809" spans="3:4" ht="15.75" customHeight="1">
      <c r="C809" s="1"/>
      <c r="D809" s="1"/>
    </row>
    <row r="810" spans="3:4" ht="15.75" customHeight="1">
      <c r="C810" s="1"/>
      <c r="D810" s="1"/>
    </row>
    <row r="811" spans="3:4" ht="15.75" customHeight="1">
      <c r="C811" s="1"/>
      <c r="D811" s="1"/>
    </row>
    <row r="812" spans="3:4" ht="15.75" customHeight="1">
      <c r="C812" s="1"/>
      <c r="D812" s="1"/>
    </row>
    <row r="813" spans="3:4" ht="15.75" customHeight="1">
      <c r="C813" s="1"/>
      <c r="D813" s="1"/>
    </row>
    <row r="814" spans="3:4" ht="15.75" customHeight="1">
      <c r="C814" s="1"/>
      <c r="D814" s="1"/>
    </row>
    <row r="815" spans="3:4" ht="15.75" customHeight="1">
      <c r="C815" s="1"/>
      <c r="D815" s="1"/>
    </row>
    <row r="816" spans="3:4" ht="15.75" customHeight="1">
      <c r="C816" s="1"/>
      <c r="D816" s="1"/>
    </row>
    <row r="817" spans="3:4" ht="15.75" customHeight="1">
      <c r="C817" s="1"/>
      <c r="D817" s="1"/>
    </row>
    <row r="818" spans="3:4" ht="15.75" customHeight="1">
      <c r="C818" s="1"/>
      <c r="D818" s="1"/>
    </row>
    <row r="819" spans="3:4" ht="15.75" customHeight="1">
      <c r="C819" s="1"/>
      <c r="D819" s="1"/>
    </row>
    <row r="820" spans="3:4" ht="15.75" customHeight="1">
      <c r="C820" s="1"/>
      <c r="D820" s="1"/>
    </row>
    <row r="821" spans="3:4" ht="15.75" customHeight="1">
      <c r="C821" s="1"/>
      <c r="D821" s="1"/>
    </row>
    <row r="822" spans="3:4" ht="15.75" customHeight="1">
      <c r="C822" s="1"/>
      <c r="D822" s="1"/>
    </row>
    <row r="823" spans="3:4" ht="15.75" customHeight="1">
      <c r="C823" s="1"/>
      <c r="D823" s="1"/>
    </row>
    <row r="824" spans="3:4" ht="15.75" customHeight="1">
      <c r="C824" s="1"/>
      <c r="D824" s="1"/>
    </row>
    <row r="825" spans="3:4" ht="15.75" customHeight="1">
      <c r="C825" s="1"/>
      <c r="D825" s="1"/>
    </row>
    <row r="826" spans="3:4" ht="15.75" customHeight="1">
      <c r="C826" s="1"/>
      <c r="D826" s="1"/>
    </row>
    <row r="827" spans="3:4" ht="15.75" customHeight="1">
      <c r="C827" s="1"/>
      <c r="D827" s="1"/>
    </row>
    <row r="828" spans="3:4" ht="15.75" customHeight="1">
      <c r="C828" s="1"/>
      <c r="D828" s="1"/>
    </row>
    <row r="829" spans="3:4" ht="15.75" customHeight="1">
      <c r="C829" s="1"/>
      <c r="D829" s="1"/>
    </row>
    <row r="830" spans="3:4" ht="15.75" customHeight="1">
      <c r="C830" s="1"/>
      <c r="D830" s="1"/>
    </row>
    <row r="831" spans="3:4" ht="15.75" customHeight="1">
      <c r="C831" s="1"/>
      <c r="D831" s="1"/>
    </row>
    <row r="832" spans="3:4" ht="15.75" customHeight="1">
      <c r="C832" s="1"/>
      <c r="D832" s="1"/>
    </row>
    <row r="833" spans="3:4" ht="15.75" customHeight="1">
      <c r="C833" s="1"/>
      <c r="D833" s="1"/>
    </row>
    <row r="834" spans="3:4" ht="15.75" customHeight="1">
      <c r="C834" s="1"/>
      <c r="D834" s="1"/>
    </row>
    <row r="835" spans="3:4" ht="15.75" customHeight="1">
      <c r="C835" s="1"/>
      <c r="D835" s="1"/>
    </row>
    <row r="836" spans="3:4" ht="15.75" customHeight="1">
      <c r="C836" s="1"/>
      <c r="D836" s="1"/>
    </row>
    <row r="837" spans="3:4" ht="15.75" customHeight="1">
      <c r="C837" s="1"/>
      <c r="D837" s="1"/>
    </row>
    <row r="838" spans="3:4" ht="15.75" customHeight="1">
      <c r="C838" s="1"/>
      <c r="D838" s="1"/>
    </row>
    <row r="839" spans="3:4" ht="15.75" customHeight="1">
      <c r="C839" s="1"/>
      <c r="D839" s="1"/>
    </row>
    <row r="840" spans="3:4" ht="15.75" customHeight="1">
      <c r="C840" s="1"/>
      <c r="D840" s="1"/>
    </row>
    <row r="841" spans="3:4" ht="15.75" customHeight="1">
      <c r="C841" s="1"/>
      <c r="D841" s="1"/>
    </row>
    <row r="842" spans="3:4" ht="15.75" customHeight="1">
      <c r="C842" s="1"/>
      <c r="D842" s="1"/>
    </row>
    <row r="843" spans="3:4" ht="15.75" customHeight="1">
      <c r="C843" s="1"/>
      <c r="D843" s="1"/>
    </row>
    <row r="844" spans="3:4" ht="15.75" customHeight="1">
      <c r="C844" s="1"/>
      <c r="D844" s="1"/>
    </row>
    <row r="845" spans="3:4" ht="15.75" customHeight="1">
      <c r="C845" s="1"/>
      <c r="D845" s="1"/>
    </row>
    <row r="846" spans="3:4" ht="15.75" customHeight="1">
      <c r="C846" s="1"/>
      <c r="D846" s="1"/>
    </row>
    <row r="847" spans="3:4" ht="15.75" customHeight="1">
      <c r="C847" s="1"/>
      <c r="D847" s="1"/>
    </row>
    <row r="848" spans="3:4" ht="15.75" customHeight="1">
      <c r="C848" s="1"/>
      <c r="D848" s="1"/>
    </row>
    <row r="849" spans="3:4" ht="15.75" customHeight="1">
      <c r="C849" s="1"/>
      <c r="D849" s="1"/>
    </row>
    <row r="850" spans="3:4" ht="15.75" customHeight="1">
      <c r="C850" s="1"/>
      <c r="D850" s="1"/>
    </row>
    <row r="851" spans="3:4" ht="15.75" customHeight="1">
      <c r="C851" s="1"/>
      <c r="D851" s="1"/>
    </row>
    <row r="852" spans="3:4" ht="15.75" customHeight="1">
      <c r="C852" s="1"/>
      <c r="D852" s="1"/>
    </row>
    <row r="853" spans="3:4" ht="15.75" customHeight="1">
      <c r="C853" s="1"/>
      <c r="D853" s="1"/>
    </row>
    <row r="854" spans="3:4" ht="15.75" customHeight="1">
      <c r="C854" s="1"/>
      <c r="D854" s="1"/>
    </row>
    <row r="855" spans="3:4" ht="15.75" customHeight="1">
      <c r="C855" s="1"/>
      <c r="D855" s="1"/>
    </row>
    <row r="856" spans="3:4" ht="15.75" customHeight="1">
      <c r="C856" s="1"/>
      <c r="D856" s="1"/>
    </row>
    <row r="857" spans="3:4" ht="15.75" customHeight="1">
      <c r="C857" s="1"/>
      <c r="D857" s="1"/>
    </row>
    <row r="858" spans="3:4" ht="15.75" customHeight="1">
      <c r="C858" s="1"/>
      <c r="D858" s="1"/>
    </row>
    <row r="859" spans="3:4" ht="15.75" customHeight="1">
      <c r="C859" s="1"/>
      <c r="D859" s="1"/>
    </row>
    <row r="860" spans="3:4" ht="15.75" customHeight="1">
      <c r="C860" s="1"/>
      <c r="D860" s="1"/>
    </row>
    <row r="861" spans="3:4" ht="15.75" customHeight="1">
      <c r="C861" s="1"/>
      <c r="D861" s="1"/>
    </row>
    <row r="862" spans="3:4" ht="15.75" customHeight="1">
      <c r="C862" s="1"/>
      <c r="D862" s="1"/>
    </row>
    <row r="863" spans="3:4" ht="15.75" customHeight="1">
      <c r="C863" s="1"/>
      <c r="D863" s="1"/>
    </row>
    <row r="864" spans="3:4" ht="15.75" customHeight="1">
      <c r="C864" s="1"/>
      <c r="D864" s="1"/>
    </row>
    <row r="865" spans="3:4" ht="15.75" customHeight="1">
      <c r="C865" s="1"/>
      <c r="D865" s="1"/>
    </row>
    <row r="866" spans="3:4" ht="15.75" customHeight="1">
      <c r="C866" s="1"/>
      <c r="D866" s="1"/>
    </row>
    <row r="867" spans="3:4" ht="15.75" customHeight="1">
      <c r="C867" s="1"/>
      <c r="D867" s="1"/>
    </row>
    <row r="868" spans="3:4" ht="15.75" customHeight="1">
      <c r="C868" s="1"/>
      <c r="D868" s="1"/>
    </row>
    <row r="869" spans="3:4" ht="15.75" customHeight="1">
      <c r="C869" s="1"/>
      <c r="D869" s="1"/>
    </row>
    <row r="870" spans="3:4" ht="15.75" customHeight="1">
      <c r="C870" s="1"/>
      <c r="D870" s="1"/>
    </row>
    <row r="871" spans="3:4" ht="15.75" customHeight="1">
      <c r="C871" s="1"/>
      <c r="D871" s="1"/>
    </row>
    <row r="872" spans="3:4" ht="15.75" customHeight="1">
      <c r="C872" s="1"/>
      <c r="D872" s="1"/>
    </row>
    <row r="873" spans="3:4" ht="15.75" customHeight="1">
      <c r="C873" s="1"/>
      <c r="D873" s="1"/>
    </row>
    <row r="874" spans="3:4" ht="15.75" customHeight="1">
      <c r="C874" s="1"/>
      <c r="D874" s="1"/>
    </row>
    <row r="875" spans="3:4" ht="15.75" customHeight="1">
      <c r="C875" s="1"/>
      <c r="D875" s="1"/>
    </row>
    <row r="876" spans="3:4" ht="15.75" customHeight="1">
      <c r="C876" s="1"/>
      <c r="D876" s="1"/>
    </row>
    <row r="877" spans="3:4" ht="15.75" customHeight="1">
      <c r="C877" s="1"/>
      <c r="D877" s="1"/>
    </row>
    <row r="878" spans="3:4" ht="15.75" customHeight="1">
      <c r="C878" s="1"/>
      <c r="D878" s="1"/>
    </row>
    <row r="879" spans="3:4" ht="15.75" customHeight="1">
      <c r="C879" s="1"/>
      <c r="D879" s="1"/>
    </row>
    <row r="880" spans="3:4" ht="15.75" customHeight="1">
      <c r="C880" s="1"/>
      <c r="D880" s="1"/>
    </row>
    <row r="881" spans="3:4" ht="15.75" customHeight="1">
      <c r="C881" s="1"/>
      <c r="D881" s="1"/>
    </row>
    <row r="882" spans="3:4" ht="15.75" customHeight="1">
      <c r="C882" s="1"/>
      <c r="D882" s="1"/>
    </row>
    <row r="883" spans="3:4" ht="15.75" customHeight="1">
      <c r="C883" s="1"/>
      <c r="D883" s="1"/>
    </row>
    <row r="884" spans="3:4" ht="15.75" customHeight="1">
      <c r="C884" s="1"/>
      <c r="D884" s="1"/>
    </row>
    <row r="885" spans="3:4" ht="15.75" customHeight="1">
      <c r="C885" s="1"/>
      <c r="D885" s="1"/>
    </row>
    <row r="886" spans="3:4" ht="15.75" customHeight="1">
      <c r="C886" s="1"/>
      <c r="D886" s="1"/>
    </row>
    <row r="887" spans="3:4" ht="15.75" customHeight="1">
      <c r="C887" s="1"/>
      <c r="D887" s="1"/>
    </row>
    <row r="888" spans="3:4" ht="15.75" customHeight="1">
      <c r="C888" s="1"/>
      <c r="D888" s="1"/>
    </row>
    <row r="889" spans="3:4" ht="15.75" customHeight="1">
      <c r="C889" s="1"/>
      <c r="D889" s="1"/>
    </row>
    <row r="890" spans="3:4" ht="15.75" customHeight="1">
      <c r="C890" s="1"/>
      <c r="D890" s="1"/>
    </row>
    <row r="891" spans="3:4" ht="15.75" customHeight="1">
      <c r="C891" s="1"/>
      <c r="D891" s="1"/>
    </row>
    <row r="892" spans="3:4" ht="15.75" customHeight="1">
      <c r="C892" s="1"/>
      <c r="D892" s="1"/>
    </row>
    <row r="893" spans="3:4" ht="15.75" customHeight="1">
      <c r="C893" s="1"/>
      <c r="D893" s="1"/>
    </row>
    <row r="894" spans="3:4" ht="15.75" customHeight="1">
      <c r="C894" s="1"/>
      <c r="D894" s="1"/>
    </row>
    <row r="895" spans="3:4" ht="15.75" customHeight="1">
      <c r="C895" s="1"/>
      <c r="D895" s="1"/>
    </row>
    <row r="896" spans="3:4" ht="15.75" customHeight="1">
      <c r="C896" s="1"/>
      <c r="D896" s="1"/>
    </row>
    <row r="897" spans="3:4" ht="15.75" customHeight="1">
      <c r="C897" s="1"/>
      <c r="D897" s="1"/>
    </row>
    <row r="898" spans="3:4" ht="15.75" customHeight="1">
      <c r="C898" s="1"/>
      <c r="D898" s="1"/>
    </row>
    <row r="899" spans="3:4" ht="15.75" customHeight="1">
      <c r="C899" s="1"/>
      <c r="D899" s="1"/>
    </row>
    <row r="900" spans="3:4" ht="15.75" customHeight="1">
      <c r="C900" s="1"/>
      <c r="D900" s="1"/>
    </row>
    <row r="901" spans="3:4" ht="15.75" customHeight="1">
      <c r="C901" s="1"/>
      <c r="D901" s="1"/>
    </row>
    <row r="902" spans="3:4" ht="15.75" customHeight="1">
      <c r="C902" s="1"/>
      <c r="D902" s="1"/>
    </row>
    <row r="903" spans="3:4" ht="15.75" customHeight="1">
      <c r="C903" s="1"/>
      <c r="D903" s="1"/>
    </row>
    <row r="904" spans="3:4" ht="15.75" customHeight="1">
      <c r="C904" s="1"/>
      <c r="D904" s="1"/>
    </row>
    <row r="905" spans="3:4" ht="15.75" customHeight="1">
      <c r="C905" s="1"/>
      <c r="D905" s="1"/>
    </row>
    <row r="906" spans="3:4" ht="15.75" customHeight="1">
      <c r="C906" s="1"/>
      <c r="D906" s="1"/>
    </row>
    <row r="907" spans="3:4" ht="15.75" customHeight="1">
      <c r="C907" s="1"/>
      <c r="D907" s="1"/>
    </row>
    <row r="908" spans="3:4" ht="15.75" customHeight="1">
      <c r="C908" s="1"/>
      <c r="D908" s="1"/>
    </row>
    <row r="909" spans="3:4" ht="15.75" customHeight="1">
      <c r="C909" s="1"/>
      <c r="D909" s="1"/>
    </row>
    <row r="910" spans="3:4" ht="15.75" customHeight="1">
      <c r="C910" s="1"/>
      <c r="D910" s="1"/>
    </row>
    <row r="911" spans="3:4" ht="15.75" customHeight="1">
      <c r="C911" s="1"/>
      <c r="D911" s="1"/>
    </row>
    <row r="912" spans="3:4" ht="15.75" customHeight="1">
      <c r="C912" s="1"/>
      <c r="D912" s="1"/>
    </row>
    <row r="913" spans="3:4" ht="15.75" customHeight="1">
      <c r="C913" s="1"/>
      <c r="D913" s="1"/>
    </row>
    <row r="914" spans="3:4" ht="15.75" customHeight="1">
      <c r="C914" s="1"/>
      <c r="D914" s="1"/>
    </row>
    <row r="915" spans="3:4" ht="15.75" customHeight="1">
      <c r="C915" s="1"/>
      <c r="D915" s="1"/>
    </row>
    <row r="916" spans="3:4" ht="15.75" customHeight="1">
      <c r="C916" s="1"/>
      <c r="D916" s="1"/>
    </row>
    <row r="917" spans="3:4" ht="15.75" customHeight="1">
      <c r="C917" s="1"/>
      <c r="D917" s="1"/>
    </row>
    <row r="918" spans="3:4" ht="15.75" customHeight="1">
      <c r="C918" s="1"/>
      <c r="D918" s="1"/>
    </row>
    <row r="919" spans="3:4" ht="15.75" customHeight="1">
      <c r="C919" s="1"/>
      <c r="D919" s="1"/>
    </row>
    <row r="920" spans="3:4" ht="15.75" customHeight="1">
      <c r="C920" s="1"/>
      <c r="D920" s="1"/>
    </row>
    <row r="921" spans="3:4" ht="15.75" customHeight="1">
      <c r="C921" s="1"/>
      <c r="D921" s="1"/>
    </row>
    <row r="922" spans="3:4" ht="15.75" customHeight="1">
      <c r="C922" s="1"/>
      <c r="D922" s="1"/>
    </row>
    <row r="923" spans="3:4" ht="15.75" customHeight="1">
      <c r="C923" s="1"/>
      <c r="D923" s="1"/>
    </row>
    <row r="924" spans="3:4" ht="15.75" customHeight="1">
      <c r="C924" s="1"/>
      <c r="D924" s="1"/>
    </row>
    <row r="925" spans="3:4" ht="15.75" customHeight="1">
      <c r="C925" s="1"/>
      <c r="D925" s="1"/>
    </row>
    <row r="926" spans="3:4" ht="15.75" customHeight="1">
      <c r="C926" s="1"/>
      <c r="D926" s="1"/>
    </row>
    <row r="927" spans="3:4" ht="15.75" customHeight="1">
      <c r="C927" s="1"/>
      <c r="D927" s="1"/>
    </row>
    <row r="928" spans="3:4" ht="15.75" customHeight="1">
      <c r="C928" s="1"/>
      <c r="D928" s="1"/>
    </row>
    <row r="929" spans="3:4" ht="15.75" customHeight="1">
      <c r="C929" s="1"/>
      <c r="D929" s="1"/>
    </row>
    <row r="930" spans="3:4" ht="15.75" customHeight="1">
      <c r="C930" s="1"/>
      <c r="D930" s="1"/>
    </row>
    <row r="931" spans="3:4" ht="15.75" customHeight="1">
      <c r="C931" s="1"/>
      <c r="D931" s="1"/>
    </row>
    <row r="932" spans="3:4" ht="15.75" customHeight="1">
      <c r="C932" s="1"/>
      <c r="D932" s="1"/>
    </row>
    <row r="933" spans="3:4" ht="15.75" customHeight="1">
      <c r="C933" s="1"/>
      <c r="D933" s="1"/>
    </row>
    <row r="934" spans="3:4" ht="15.75" customHeight="1">
      <c r="C934" s="1"/>
      <c r="D934" s="1"/>
    </row>
    <row r="935" spans="3:4" ht="15.75" customHeight="1">
      <c r="C935" s="1"/>
      <c r="D935" s="1"/>
    </row>
    <row r="936" spans="3:4" ht="15.75" customHeight="1">
      <c r="C936" s="1"/>
      <c r="D936" s="1"/>
    </row>
    <row r="937" spans="3:4" ht="15.75" customHeight="1">
      <c r="C937" s="1"/>
      <c r="D937" s="1"/>
    </row>
    <row r="938" spans="3:4" ht="15.75" customHeight="1">
      <c r="C938" s="1"/>
      <c r="D938" s="1"/>
    </row>
    <row r="939" spans="3:4" ht="15.75" customHeight="1">
      <c r="C939" s="1"/>
      <c r="D939" s="1"/>
    </row>
    <row r="940" spans="3:4" ht="15.75" customHeight="1">
      <c r="C940" s="1"/>
      <c r="D940" s="1"/>
    </row>
    <row r="941" spans="3:4" ht="15.75" customHeight="1">
      <c r="C941" s="1"/>
      <c r="D941" s="1"/>
    </row>
    <row r="942" spans="3:4" ht="15.75" customHeight="1">
      <c r="C942" s="1"/>
      <c r="D942" s="1"/>
    </row>
    <row r="943" spans="3:4" ht="15.75" customHeight="1">
      <c r="C943" s="1"/>
      <c r="D943" s="1"/>
    </row>
    <row r="944" spans="3:4" ht="15.75" customHeight="1">
      <c r="C944" s="1"/>
      <c r="D944" s="1"/>
    </row>
    <row r="945" spans="3:4" ht="15.75" customHeight="1">
      <c r="C945" s="1"/>
      <c r="D945" s="1"/>
    </row>
    <row r="946" spans="3:4" ht="15.75" customHeight="1">
      <c r="C946" s="1"/>
      <c r="D946" s="1"/>
    </row>
    <row r="947" spans="3:4" ht="15.75" customHeight="1">
      <c r="C947" s="1"/>
      <c r="D947" s="1"/>
    </row>
    <row r="948" spans="3:4" ht="15.75" customHeight="1">
      <c r="C948" s="1"/>
      <c r="D948" s="1"/>
    </row>
    <row r="949" spans="3:4" ht="15.75" customHeight="1">
      <c r="C949" s="1"/>
      <c r="D949" s="1"/>
    </row>
    <row r="950" spans="3:4" ht="15.75" customHeight="1">
      <c r="C950" s="1"/>
      <c r="D950" s="1"/>
    </row>
    <row r="951" spans="3:4" ht="15.75" customHeight="1">
      <c r="C951" s="1"/>
      <c r="D951" s="1"/>
    </row>
    <row r="952" spans="3:4" ht="15.75" customHeight="1">
      <c r="C952" s="1"/>
      <c r="D952" s="1"/>
    </row>
    <row r="953" spans="3:4" ht="15.75" customHeight="1">
      <c r="C953" s="1"/>
      <c r="D953" s="1"/>
    </row>
    <row r="954" spans="3:4" ht="15.75" customHeight="1">
      <c r="C954" s="1"/>
      <c r="D954" s="1"/>
    </row>
    <row r="955" spans="3:4" ht="15.75" customHeight="1">
      <c r="C955" s="1"/>
      <c r="D955" s="1"/>
    </row>
    <row r="956" spans="3:4" ht="15.75" customHeight="1">
      <c r="C956" s="1"/>
      <c r="D956" s="1"/>
    </row>
    <row r="957" spans="3:4" ht="15.75" customHeight="1">
      <c r="C957" s="1"/>
      <c r="D957" s="1"/>
    </row>
    <row r="958" spans="3:4" ht="15.75" customHeight="1">
      <c r="C958" s="1"/>
      <c r="D958" s="1"/>
    </row>
    <row r="959" spans="3:4" ht="15.75" customHeight="1">
      <c r="C959" s="1"/>
      <c r="D959" s="1"/>
    </row>
    <row r="960" spans="3:4" ht="15.75" customHeight="1">
      <c r="C960" s="1"/>
      <c r="D960" s="1"/>
    </row>
    <row r="961" spans="3:4" ht="15.75" customHeight="1">
      <c r="C961" s="1"/>
      <c r="D961" s="1"/>
    </row>
    <row r="962" spans="3:4" ht="15.75" customHeight="1">
      <c r="C962" s="1"/>
      <c r="D962" s="1"/>
    </row>
    <row r="963" spans="3:4" ht="15.75" customHeight="1">
      <c r="C963" s="1"/>
      <c r="D963" s="1"/>
    </row>
    <row r="964" spans="3:4" ht="15.75" customHeight="1">
      <c r="C964" s="1"/>
      <c r="D964" s="1"/>
    </row>
    <row r="965" spans="3:4" ht="15.75" customHeight="1">
      <c r="C965" s="1"/>
      <c r="D965" s="1"/>
    </row>
    <row r="966" spans="3:4" ht="15.75" customHeight="1">
      <c r="C966" s="1"/>
      <c r="D966" s="1"/>
    </row>
    <row r="967" spans="3:4" ht="15.75" customHeight="1">
      <c r="C967" s="1"/>
      <c r="D967" s="1"/>
    </row>
    <row r="968" spans="3:4" ht="15.75" customHeight="1">
      <c r="C968" s="1"/>
      <c r="D968" s="1"/>
    </row>
    <row r="969" spans="3:4" ht="15.75" customHeight="1">
      <c r="C969" s="1"/>
      <c r="D969" s="1"/>
    </row>
    <row r="970" spans="3:4" ht="15.75" customHeight="1">
      <c r="C970" s="1"/>
      <c r="D970" s="1"/>
    </row>
    <row r="971" spans="3:4" ht="15.75" customHeight="1">
      <c r="C971" s="1"/>
      <c r="D971" s="1"/>
    </row>
    <row r="972" spans="3:4" ht="15.75" customHeight="1">
      <c r="C972" s="1"/>
      <c r="D972" s="1"/>
    </row>
    <row r="973" spans="3:4" ht="15.75" customHeight="1">
      <c r="C973" s="1"/>
      <c r="D973" s="1"/>
    </row>
    <row r="974" spans="3:4" ht="15.75" customHeight="1">
      <c r="C974" s="1"/>
      <c r="D974" s="1"/>
    </row>
    <row r="975" spans="3:4" ht="15.75" customHeight="1">
      <c r="C975" s="1"/>
      <c r="D975" s="1"/>
    </row>
    <row r="976" spans="3:4" ht="15.75" customHeight="1">
      <c r="C976" s="1"/>
      <c r="D976" s="1"/>
    </row>
    <row r="977" spans="3:4" ht="15.75" customHeight="1">
      <c r="C977" s="1"/>
      <c r="D977" s="1"/>
    </row>
    <row r="978" spans="3:4" ht="15.75" customHeight="1">
      <c r="C978" s="1"/>
      <c r="D978" s="1"/>
    </row>
    <row r="979" spans="3:4" ht="15.75" customHeight="1">
      <c r="C979" s="1"/>
      <c r="D979" s="1"/>
    </row>
    <row r="980" spans="3:4" ht="15.75" customHeight="1">
      <c r="C980" s="1"/>
      <c r="D980" s="1"/>
    </row>
    <row r="981" spans="3:4" ht="15.75" customHeight="1">
      <c r="C981" s="1"/>
      <c r="D981" s="1"/>
    </row>
    <row r="982" spans="3:4" ht="15.75" customHeight="1">
      <c r="C982" s="1"/>
      <c r="D982" s="1"/>
    </row>
    <row r="983" spans="3:4" ht="15.75" customHeight="1">
      <c r="C983" s="1"/>
      <c r="D983" s="1"/>
    </row>
    <row r="984" spans="3:4" ht="15.75" customHeight="1">
      <c r="C984" s="1"/>
      <c r="D984" s="1"/>
    </row>
    <row r="985" spans="3:4" ht="15.75" customHeight="1">
      <c r="C985" s="1"/>
      <c r="D985" s="1"/>
    </row>
    <row r="986" spans="3:4" ht="15.75" customHeight="1">
      <c r="C986" s="1"/>
      <c r="D986" s="1"/>
    </row>
    <row r="987" spans="3:4" ht="15.75" customHeight="1">
      <c r="C987" s="1"/>
      <c r="D987" s="1"/>
    </row>
    <row r="988" spans="3:4" ht="15.75" customHeight="1">
      <c r="C988" s="1"/>
      <c r="D988" s="1"/>
    </row>
    <row r="989" spans="3:4" ht="15.75" customHeight="1">
      <c r="C989" s="1"/>
      <c r="D989" s="1"/>
    </row>
    <row r="990" spans="3:4" ht="15.75" customHeight="1">
      <c r="C990" s="1"/>
      <c r="D990" s="1"/>
    </row>
    <row r="991" spans="3:4" ht="15.75" customHeight="1">
      <c r="C991" s="1"/>
      <c r="D991" s="1"/>
    </row>
    <row r="992" spans="3:4" ht="15.75" customHeight="1">
      <c r="C992" s="1"/>
      <c r="D992" s="1"/>
    </row>
    <row r="993" spans="3:4" ht="15.75" customHeight="1">
      <c r="C993" s="1"/>
      <c r="D993" s="1"/>
    </row>
    <row r="994" spans="3:4" ht="15.75" customHeight="1">
      <c r="C994" s="1"/>
      <c r="D994" s="1"/>
    </row>
    <row r="995" spans="3:4" ht="15.75" customHeight="1">
      <c r="C995" s="1"/>
      <c r="D995" s="1"/>
    </row>
    <row r="996" spans="3:4" ht="15.75" customHeight="1">
      <c r="C996" s="1"/>
      <c r="D996" s="1"/>
    </row>
    <row r="997" spans="3:4" ht="15.75" customHeight="1">
      <c r="C997" s="1"/>
      <c r="D997" s="1"/>
    </row>
    <row r="998" spans="3:4" ht="15.75" customHeight="1">
      <c r="C998" s="1"/>
      <c r="D998" s="1"/>
    </row>
    <row r="999" spans="3:4" ht="15.75" customHeight="1">
      <c r="C999" s="1"/>
      <c r="D999" s="1"/>
    </row>
    <row r="1000" spans="3:4" ht="15.75" customHeight="1">
      <c r="C1000" s="1"/>
      <c r="D1000" s="1"/>
    </row>
    <row r="1001" spans="3:4" ht="15.75" customHeight="1">
      <c r="C1001" s="1"/>
      <c r="D1001" s="1"/>
    </row>
    <row r="1002" spans="3:4" ht="15.75" customHeight="1">
      <c r="C1002" s="1"/>
      <c r="D1002" s="1"/>
    </row>
    <row r="1003" spans="3:4" ht="15.75" customHeight="1">
      <c r="C1003" s="1"/>
      <c r="D1003" s="1"/>
    </row>
    <row r="1004" spans="3:4" ht="15.75" customHeight="1">
      <c r="C1004" s="1"/>
      <c r="D1004" s="1"/>
    </row>
    <row r="1005" spans="3:4" ht="15.75" customHeight="1">
      <c r="C1005" s="1"/>
      <c r="D1005" s="1"/>
    </row>
    <row r="1006" spans="3:4" ht="15.75" customHeight="1">
      <c r="C1006" s="1"/>
      <c r="D1006" s="1"/>
    </row>
    <row r="1007" spans="3:4" ht="15.75" customHeight="1">
      <c r="C1007" s="1"/>
      <c r="D1007" s="1"/>
    </row>
    <row r="1008" spans="3:4" ht="15.75" customHeight="1">
      <c r="C1008" s="1"/>
      <c r="D1008" s="1"/>
    </row>
  </sheetData>
  <autoFilter ref="B2:DT29" xr:uid="{D6501A76-58AC-B247-83DC-358B46C63781}"/>
  <mergeCells count="1">
    <mergeCell ref="E1:J1"/>
  </mergeCells>
  <conditionalFormatting sqref="AF29:DS29">
    <cfRule type="cellIs" dxfId="2" priority="3" operator="greaterThan">
      <formula>5</formula>
    </cfRule>
  </conditionalFormatting>
  <conditionalFormatting sqref="AF36:DS36">
    <cfRule type="cellIs" dxfId="1" priority="2" operator="lessThan">
      <formula>5</formula>
    </cfRule>
  </conditionalFormatting>
  <conditionalFormatting sqref="AF31:DT35">
    <cfRule type="cellIs" dxfId="0" priority="1" operator="greaterThan">
      <formula>1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BA41-8C5D-8440-8F06-9D64DB363C66}">
  <sheetPr>
    <tabColor theme="1" tint="0.499984740745262"/>
  </sheetPr>
  <dimension ref="A1:F27"/>
  <sheetViews>
    <sheetView zoomScale="132" workbookViewId="0">
      <selection activeCell="B3" sqref="B3:D19"/>
    </sheetView>
  </sheetViews>
  <sheetFormatPr defaultColWidth="11.25" defaultRowHeight="15.6"/>
  <cols>
    <col min="1" max="1" width="14.25" style="47" customWidth="1"/>
    <col min="2" max="2" width="40.75" customWidth="1"/>
    <col min="3" max="3" width="14.5" style="47" customWidth="1"/>
    <col min="4" max="4" width="17.25" style="47" customWidth="1"/>
    <col min="5" max="5" width="11" style="47" bestFit="1" customWidth="1"/>
    <col min="6" max="6" width="71.25" customWidth="1"/>
  </cols>
  <sheetData>
    <row r="1" spans="1:6" ht="16.149999999999999" thickBot="1">
      <c r="A1" s="103" t="s">
        <v>455</v>
      </c>
      <c r="B1" s="58" t="s">
        <v>456</v>
      </c>
      <c r="C1" s="105" t="s">
        <v>2</v>
      </c>
      <c r="D1" s="63" t="s">
        <v>383</v>
      </c>
      <c r="E1" s="63" t="s">
        <v>386</v>
      </c>
      <c r="F1" s="57" t="s">
        <v>457</v>
      </c>
    </row>
    <row r="2" spans="1:6" ht="16.149999999999999" thickBot="1">
      <c r="A2" s="49" t="s">
        <v>458</v>
      </c>
      <c r="B2" s="62" t="s">
        <v>459</v>
      </c>
      <c r="C2" s="67" t="s">
        <v>166</v>
      </c>
      <c r="D2" s="67" t="s">
        <v>391</v>
      </c>
      <c r="E2" s="208">
        <v>46038</v>
      </c>
      <c r="F2" s="56" t="s">
        <v>460</v>
      </c>
    </row>
    <row r="3" spans="1:6" ht="16.149999999999999" thickBot="1">
      <c r="A3" s="51"/>
      <c r="B3" s="189" t="s">
        <v>390</v>
      </c>
      <c r="C3" s="67" t="s">
        <v>166</v>
      </c>
      <c r="D3" s="67" t="s">
        <v>391</v>
      </c>
      <c r="E3" s="208">
        <v>46038</v>
      </c>
      <c r="F3" s="56" t="s">
        <v>461</v>
      </c>
    </row>
    <row r="4" spans="1:6" ht="16.149999999999999" thickBot="1">
      <c r="A4" s="51"/>
      <c r="B4" s="205" t="s">
        <v>462</v>
      </c>
      <c r="C4" s="67" t="s">
        <v>166</v>
      </c>
      <c r="D4" s="67" t="s">
        <v>391</v>
      </c>
      <c r="E4" s="208">
        <v>46038</v>
      </c>
      <c r="F4" s="56" t="s">
        <v>460</v>
      </c>
    </row>
    <row r="5" spans="1:6" ht="16.149999999999999" thickBot="1">
      <c r="A5" s="51"/>
      <c r="B5" s="191"/>
      <c r="C5" s="104"/>
      <c r="D5" s="65"/>
      <c r="E5" s="65"/>
      <c r="F5" s="52"/>
    </row>
    <row r="6" spans="1:6" ht="16.149999999999999" thickBot="1">
      <c r="A6" s="55" t="s">
        <v>463</v>
      </c>
      <c r="B6" s="62" t="s">
        <v>464</v>
      </c>
      <c r="C6" s="107" t="s">
        <v>166</v>
      </c>
      <c r="D6" s="67" t="s">
        <v>465</v>
      </c>
      <c r="E6" s="192" t="s">
        <v>58</v>
      </c>
      <c r="F6" s="56"/>
    </row>
    <row r="7" spans="1:6" ht="16.149999999999999" thickBot="1">
      <c r="A7" s="51"/>
      <c r="B7" s="60"/>
      <c r="C7" s="104"/>
      <c r="D7" s="65"/>
      <c r="E7" s="65"/>
      <c r="F7" s="52"/>
    </row>
    <row r="8" spans="1:6" ht="16.149999999999999" thickBot="1">
      <c r="A8" s="55" t="s">
        <v>466</v>
      </c>
      <c r="B8" s="62" t="s">
        <v>467</v>
      </c>
      <c r="C8" s="209"/>
      <c r="D8" s="209"/>
      <c r="E8" s="209"/>
      <c r="F8" s="56"/>
    </row>
    <row r="9" spans="1:6" ht="16.149999999999999" thickBot="1">
      <c r="A9" s="67"/>
      <c r="B9" s="189" t="s">
        <v>468</v>
      </c>
      <c r="C9" s="67" t="s">
        <v>162</v>
      </c>
      <c r="D9" s="106" t="s">
        <v>394</v>
      </c>
      <c r="E9" s="73" t="s">
        <v>58</v>
      </c>
      <c r="F9" s="54" t="s">
        <v>18</v>
      </c>
    </row>
    <row r="10" spans="1:6" ht="16.149999999999999" thickBot="1">
      <c r="A10" s="67"/>
      <c r="B10" s="190" t="s">
        <v>469</v>
      </c>
      <c r="C10" s="66" t="s">
        <v>162</v>
      </c>
      <c r="D10" s="108" t="s">
        <v>394</v>
      </c>
      <c r="E10" s="188" t="s">
        <v>470</v>
      </c>
      <c r="F10" s="54" t="s">
        <v>18</v>
      </c>
    </row>
    <row r="11" spans="1:6" ht="16.149999999999999" thickBot="1">
      <c r="A11" s="67"/>
      <c r="B11" s="61" t="s">
        <v>393</v>
      </c>
      <c r="C11" s="66" t="s">
        <v>162</v>
      </c>
      <c r="D11" s="66" t="s">
        <v>394</v>
      </c>
      <c r="E11" s="188" t="s">
        <v>470</v>
      </c>
      <c r="F11" s="54" t="s">
        <v>18</v>
      </c>
    </row>
    <row r="12" spans="1:6" ht="16.149999999999999" thickBot="1">
      <c r="A12" s="67"/>
      <c r="B12" s="61" t="s">
        <v>471</v>
      </c>
      <c r="C12" s="66" t="s">
        <v>162</v>
      </c>
      <c r="D12" s="66" t="s">
        <v>394</v>
      </c>
      <c r="E12" s="188" t="s">
        <v>470</v>
      </c>
      <c r="F12" s="54"/>
    </row>
    <row r="13" spans="1:6" ht="16.149999999999999" thickBot="1">
      <c r="A13" s="67"/>
      <c r="B13" s="61" t="s">
        <v>396</v>
      </c>
      <c r="C13" s="66" t="s">
        <v>162</v>
      </c>
      <c r="D13" s="66" t="s">
        <v>394</v>
      </c>
      <c r="E13" s="73" t="s">
        <v>58</v>
      </c>
      <c r="F13" s="54" t="s">
        <v>18</v>
      </c>
    </row>
    <row r="16" spans="1:6" ht="16.149999999999999" thickBot="1">
      <c r="A16" s="193" t="s">
        <v>472</v>
      </c>
    </row>
    <row r="17" spans="1:6" ht="16.149999999999999" thickBot="1">
      <c r="A17" s="203" t="s">
        <v>463</v>
      </c>
      <c r="B17" s="195" t="s">
        <v>473</v>
      </c>
      <c r="C17" s="49" t="s">
        <v>166</v>
      </c>
      <c r="D17" s="64"/>
      <c r="E17" s="198" t="s">
        <v>470</v>
      </c>
      <c r="F17" s="200" t="s">
        <v>474</v>
      </c>
    </row>
    <row r="18" spans="1:6" ht="16.149999999999999" thickBot="1">
      <c r="A18" s="51"/>
      <c r="B18" s="196" t="s">
        <v>475</v>
      </c>
      <c r="C18" s="51" t="s">
        <v>166</v>
      </c>
      <c r="D18" s="65"/>
      <c r="E18" s="199" t="s">
        <v>470</v>
      </c>
      <c r="F18" s="201" t="s">
        <v>476</v>
      </c>
    </row>
    <row r="19" spans="1:6">
      <c r="A19" s="51"/>
      <c r="B19" s="196" t="s">
        <v>477</v>
      </c>
      <c r="C19" s="51" t="s">
        <v>166</v>
      </c>
      <c r="D19" s="65"/>
      <c r="E19" s="73" t="s">
        <v>58</v>
      </c>
      <c r="F19" s="201" t="s">
        <v>478</v>
      </c>
    </row>
    <row r="20" spans="1:6" ht="16.149999999999999" thickBot="1">
      <c r="A20" s="204" t="s">
        <v>479</v>
      </c>
      <c r="B20" s="196" t="s">
        <v>480</v>
      </c>
      <c r="C20" s="51" t="s">
        <v>166</v>
      </c>
      <c r="D20" s="65"/>
      <c r="E20" s="199" t="s">
        <v>470</v>
      </c>
      <c r="F20" s="201" t="s">
        <v>481</v>
      </c>
    </row>
    <row r="21" spans="1:6">
      <c r="A21" s="51" t="s">
        <v>482</v>
      </c>
      <c r="B21" s="196" t="s">
        <v>483</v>
      </c>
      <c r="C21" s="51"/>
      <c r="D21" s="65"/>
      <c r="F21" s="201"/>
    </row>
    <row r="22" spans="1:6">
      <c r="A22" s="51"/>
      <c r="B22" s="196"/>
      <c r="C22" s="51"/>
      <c r="D22" s="65"/>
      <c r="F22" s="201"/>
    </row>
    <row r="23" spans="1:6">
      <c r="A23" s="51"/>
      <c r="B23" s="196"/>
      <c r="C23" s="51"/>
      <c r="D23" s="65"/>
      <c r="F23" s="201"/>
    </row>
    <row r="24" spans="1:6">
      <c r="A24" s="51"/>
      <c r="B24" s="196"/>
      <c r="C24" s="51"/>
      <c r="D24" s="65"/>
      <c r="F24" s="201"/>
    </row>
    <row r="25" spans="1:6">
      <c r="A25" s="51"/>
      <c r="B25" s="196"/>
      <c r="C25" s="51"/>
      <c r="D25" s="65"/>
      <c r="F25" s="201"/>
    </row>
    <row r="26" spans="1:6">
      <c r="A26" s="51"/>
      <c r="B26" s="196"/>
      <c r="C26" s="51"/>
      <c r="D26" s="65"/>
      <c r="F26" s="201"/>
    </row>
    <row r="27" spans="1:6" ht="16.149999999999999" thickBot="1">
      <c r="A27" s="53"/>
      <c r="B27" s="197"/>
      <c r="C27" s="53"/>
      <c r="D27" s="66"/>
      <c r="E27" s="194"/>
      <c r="F27" s="20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39F14-F647-154A-8C84-D8AAEDACFA9A}">
  <sheetPr>
    <tabColor theme="1" tint="0.499984740745262"/>
  </sheetPr>
  <dimension ref="A1:F25"/>
  <sheetViews>
    <sheetView zoomScale="138" zoomScaleNormal="125" workbookViewId="0">
      <selection activeCell="B16" sqref="B16"/>
    </sheetView>
  </sheetViews>
  <sheetFormatPr defaultColWidth="11" defaultRowHeight="15.6"/>
  <cols>
    <col min="1" max="1" width="14.25" style="47" customWidth="1"/>
    <col min="2" max="2" width="40.75" customWidth="1"/>
    <col min="3" max="3" width="14.5" style="47" customWidth="1"/>
    <col min="4" max="4" width="17.25" style="47" customWidth="1"/>
    <col min="5" max="5" width="11" style="47"/>
    <col min="6" max="6" width="85.5" customWidth="1"/>
  </cols>
  <sheetData>
    <row r="1" spans="1:6" ht="16.149999999999999" thickBot="1">
      <c r="A1" s="103" t="s">
        <v>455</v>
      </c>
      <c r="B1" s="58" t="s">
        <v>456</v>
      </c>
      <c r="C1" s="105" t="s">
        <v>2</v>
      </c>
      <c r="D1" s="63" t="s">
        <v>383</v>
      </c>
      <c r="E1" s="63" t="s">
        <v>386</v>
      </c>
      <c r="F1" s="57" t="s">
        <v>457</v>
      </c>
    </row>
    <row r="2" spans="1:6">
      <c r="A2" s="49" t="s">
        <v>463</v>
      </c>
      <c r="B2" s="59" t="s">
        <v>484</v>
      </c>
      <c r="C2" s="106" t="s">
        <v>166</v>
      </c>
      <c r="D2" s="64" t="s">
        <v>485</v>
      </c>
      <c r="E2" s="73" t="s">
        <v>58</v>
      </c>
      <c r="F2" s="50"/>
    </row>
    <row r="3" spans="1:6" ht="16.149999999999999" thickBot="1">
      <c r="A3" s="51"/>
      <c r="B3" s="60"/>
      <c r="C3" s="104"/>
      <c r="D3" s="65"/>
      <c r="E3" s="65"/>
      <c r="F3" s="52"/>
    </row>
    <row r="4" spans="1:6">
      <c r="A4" s="49" t="s">
        <v>479</v>
      </c>
      <c r="B4" s="59" t="s">
        <v>486</v>
      </c>
      <c r="C4" s="106" t="s">
        <v>166</v>
      </c>
      <c r="D4" s="64" t="s">
        <v>487</v>
      </c>
      <c r="E4" s="68" t="s">
        <v>58</v>
      </c>
      <c r="F4" s="50"/>
    </row>
    <row r="5" spans="1:6">
      <c r="A5" s="51"/>
      <c r="B5" s="60" t="s">
        <v>94</v>
      </c>
      <c r="C5" s="104" t="s">
        <v>488</v>
      </c>
      <c r="D5" s="65" t="s">
        <v>391</v>
      </c>
      <c r="E5" s="68" t="s">
        <v>58</v>
      </c>
      <c r="F5" s="52" t="s">
        <v>18</v>
      </c>
    </row>
    <row r="6" spans="1:6">
      <c r="A6" s="51"/>
      <c r="B6" s="60" t="s">
        <v>489</v>
      </c>
      <c r="C6" s="104" t="s">
        <v>488</v>
      </c>
      <c r="D6" s="65" t="s">
        <v>391</v>
      </c>
      <c r="E6" s="68" t="s">
        <v>58</v>
      </c>
      <c r="F6" s="52"/>
    </row>
    <row r="7" spans="1:6">
      <c r="A7" s="51"/>
      <c r="B7" s="60" t="s">
        <v>98</v>
      </c>
      <c r="C7" s="104" t="s">
        <v>488</v>
      </c>
      <c r="D7" s="65" t="s">
        <v>391</v>
      </c>
      <c r="E7" s="68" t="s">
        <v>58</v>
      </c>
      <c r="F7" s="52" t="s">
        <v>18</v>
      </c>
    </row>
    <row r="8" spans="1:6">
      <c r="A8" s="51"/>
      <c r="B8" s="60" t="s">
        <v>490</v>
      </c>
      <c r="C8" s="104" t="s">
        <v>488</v>
      </c>
      <c r="D8" s="65" t="s">
        <v>391</v>
      </c>
      <c r="E8" s="68" t="s">
        <v>58</v>
      </c>
      <c r="F8" s="52"/>
    </row>
    <row r="9" spans="1:6">
      <c r="A9" s="51"/>
      <c r="B9" s="60" t="s">
        <v>111</v>
      </c>
      <c r="C9" s="104" t="s">
        <v>488</v>
      </c>
      <c r="D9" s="65" t="s">
        <v>391</v>
      </c>
      <c r="E9" s="76" t="s">
        <v>470</v>
      </c>
      <c r="F9" s="52" t="s">
        <v>491</v>
      </c>
    </row>
    <row r="10" spans="1:6">
      <c r="A10" s="51"/>
      <c r="B10" s="60" t="s">
        <v>99</v>
      </c>
      <c r="C10" s="104" t="s">
        <v>488</v>
      </c>
      <c r="D10" s="65" t="s">
        <v>492</v>
      </c>
      <c r="E10" s="68" t="s">
        <v>58</v>
      </c>
      <c r="F10" s="52"/>
    </row>
    <row r="11" spans="1:6" ht="16.149999999999999" thickBot="1">
      <c r="A11" s="51"/>
      <c r="B11" s="60"/>
      <c r="C11" s="104"/>
      <c r="D11" s="65"/>
      <c r="E11" s="65"/>
      <c r="F11" s="52"/>
    </row>
    <row r="12" spans="1:6" ht="16.149999999999999" thickBot="1">
      <c r="A12" s="55" t="s">
        <v>493</v>
      </c>
      <c r="B12" s="59" t="s">
        <v>494</v>
      </c>
      <c r="C12" s="107" t="s">
        <v>166</v>
      </c>
      <c r="D12" s="67" t="s">
        <v>487</v>
      </c>
      <c r="E12" s="68" t="s">
        <v>58</v>
      </c>
      <c r="F12" s="56" t="s">
        <v>495</v>
      </c>
    </row>
    <row r="13" spans="1:6">
      <c r="A13" s="51"/>
      <c r="B13" s="60" t="s">
        <v>468</v>
      </c>
      <c r="C13" s="104" t="s">
        <v>162</v>
      </c>
      <c r="D13" s="65" t="s">
        <v>496</v>
      </c>
      <c r="E13" s="68" t="s">
        <v>58</v>
      </c>
      <c r="F13" s="52"/>
    </row>
    <row r="14" spans="1:6">
      <c r="A14" s="51"/>
      <c r="B14" s="60" t="s">
        <v>469</v>
      </c>
      <c r="C14" s="104" t="s">
        <v>162</v>
      </c>
      <c r="D14" s="65" t="s">
        <v>496</v>
      </c>
      <c r="E14" s="76" t="s">
        <v>470</v>
      </c>
      <c r="F14" s="52"/>
    </row>
    <row r="15" spans="1:6">
      <c r="A15" s="51"/>
      <c r="B15" s="60" t="s">
        <v>393</v>
      </c>
      <c r="C15" s="104"/>
      <c r="D15" s="65"/>
      <c r="E15" s="76" t="s">
        <v>470</v>
      </c>
      <c r="F15" s="52"/>
    </row>
    <row r="16" spans="1:6" ht="16.149999999999999" thickBot="1">
      <c r="A16" s="51"/>
      <c r="B16" s="60"/>
      <c r="C16" s="104"/>
      <c r="D16" s="65"/>
      <c r="E16" s="65"/>
      <c r="F16" s="52"/>
    </row>
    <row r="17" spans="1:6" ht="16.149999999999999" thickBot="1">
      <c r="A17" s="55" t="s">
        <v>497</v>
      </c>
      <c r="B17" s="62" t="s">
        <v>498</v>
      </c>
      <c r="C17" s="107" t="s">
        <v>166</v>
      </c>
      <c r="D17" s="67" t="s">
        <v>487</v>
      </c>
      <c r="E17" s="68" t="s">
        <v>58</v>
      </c>
      <c r="F17" s="56"/>
    </row>
    <row r="18" spans="1:6" ht="16.149999999999999" thickBot="1">
      <c r="A18" s="51"/>
      <c r="B18" s="60"/>
      <c r="C18" s="104"/>
      <c r="D18" s="65"/>
      <c r="E18" s="65"/>
      <c r="F18" s="52"/>
    </row>
    <row r="19" spans="1:6" ht="16.149999999999999" thickBot="1">
      <c r="A19" s="49" t="s">
        <v>466</v>
      </c>
      <c r="B19" s="62" t="s">
        <v>459</v>
      </c>
      <c r="C19" s="106" t="s">
        <v>166</v>
      </c>
      <c r="D19" s="65" t="s">
        <v>391</v>
      </c>
      <c r="E19" s="76" t="s">
        <v>470</v>
      </c>
      <c r="F19" s="50"/>
    </row>
    <row r="20" spans="1:6" ht="16.149999999999999" thickBot="1">
      <c r="A20" s="51"/>
      <c r="B20" s="62" t="s">
        <v>390</v>
      </c>
      <c r="C20" s="104" t="s">
        <v>166</v>
      </c>
      <c r="D20" s="65" t="s">
        <v>391</v>
      </c>
      <c r="E20" s="76" t="s">
        <v>470</v>
      </c>
      <c r="F20" s="52"/>
    </row>
    <row r="21" spans="1:6" ht="16.149999999999999" thickBot="1">
      <c r="A21" s="51"/>
      <c r="B21" s="102" t="s">
        <v>462</v>
      </c>
      <c r="C21" s="104" t="s">
        <v>166</v>
      </c>
      <c r="D21" s="65" t="s">
        <v>391</v>
      </c>
      <c r="E21" s="76" t="s">
        <v>470</v>
      </c>
      <c r="F21" s="52" t="s">
        <v>18</v>
      </c>
    </row>
    <row r="22" spans="1:6">
      <c r="A22" s="51"/>
      <c r="B22" s="164" t="s">
        <v>499</v>
      </c>
      <c r="C22" s="104" t="s">
        <v>38</v>
      </c>
      <c r="D22" s="65" t="s">
        <v>500</v>
      </c>
      <c r="E22" s="76" t="s">
        <v>470</v>
      </c>
      <c r="F22" s="52"/>
    </row>
    <row r="23" spans="1:6" ht="16.149999999999999" thickBot="1">
      <c r="A23" s="51"/>
      <c r="B23" s="60"/>
      <c r="C23" s="104"/>
      <c r="D23" s="65"/>
      <c r="E23" s="65"/>
      <c r="F23" s="52"/>
    </row>
    <row r="24" spans="1:6" ht="16.149999999999999" thickBot="1">
      <c r="A24" s="51"/>
      <c r="B24" s="62" t="s">
        <v>468</v>
      </c>
      <c r="C24" s="104" t="s">
        <v>162</v>
      </c>
      <c r="D24" s="65" t="s">
        <v>394</v>
      </c>
      <c r="E24" s="68" t="s">
        <v>58</v>
      </c>
      <c r="F24" s="52" t="s">
        <v>18</v>
      </c>
    </row>
    <row r="25" spans="1:6" ht="16.149999999999999" thickBot="1">
      <c r="A25" s="53"/>
      <c r="B25" s="61" t="s">
        <v>469</v>
      </c>
      <c r="C25" s="108" t="s">
        <v>162</v>
      </c>
      <c r="D25" s="66" t="s">
        <v>394</v>
      </c>
      <c r="E25" s="76" t="s">
        <v>470</v>
      </c>
      <c r="F25" s="5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AF21-08AC-B44A-B41E-16E2F1EBACD0}">
  <sheetPr>
    <tabColor theme="1" tint="0.499984740745262"/>
  </sheetPr>
  <dimension ref="A1:F27"/>
  <sheetViews>
    <sheetView zoomScale="120" zoomScaleNormal="120" workbookViewId="0">
      <selection sqref="A1:XFD1048576"/>
    </sheetView>
  </sheetViews>
  <sheetFormatPr defaultColWidth="11" defaultRowHeight="15.6"/>
  <cols>
    <col min="1" max="1" width="14.25" style="47" customWidth="1"/>
    <col min="2" max="2" width="40.75" customWidth="1"/>
    <col min="3" max="3" width="14.5" style="47" customWidth="1"/>
    <col min="4" max="4" width="17.25" style="47" customWidth="1"/>
    <col min="5" max="5" width="10.75" style="47"/>
    <col min="6" max="6" width="85.5" customWidth="1"/>
  </cols>
  <sheetData>
    <row r="1" spans="1:6" ht="16.149999999999999" thickBot="1">
      <c r="A1" s="46" t="s">
        <v>455</v>
      </c>
      <c r="B1" s="58" t="s">
        <v>456</v>
      </c>
      <c r="C1" s="63" t="s">
        <v>2</v>
      </c>
      <c r="D1" s="63" t="s">
        <v>383</v>
      </c>
      <c r="E1" s="63" t="s">
        <v>386</v>
      </c>
      <c r="F1" s="57" t="s">
        <v>457</v>
      </c>
    </row>
    <row r="2" spans="1:6">
      <c r="A2" s="49" t="s">
        <v>463</v>
      </c>
      <c r="B2" s="59" t="s">
        <v>501</v>
      </c>
      <c r="C2" s="64" t="s">
        <v>162</v>
      </c>
      <c r="D2" s="64" t="s">
        <v>485</v>
      </c>
      <c r="E2" s="73" t="s">
        <v>58</v>
      </c>
      <c r="F2" s="50"/>
    </row>
    <row r="3" spans="1:6">
      <c r="A3" s="51"/>
      <c r="B3" s="60" t="s">
        <v>502</v>
      </c>
      <c r="C3" s="65" t="s">
        <v>162</v>
      </c>
      <c r="D3" s="65" t="s">
        <v>485</v>
      </c>
      <c r="E3" s="73" t="s">
        <v>58</v>
      </c>
      <c r="F3" s="52"/>
    </row>
    <row r="4" spans="1:6">
      <c r="A4" s="51"/>
      <c r="B4" s="60" t="s">
        <v>503</v>
      </c>
      <c r="C4" s="65" t="s">
        <v>166</v>
      </c>
      <c r="D4" s="65" t="s">
        <v>485</v>
      </c>
      <c r="E4" s="68" t="s">
        <v>58</v>
      </c>
      <c r="F4" s="52"/>
    </row>
    <row r="5" spans="1:6" ht="16.149999999999999" thickBot="1">
      <c r="A5" s="53"/>
      <c r="B5" s="61" t="s">
        <v>504</v>
      </c>
      <c r="C5" s="66" t="s">
        <v>301</v>
      </c>
      <c r="D5" s="66" t="s">
        <v>505</v>
      </c>
      <c r="E5" s="68" t="s">
        <v>58</v>
      </c>
      <c r="F5" s="54"/>
    </row>
    <row r="6" spans="1:6" ht="16.149999999999999" thickBot="1">
      <c r="B6" s="60"/>
      <c r="C6" s="65"/>
      <c r="D6" s="65"/>
      <c r="E6" s="65"/>
      <c r="F6" s="52"/>
    </row>
    <row r="7" spans="1:6">
      <c r="A7" s="49" t="s">
        <v>479</v>
      </c>
      <c r="B7" s="59" t="s">
        <v>506</v>
      </c>
      <c r="C7" s="64" t="s">
        <v>166</v>
      </c>
      <c r="D7" s="64" t="s">
        <v>487</v>
      </c>
      <c r="E7" s="69" t="s">
        <v>470</v>
      </c>
      <c r="F7" s="50"/>
    </row>
    <row r="8" spans="1:6" ht="16.149999999999999" thickBot="1">
      <c r="A8" s="53"/>
      <c r="B8" s="61" t="s">
        <v>507</v>
      </c>
      <c r="C8" s="66" t="s">
        <v>301</v>
      </c>
      <c r="D8" s="66" t="s">
        <v>505</v>
      </c>
      <c r="E8" s="68" t="s">
        <v>58</v>
      </c>
      <c r="F8" s="54"/>
    </row>
    <row r="9" spans="1:6" ht="16.149999999999999" thickBot="1">
      <c r="B9" s="60"/>
      <c r="C9" s="65"/>
      <c r="D9" s="65"/>
      <c r="E9" s="65"/>
      <c r="F9" s="52"/>
    </row>
    <row r="10" spans="1:6" ht="16.149999999999999" thickBot="1">
      <c r="A10" s="55" t="s">
        <v>493</v>
      </c>
      <c r="B10" s="62" t="s">
        <v>508</v>
      </c>
      <c r="C10" s="67" t="s">
        <v>301</v>
      </c>
      <c r="D10" s="67" t="s">
        <v>505</v>
      </c>
      <c r="E10" s="68" t="s">
        <v>58</v>
      </c>
      <c r="F10" s="56"/>
    </row>
    <row r="11" spans="1:6" ht="16.149999999999999" thickBot="1">
      <c r="B11" s="60"/>
      <c r="C11" s="65"/>
      <c r="D11" s="65"/>
      <c r="E11" s="65"/>
      <c r="F11" s="52"/>
    </row>
    <row r="12" spans="1:6" ht="16.149999999999999" thickBot="1">
      <c r="A12" s="55" t="s">
        <v>497</v>
      </c>
      <c r="B12" s="62" t="s">
        <v>509</v>
      </c>
      <c r="C12" s="67" t="s">
        <v>166</v>
      </c>
      <c r="D12" s="67" t="s">
        <v>487</v>
      </c>
      <c r="E12" s="70" t="s">
        <v>470</v>
      </c>
      <c r="F12" s="56"/>
    </row>
    <row r="13" spans="1:6" ht="16.149999999999999" thickBot="1">
      <c r="B13" s="60"/>
      <c r="C13" s="65"/>
      <c r="D13" s="65"/>
      <c r="E13" s="65"/>
      <c r="F13" s="52"/>
    </row>
    <row r="14" spans="1:6">
      <c r="A14" s="49" t="s">
        <v>466</v>
      </c>
      <c r="B14" s="59" t="s">
        <v>510</v>
      </c>
      <c r="C14" s="64" t="s">
        <v>38</v>
      </c>
      <c r="D14" s="64" t="s">
        <v>511</v>
      </c>
      <c r="E14" s="68" t="s">
        <v>58</v>
      </c>
      <c r="F14" s="50"/>
    </row>
    <row r="15" spans="1:6">
      <c r="A15" s="51"/>
      <c r="B15" s="60" t="s">
        <v>512</v>
      </c>
      <c r="C15" s="65" t="s">
        <v>38</v>
      </c>
      <c r="D15" s="65" t="s">
        <v>511</v>
      </c>
      <c r="E15" s="71" t="s">
        <v>470</v>
      </c>
      <c r="F15" s="52"/>
    </row>
    <row r="16" spans="1:6">
      <c r="A16" s="51"/>
      <c r="B16" s="60" t="s">
        <v>513</v>
      </c>
      <c r="C16" s="65" t="s">
        <v>166</v>
      </c>
      <c r="D16" s="65" t="s">
        <v>511</v>
      </c>
      <c r="E16" s="71" t="s">
        <v>470</v>
      </c>
      <c r="F16" s="52" t="s">
        <v>514</v>
      </c>
    </row>
    <row r="17" spans="1:6">
      <c r="A17" s="51"/>
      <c r="B17" s="60"/>
      <c r="C17" s="65"/>
      <c r="D17" s="65"/>
      <c r="E17" s="65"/>
      <c r="F17" s="52"/>
    </row>
    <row r="18" spans="1:6">
      <c r="A18" s="51"/>
      <c r="B18" s="60" t="s">
        <v>93</v>
      </c>
      <c r="C18" s="65" t="s">
        <v>166</v>
      </c>
      <c r="D18" s="65" t="s">
        <v>391</v>
      </c>
      <c r="E18" s="68" t="s">
        <v>58</v>
      </c>
      <c r="F18" s="52" t="s">
        <v>515</v>
      </c>
    </row>
    <row r="19" spans="1:6">
      <c r="A19" s="51"/>
      <c r="B19" s="60" t="s">
        <v>94</v>
      </c>
      <c r="C19" s="65" t="s">
        <v>166</v>
      </c>
      <c r="D19" s="65" t="s">
        <v>391</v>
      </c>
      <c r="E19" s="76"/>
      <c r="F19" s="52" t="s">
        <v>516</v>
      </c>
    </row>
    <row r="20" spans="1:6">
      <c r="A20" s="51"/>
      <c r="B20" s="60" t="s">
        <v>489</v>
      </c>
      <c r="C20" s="65" t="s">
        <v>166</v>
      </c>
      <c r="D20" s="65" t="s">
        <v>391</v>
      </c>
      <c r="E20" s="76"/>
      <c r="F20" s="52"/>
    </row>
    <row r="21" spans="1:6">
      <c r="A21" s="51"/>
      <c r="B21" s="60" t="s">
        <v>98</v>
      </c>
      <c r="C21" s="65" t="s">
        <v>166</v>
      </c>
      <c r="D21" s="65" t="s">
        <v>391</v>
      </c>
      <c r="E21" s="76"/>
      <c r="F21" s="52" t="s">
        <v>517</v>
      </c>
    </row>
    <row r="22" spans="1:6">
      <c r="A22" s="51"/>
      <c r="B22" s="60" t="s">
        <v>490</v>
      </c>
      <c r="C22" s="65" t="s">
        <v>166</v>
      </c>
      <c r="D22" s="65" t="s">
        <v>391</v>
      </c>
      <c r="E22" s="76"/>
      <c r="F22" s="52"/>
    </row>
    <row r="23" spans="1:6">
      <c r="A23" s="51"/>
      <c r="B23" s="60" t="s">
        <v>111</v>
      </c>
      <c r="C23" s="65" t="s">
        <v>166</v>
      </c>
      <c r="D23" s="65" t="s">
        <v>391</v>
      </c>
      <c r="E23" s="76"/>
      <c r="F23" s="52" t="s">
        <v>518</v>
      </c>
    </row>
    <row r="24" spans="1:6">
      <c r="A24" s="51"/>
      <c r="B24" s="60" t="s">
        <v>99</v>
      </c>
      <c r="C24" s="65" t="s">
        <v>166</v>
      </c>
      <c r="D24" s="65" t="s">
        <v>391</v>
      </c>
      <c r="E24" s="76"/>
      <c r="F24" s="52"/>
    </row>
    <row r="25" spans="1:6">
      <c r="A25" s="51"/>
      <c r="B25" s="60"/>
      <c r="C25" s="65"/>
      <c r="D25" s="65"/>
      <c r="E25" s="65"/>
      <c r="F25" s="52"/>
    </row>
    <row r="26" spans="1:6">
      <c r="A26" s="51"/>
      <c r="B26" s="60" t="s">
        <v>93</v>
      </c>
      <c r="C26" s="65" t="s">
        <v>166</v>
      </c>
      <c r="D26" s="65" t="s">
        <v>519</v>
      </c>
      <c r="E26" s="68" t="s">
        <v>58</v>
      </c>
      <c r="F26" s="52"/>
    </row>
    <row r="27" spans="1:6" ht="16.149999999999999" thickBot="1">
      <c r="A27" s="53"/>
      <c r="B27" s="61" t="s">
        <v>94</v>
      </c>
      <c r="C27" s="66" t="s">
        <v>166</v>
      </c>
      <c r="D27" s="66" t="s">
        <v>519</v>
      </c>
      <c r="E27" s="68" t="s">
        <v>58</v>
      </c>
      <c r="F27" s="5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d59f71-9170-46b4-931a-5cbcb1fcbfcf" xsi:nil="true"/>
    <Notes xmlns="838ae39c-5010-4f29-8146-956ce781b083" xsi:nil="true"/>
    <lcf76f155ced4ddcb4097134ff3c332f xmlns="838ae39c-5010-4f29-8146-956ce781b0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59B486E6B28947BC3E4B73EB621F6B" ma:contentTypeVersion="15" ma:contentTypeDescription="Create a new document." ma:contentTypeScope="" ma:versionID="f61dc92f92b86a91950051b88a159360">
  <xsd:schema xmlns:xsd="http://www.w3.org/2001/XMLSchema" xmlns:xs="http://www.w3.org/2001/XMLSchema" xmlns:p="http://schemas.microsoft.com/office/2006/metadata/properties" xmlns:ns2="28d59f71-9170-46b4-931a-5cbcb1fcbfcf" xmlns:ns3="838ae39c-5010-4f29-8146-956ce781b083" targetNamespace="http://schemas.microsoft.com/office/2006/metadata/properties" ma:root="true" ma:fieldsID="debb7da78d9139c0d5c2e2c06996035b" ns2:_="" ns3:_="">
    <xsd:import namespace="28d59f71-9170-46b4-931a-5cbcb1fcbfcf"/>
    <xsd:import namespace="838ae39c-5010-4f29-8146-956ce781b0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Note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59f71-9170-46b4-931a-5cbcb1fcbfc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7204578-a21f-4c43-94aa-bf9e016e583d}" ma:internalName="TaxCatchAll" ma:showField="CatchAllData" ma:web="28d59f71-9170-46b4-931a-5cbcb1fcb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ae39c-5010-4f29-8146-956ce781b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18" nillable="true" ma:displayName="Notes" ma:format="Dropdown" ma:internalName="Notes">
      <xsd:simpleType>
        <xsd:union memberTypes="dms:Text">
          <xsd:simpleType>
            <xsd:restriction base="dms:Choice">
              <xsd:enumeration value="Working Draft"/>
              <xsd:enumeration value="Submitted NH"/>
            </xsd:restriction>
          </xsd:simpleType>
        </xsd:un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28a49c-346e-40f3-ab4c-d055d90fb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43CE6-669E-450C-95E1-9D92111D77EC}"/>
</file>

<file path=customXml/itemProps2.xml><?xml version="1.0" encoding="utf-8"?>
<ds:datastoreItem xmlns:ds="http://schemas.openxmlformats.org/officeDocument/2006/customXml" ds:itemID="{96D6F674-3DE4-46BB-A063-CA9885979BA2}"/>
</file>

<file path=customXml/itemProps3.xml><?xml version="1.0" encoding="utf-8"?>
<ds:datastoreItem xmlns:ds="http://schemas.openxmlformats.org/officeDocument/2006/customXml" ds:itemID="{F1E78EAF-1EF6-416B-8527-9C247F271C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Minas Kamel</dc:creator>
  <cp:keywords/>
  <dc:description/>
  <cp:lastModifiedBy/>
  <cp:revision/>
  <dcterms:created xsi:type="dcterms:W3CDTF">2025-12-11T00:37:51Z</dcterms:created>
  <dcterms:modified xsi:type="dcterms:W3CDTF">2026-01-28T19:42:09Z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0x010100D659B486E6B28947BC3E4B73EB621F6B</vt:lpwstr>
  </property>
  <property fmtid="{D5CDD505-2E9C-101B-9397-08002B2CF9AE}" pid="3" name="MediaServiceImageTags">
    <vt:lpwstr/>
  </property>
</Properties>
</file>