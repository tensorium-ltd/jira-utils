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Plan" sheetId="1" r:id="rId1"/>
    <sheet name="Capacit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C09]ddd\,\ d\ mmm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U1004"/>
  <sheetViews>
    <sheetView workbookViewId="0" rightToLeft="0"/>
  </sheetViews>
  <sheetData>
    <row r="1">
      <c r="E1" t="str">
        <v>Design Due Dates</v>
      </c>
    </row>
    <row r="2">
      <c r="B2" t="str">
        <v xml:space="preserve">  Workstream</v>
      </c>
      <c r="C2" t="str">
        <v>Owner</v>
      </c>
      <c r="D2" t="str">
        <v>NH upfront clarifcation needed?</v>
      </c>
      <c r="E2" t="str">
        <v xml:space="preserve">PRD (sent to NH for review)   </v>
      </c>
      <c r="F2" t="str">
        <v>NH Sign Off</v>
      </c>
      <c r="G2" t="str">
        <v>VIGO: UI/UX Design</v>
      </c>
      <c r="H2" t="str">
        <v>Internal: UI/UX Design</v>
      </c>
      <c r="I2" t="str">
        <v>SA (Technical Solution Design)</v>
      </c>
      <c r="J2" t="str">
        <v>All Design Activities Due Date</v>
      </c>
      <c r="K2" t="str">
        <v>Epics</v>
      </c>
      <c r="L2" t="str">
        <v>Story Point Estimate for Dev</v>
      </c>
      <c r="M2" t="str">
        <v>Assumed Estimate</v>
      </c>
      <c r="N2" t="str">
        <v>Team Days  (current 25SP/d)</v>
      </c>
      <c r="O2" t="str">
        <v>Team Days (Uplifted 30SP/d)</v>
      </c>
      <c r="P2">
        <v>46038</v>
      </c>
      <c r="Q2">
        <f>P2+1</f>
        <v>46039</v>
      </c>
      <c r="R2">
        <f>Q2+1</f>
        <v>46040</v>
      </c>
      <c r="S2">
        <f>R2+1</f>
        <v>46041</v>
      </c>
      <c r="T2">
        <f>S2+1</f>
        <v>46042</v>
      </c>
      <c r="U2">
        <f>T2+1</f>
        <v>46043</v>
      </c>
      <c r="V2">
        <f>U2+1</f>
        <v>46044</v>
      </c>
      <c r="W2">
        <f>V2+1</f>
        <v>46045</v>
      </c>
      <c r="X2">
        <f>W2+1</f>
        <v>46046</v>
      </c>
      <c r="Y2">
        <f>X2+1</f>
        <v>46047</v>
      </c>
      <c r="Z2">
        <f>Y2+1</f>
        <v>46048</v>
      </c>
      <c r="AA2">
        <f>Z2+1</f>
        <v>46049</v>
      </c>
      <c r="AB2">
        <f>AA2+1</f>
        <v>46050</v>
      </c>
      <c r="AC2">
        <f>AB2+1</f>
        <v>46051</v>
      </c>
      <c r="AD2">
        <f>AC2+1</f>
        <v>46052</v>
      </c>
      <c r="AE2">
        <f>AD2+1</f>
        <v>46053</v>
      </c>
      <c r="AF2">
        <f>AE2+1</f>
        <v>46054</v>
      </c>
      <c r="AG2">
        <f>AF2+1</f>
        <v>46055</v>
      </c>
      <c r="AH2">
        <f>AG2+1</f>
        <v>46056</v>
      </c>
      <c r="AI2">
        <f>AH2+1</f>
        <v>46057</v>
      </c>
      <c r="AJ2">
        <f>AI2+1</f>
        <v>46058</v>
      </c>
      <c r="AK2">
        <f>AJ2+1</f>
        <v>46059</v>
      </c>
      <c r="AL2">
        <f>AK2+1</f>
        <v>46060</v>
      </c>
      <c r="AM2">
        <f>AL2+1</f>
        <v>46061</v>
      </c>
      <c r="AN2">
        <f>AM2+1</f>
        <v>46062</v>
      </c>
      <c r="AO2">
        <f>AN2+1</f>
        <v>46063</v>
      </c>
      <c r="AP2">
        <f>AO2+1</f>
        <v>46064</v>
      </c>
      <c r="AQ2">
        <f>AP2+1</f>
        <v>46065</v>
      </c>
      <c r="AR2">
        <f>AQ2+1</f>
        <v>46066</v>
      </c>
      <c r="AS2">
        <f>AR2+1</f>
        <v>46067</v>
      </c>
      <c r="AT2">
        <f>AS2+1</f>
        <v>46068</v>
      </c>
      <c r="AU2">
        <f>AT2+1</f>
        <v>46069</v>
      </c>
      <c r="AV2">
        <f>AU2+1</f>
        <v>46070</v>
      </c>
      <c r="AW2">
        <f>AV2+1</f>
        <v>46071</v>
      </c>
      <c r="AX2">
        <f>AW2+1</f>
        <v>46072</v>
      </c>
      <c r="AY2">
        <f>AX2+1</f>
        <v>46073</v>
      </c>
      <c r="AZ2">
        <f>AY2+1</f>
        <v>46074</v>
      </c>
      <c r="BA2">
        <f>AZ2+1</f>
        <v>46075</v>
      </c>
      <c r="BB2">
        <f>BA2+1</f>
        <v>46076</v>
      </c>
      <c r="BC2">
        <f>BB2+1</f>
        <v>46077</v>
      </c>
      <c r="BD2">
        <f>BC2+1</f>
        <v>46078</v>
      </c>
      <c r="BE2">
        <f>BD2+1</f>
        <v>46079</v>
      </c>
      <c r="BF2">
        <f>BE2+1</f>
        <v>46080</v>
      </c>
      <c r="BG2">
        <f>BF2+1</f>
        <v>46081</v>
      </c>
      <c r="BH2">
        <f>BG2+1</f>
        <v>46082</v>
      </c>
      <c r="BI2">
        <f>BH2+1</f>
        <v>46083</v>
      </c>
      <c r="BJ2">
        <f>BI2+1</f>
        <v>46084</v>
      </c>
      <c r="BK2">
        <f>BJ2+1</f>
        <v>46085</v>
      </c>
      <c r="BL2">
        <f>BK2+1</f>
        <v>46086</v>
      </c>
      <c r="BM2">
        <f>BL2+1</f>
        <v>46087</v>
      </c>
      <c r="BN2">
        <f>BM2+1</f>
        <v>46088</v>
      </c>
      <c r="BO2">
        <f>BN2+1</f>
        <v>46089</v>
      </c>
      <c r="BP2">
        <f>BO2+1</f>
        <v>46090</v>
      </c>
      <c r="BQ2">
        <f>BP2+1</f>
        <v>46091</v>
      </c>
      <c r="BR2">
        <f>BQ2+1</f>
        <v>46092</v>
      </c>
      <c r="BS2">
        <f>BR2+1</f>
        <v>46093</v>
      </c>
      <c r="BT2">
        <f>BS2+1</f>
        <v>46094</v>
      </c>
      <c r="BU2">
        <f>BT2+1</f>
        <v>46095</v>
      </c>
      <c r="BV2">
        <f>BU2+1</f>
        <v>46096</v>
      </c>
      <c r="BW2">
        <f>BV2+1</f>
        <v>46097</v>
      </c>
      <c r="BX2">
        <f>BW2+1</f>
        <v>46098</v>
      </c>
      <c r="BY2">
        <f>BX2+1</f>
        <v>46099</v>
      </c>
      <c r="BZ2">
        <f>BY2+1</f>
        <v>46100</v>
      </c>
      <c r="CA2">
        <f>BZ2+1</f>
        <v>46101</v>
      </c>
      <c r="CB2">
        <f>CA2+1</f>
        <v>46102</v>
      </c>
      <c r="CC2">
        <f>CB2+1</f>
        <v>46103</v>
      </c>
      <c r="CD2">
        <f>CC2+1</f>
        <v>46104</v>
      </c>
      <c r="CE2">
        <f>CD2+1</f>
        <v>46105</v>
      </c>
      <c r="CF2">
        <f>CE2+1</f>
        <v>46106</v>
      </c>
      <c r="CG2">
        <f>CF2+1</f>
        <v>46107</v>
      </c>
      <c r="CH2">
        <f>CG2+1</f>
        <v>46108</v>
      </c>
      <c r="CI2">
        <f>CH2+1</f>
        <v>46109</v>
      </c>
      <c r="CJ2">
        <f>CI2+1</f>
        <v>46110</v>
      </c>
      <c r="CK2">
        <f>CJ2+1</f>
        <v>46111</v>
      </c>
      <c r="CL2">
        <f>CK2+1</f>
        <v>46112</v>
      </c>
      <c r="CM2">
        <f>CL2+1</f>
        <v>46113</v>
      </c>
      <c r="CN2">
        <f>CM2+1</f>
        <v>46114</v>
      </c>
      <c r="CO2">
        <f>CN2+1</f>
        <v>46115</v>
      </c>
      <c r="CP2">
        <f>CO2+1</f>
        <v>46116</v>
      </c>
      <c r="CQ2">
        <f>CP2+1</f>
        <v>46117</v>
      </c>
      <c r="CR2">
        <f>CQ2+1</f>
        <v>46118</v>
      </c>
      <c r="CS2">
        <f>CR2+1</f>
        <v>46119</v>
      </c>
      <c r="CT2">
        <f>CS2+1</f>
        <v>46120</v>
      </c>
      <c r="CU2">
        <f>CT2+1</f>
        <v>46121</v>
      </c>
      <c r="CV2">
        <f>CU2+1</f>
        <v>46122</v>
      </c>
      <c r="CW2">
        <f>CV2+1</f>
        <v>46123</v>
      </c>
      <c r="CX2">
        <f>CW2+1</f>
        <v>46124</v>
      </c>
      <c r="CY2">
        <f>CX2+1</f>
        <v>46125</v>
      </c>
      <c r="CZ2">
        <f>CY2+1</f>
        <v>46126</v>
      </c>
      <c r="DA2">
        <f>CZ2+1</f>
        <v>46127</v>
      </c>
      <c r="DB2">
        <f>DA2+1</f>
        <v>46128</v>
      </c>
      <c r="DC2">
        <f>DB2+1</f>
        <v>46129</v>
      </c>
      <c r="DD2">
        <f>DC2+1</f>
        <v>46130</v>
      </c>
      <c r="DE2">
        <f>DD2+1</f>
        <v>46131</v>
      </c>
      <c r="DF2">
        <f>DE2+1</f>
        <v>46132</v>
      </c>
      <c r="DG2">
        <f>DF2+1</f>
        <v>46133</v>
      </c>
      <c r="DH2">
        <f>DG2+1</f>
        <v>46134</v>
      </c>
      <c r="DI2">
        <f>DH2+1</f>
        <v>46135</v>
      </c>
      <c r="DJ2">
        <f>DI2+1</f>
        <v>46136</v>
      </c>
      <c r="DK2">
        <f>DJ2+1</f>
        <v>46137</v>
      </c>
      <c r="DL2">
        <f>DK2+1</f>
        <v>46138</v>
      </c>
      <c r="DM2">
        <f>DL2+1</f>
        <v>46139</v>
      </c>
      <c r="DN2">
        <f>DM2+1</f>
        <v>46140</v>
      </c>
      <c r="DO2">
        <f>DN2+1</f>
        <v>46141</v>
      </c>
      <c r="DP2">
        <f>DO2+1</f>
        <v>46142</v>
      </c>
      <c r="DQ2">
        <f>DP2+1</f>
        <v>46143</v>
      </c>
      <c r="DR2">
        <f>DQ2+1</f>
        <v>46144</v>
      </c>
      <c r="DS2">
        <f>DR2+1</f>
        <v>46145</v>
      </c>
      <c r="DT2">
        <f>DS2+1</f>
        <v>46146</v>
      </c>
      <c r="DU2">
        <f>DT2+1</f>
        <v>46147</v>
      </c>
      <c r="DV2">
        <f>DU2+1</f>
        <v>46148</v>
      </c>
      <c r="DW2">
        <f>DV2+1</f>
        <v>46149</v>
      </c>
      <c r="DX2">
        <f>DW2+1</f>
        <v>46150</v>
      </c>
      <c r="DY2">
        <f>DX2+1</f>
        <v>46151</v>
      </c>
      <c r="DZ2">
        <f>DY2+1</f>
        <v>46152</v>
      </c>
      <c r="EA2">
        <f>DZ2+1</f>
        <v>46153</v>
      </c>
      <c r="EB2">
        <f>EA2+1</f>
        <v>46154</v>
      </c>
      <c r="EC2">
        <f>EB2+1</f>
        <v>46155</v>
      </c>
      <c r="ED2">
        <f>EC2+1</f>
        <v>46156</v>
      </c>
      <c r="EE2">
        <f>ED2+1</f>
        <v>46157</v>
      </c>
      <c r="EF2">
        <f>EE2+1</f>
        <v>46158</v>
      </c>
      <c r="EG2">
        <f>EF2+1</f>
        <v>46159</v>
      </c>
      <c r="EH2">
        <f>EG2+1</f>
        <v>46160</v>
      </c>
      <c r="EI2">
        <f>EH2+1</f>
        <v>46161</v>
      </c>
      <c r="EJ2">
        <f>EI2+1</f>
        <v>46162</v>
      </c>
      <c r="EK2">
        <f>EJ2+1</f>
        <v>46163</v>
      </c>
      <c r="EL2">
        <f>EK2+1</f>
        <v>46164</v>
      </c>
      <c r="EM2">
        <f>EL2+1</f>
        <v>46165</v>
      </c>
      <c r="EN2">
        <f>EM2+1</f>
        <v>46166</v>
      </c>
      <c r="EO2">
        <f>EN2+1</f>
        <v>46167</v>
      </c>
      <c r="EP2">
        <f>EO2+1</f>
        <v>46168</v>
      </c>
      <c r="EQ2">
        <f>EP2+1</f>
        <v>46169</v>
      </c>
      <c r="ER2">
        <f>EQ2+1</f>
        <v>46170</v>
      </c>
      <c r="ES2">
        <f>ER2+1</f>
        <v>46171</v>
      </c>
    </row>
    <row r="3">
      <c r="B3" t="str">
        <v>Estimate Build – Carbon</v>
      </c>
      <c r="C3" t="str">
        <v>Venkatesh &amp; Funsho</v>
      </c>
      <c r="E3">
        <v>46015</v>
      </c>
      <c r="F3">
        <v>46021</v>
      </c>
      <c r="G3">
        <v>46038</v>
      </c>
      <c r="H3" t="str">
        <v>N/A</v>
      </c>
      <c r="I3">
        <f>G3+7</f>
        <v>46045</v>
      </c>
      <c r="J3">
        <f>I3</f>
        <v>46045</v>
      </c>
      <c r="K3" t="str">
        <v>VER10-8954, VER10-9428, VER10-9464, VER10-9527, VER10-9523</v>
      </c>
      <c r="L3">
        <v>575</v>
      </c>
      <c r="M3" t="str">
        <v xml:space="preserve"> </v>
      </c>
      <c r="N3">
        <f>SUM(L3:M3) / Capacity!$B$2</f>
        <v>23</v>
      </c>
      <c r="O3">
        <f>SUM(L3:M3)/Capacity!$B$3</f>
        <v>19.166666666666668</v>
      </c>
      <c r="AU3">
        <v>1</v>
      </c>
      <c r="AV3">
        <v>1</v>
      </c>
      <c r="AW3">
        <v>1</v>
      </c>
      <c r="AX3">
        <v>1</v>
      </c>
      <c r="AY3">
        <v>1</v>
      </c>
      <c r="BB3">
        <v>1</v>
      </c>
      <c r="BC3">
        <v>1</v>
      </c>
      <c r="BD3">
        <v>1</v>
      </c>
      <c r="BE3">
        <v>1</v>
      </c>
      <c r="BF3">
        <v>1</v>
      </c>
      <c r="BI3">
        <v>1</v>
      </c>
      <c r="BJ3">
        <v>1</v>
      </c>
      <c r="BK3">
        <v>1</v>
      </c>
      <c r="BL3">
        <v>1</v>
      </c>
      <c r="BM3">
        <v>1</v>
      </c>
      <c r="BP3">
        <v>1</v>
      </c>
      <c r="BQ3">
        <v>1</v>
      </c>
      <c r="BR3">
        <v>1</v>
      </c>
      <c r="BS3">
        <v>1</v>
      </c>
      <c r="BT3">
        <v>1</v>
      </c>
      <c r="BW3">
        <v>1</v>
      </c>
      <c r="BX3">
        <v>1</v>
      </c>
      <c r="BY3">
        <v>1</v>
      </c>
    </row>
    <row r="4">
      <c r="B4" t="str">
        <v xml:space="preserve"> Interim Forecasting Tool</v>
      </c>
      <c r="C4" t="str">
        <v>Venkatesh</v>
      </c>
      <c r="E4">
        <v>46031</v>
      </c>
      <c r="F4">
        <v>46035</v>
      </c>
      <c r="G4">
        <v>46043</v>
      </c>
      <c r="H4" t="str">
        <v>N/A</v>
      </c>
      <c r="I4">
        <f>G4+7</f>
        <v>46050</v>
      </c>
      <c r="J4">
        <f>I4</f>
        <v>46050</v>
      </c>
      <c r="K4" t="str">
        <v xml:space="preserve">VER10-8678, VER10-8680, VER10-8682, VER10-8858,, VER10-8679, VER10-8921, VER10-9049,, VER10-9128, </v>
      </c>
      <c r="L4">
        <v>177</v>
      </c>
      <c r="M4" t="str">
        <v xml:space="preserve"> </v>
      </c>
      <c r="N4">
        <f>SUM(L4:M4) / Capacity!$B$2</f>
        <v>7.08</v>
      </c>
      <c r="O4">
        <f>SUM(L4:M4)/Capacity!$B$3</f>
        <v>5.9</v>
      </c>
      <c r="CN4">
        <v>1</v>
      </c>
      <c r="CO4">
        <v>1</v>
      </c>
      <c r="CR4">
        <v>1</v>
      </c>
      <c r="CS4">
        <v>1</v>
      </c>
      <c r="CT4">
        <v>1</v>
      </c>
      <c r="CU4">
        <v>1</v>
      </c>
      <c r="CV4">
        <v>1</v>
      </c>
      <c r="CY4">
        <v>1</v>
      </c>
    </row>
    <row r="5">
      <c r="B5" t="str">
        <v xml:space="preserve"> Long-Term Appraisal</v>
      </c>
      <c r="C5" t="str">
        <v>Funsho</v>
      </c>
      <c r="E5" t="str">
        <v>Fri 12 Dec 2025 (Done on time)</v>
      </c>
      <c r="F5">
        <v>46008</v>
      </c>
      <c r="G5">
        <v>46037</v>
      </c>
      <c r="H5" t="str">
        <v>N/A</v>
      </c>
      <c r="I5">
        <f>G5+7</f>
        <v>46044</v>
      </c>
      <c r="J5">
        <f>I5</f>
        <v>46044</v>
      </c>
      <c r="K5" t="str">
        <v>VER10-8565</v>
      </c>
      <c r="L5">
        <v>260</v>
      </c>
      <c r="M5" t="str">
        <v xml:space="preserve"> </v>
      </c>
      <c r="N5">
        <f>SUM(L5:M5) / Capacity!$B$2</f>
        <v>10.4</v>
      </c>
      <c r="O5">
        <f>SUM(L5:M5)/Capacity!$B$3</f>
        <v>8.666666666666666</v>
      </c>
      <c r="W5">
        <v>1</v>
      </c>
      <c r="Z5">
        <v>1</v>
      </c>
      <c r="AA5">
        <v>1</v>
      </c>
      <c r="AB5">
        <v>1</v>
      </c>
      <c r="AC5">
        <v>1</v>
      </c>
      <c r="AD5">
        <v>1</v>
      </c>
      <c r="AG5">
        <v>1</v>
      </c>
      <c r="AH5">
        <v>1</v>
      </c>
      <c r="AI5">
        <v>1</v>
      </c>
      <c r="AJ5">
        <v>1</v>
      </c>
      <c r="AK5">
        <v>1</v>
      </c>
    </row>
    <row r="6">
      <c r="B6" t="str">
        <v xml:space="preserve">Comparator </v>
      </c>
      <c r="C6" t="str">
        <v>Funsho</v>
      </c>
      <c r="D6" t="str">
        <v>Y</v>
      </c>
      <c r="E6">
        <v>46010</v>
      </c>
      <c r="F6">
        <v>46015</v>
      </c>
      <c r="G6">
        <v>46037</v>
      </c>
      <c r="H6" t="str">
        <v>N/A</v>
      </c>
      <c r="I6">
        <f>G6+7</f>
        <v>46044</v>
      </c>
      <c r="J6">
        <f>I6</f>
        <v>46044</v>
      </c>
      <c r="K6" t="str">
        <v>VER10-8953</v>
      </c>
      <c r="L6">
        <v>120</v>
      </c>
      <c r="M6" t="str">
        <v xml:space="preserve"> </v>
      </c>
      <c r="N6">
        <f>SUM(L6:M6) / Capacity!$B$2</f>
        <v>4.8</v>
      </c>
      <c r="O6">
        <f>SUM(L6:M6)/Capacity!$B$3</f>
        <v>4</v>
      </c>
      <c r="AN6">
        <v>1</v>
      </c>
      <c r="AO6">
        <v>1</v>
      </c>
      <c r="AP6">
        <v>1</v>
      </c>
      <c r="AQ6">
        <v>1</v>
      </c>
      <c r="AR6">
        <v>1</v>
      </c>
    </row>
    <row r="7">
      <c r="B7" t="str">
        <v xml:space="preserve">Workflow </v>
      </c>
      <c r="C7" t="str">
        <v>Funsho</v>
      </c>
      <c r="D7" t="str">
        <v>Y</v>
      </c>
      <c r="E7" t="str">
        <v>Tue 16 Dec 2025 (delayed)</v>
      </c>
      <c r="F7">
        <v>46010</v>
      </c>
      <c r="G7" t="str">
        <v>N/A</v>
      </c>
      <c r="H7">
        <v>46031</v>
      </c>
      <c r="I7">
        <f>H7+7</f>
        <v>46038</v>
      </c>
      <c r="J7">
        <f>I7</f>
        <v>46038</v>
      </c>
      <c r="K7" t="str">
        <v>VER10-9028</v>
      </c>
      <c r="L7">
        <v>35</v>
      </c>
      <c r="M7" t="str">
        <v xml:space="preserve"> </v>
      </c>
      <c r="N7">
        <f>SUM(L7:M7) / Capacity!$B$2</f>
        <v>1.4</v>
      </c>
      <c r="O7">
        <f>SUM(L7:M7)/Capacity!$B$3</f>
        <v>1.1666666666666667</v>
      </c>
      <c r="P7">
        <v>1</v>
      </c>
      <c r="S7">
        <v>1</v>
      </c>
    </row>
    <row r="8">
      <c r="B8" t="str">
        <v>Tasks</v>
      </c>
      <c r="C8" t="str">
        <v>Funsho</v>
      </c>
      <c r="E8" t="str">
        <v>Tue 16 Dec 2025 (delayed)</v>
      </c>
      <c r="F8">
        <v>46010</v>
      </c>
      <c r="G8" t="str">
        <v>N/A</v>
      </c>
      <c r="H8">
        <v>46031</v>
      </c>
      <c r="I8">
        <f>H8+7</f>
        <v>46038</v>
      </c>
      <c r="J8">
        <f>I8</f>
        <v>46038</v>
      </c>
      <c r="K8" t="str">
        <v>VER10-9027</v>
      </c>
      <c r="L8">
        <v>40</v>
      </c>
      <c r="M8" t="str">
        <v xml:space="preserve"> </v>
      </c>
      <c r="N8">
        <f>SUM(L8:M8) / Capacity!$B$2</f>
        <v>1.6</v>
      </c>
      <c r="O8">
        <f>SUM(L8:M8)/Capacity!$B$3</f>
        <v>1.3333333333333333</v>
      </c>
      <c r="T8">
        <v>1</v>
      </c>
      <c r="U8">
        <v>1</v>
      </c>
    </row>
    <row r="9">
      <c r="B9" t="str">
        <v>Portfolio/Programme Risk</v>
      </c>
      <c r="C9" t="str">
        <v>Funsho</v>
      </c>
      <c r="E9" t="str">
        <v>Fri 12 Dec 2025 (Done on time)</v>
      </c>
      <c r="F9">
        <v>46008</v>
      </c>
      <c r="G9">
        <v>46044</v>
      </c>
      <c r="H9" t="str">
        <v>N/A</v>
      </c>
      <c r="I9">
        <f>G9+7</f>
        <v>46051</v>
      </c>
      <c r="J9">
        <f>I9</f>
        <v>46051</v>
      </c>
      <c r="K9" t="str">
        <v>VER10-9494</v>
      </c>
      <c r="L9">
        <v>80</v>
      </c>
      <c r="M9" t="str">
        <v xml:space="preserve"> </v>
      </c>
      <c r="N9">
        <f>SUM(L9:M9) / Capacity!$B$2</f>
        <v>3.2</v>
      </c>
      <c r="O9">
        <f>SUM(L9:M9)/Capacity!$B$3</f>
        <v>2.6666666666666665</v>
      </c>
      <c r="CZ9">
        <v>1</v>
      </c>
      <c r="DA9">
        <v>1</v>
      </c>
      <c r="DB9">
        <v>1</v>
      </c>
      <c r="DC9">
        <v>1</v>
      </c>
    </row>
    <row r="10">
      <c r="I10" t="str">
        <v xml:space="preserve"> </v>
      </c>
      <c r="J10" t="str">
        <f>I10</f>
        <v xml:space="preserve"> </v>
      </c>
      <c r="N10">
        <f>SUM(L10:M10) / Capacity!$B$2</f>
        <v>0</v>
      </c>
      <c r="O10">
        <f>SUM(L10:M10)/Capacity!$B$3</f>
        <v>0</v>
      </c>
    </row>
    <row r="11">
      <c r="B11" t="str">
        <v>Calculators/Cost Models (Chapter 10)</v>
      </c>
      <c r="C11" t="str">
        <v>Minas</v>
      </c>
      <c r="E11">
        <v>46009</v>
      </c>
      <c r="F11">
        <v>46015</v>
      </c>
      <c r="G11" t="str">
        <v>N/A</v>
      </c>
      <c r="H11">
        <v>46031</v>
      </c>
      <c r="I11">
        <f>H11+7</f>
        <v>46038</v>
      </c>
      <c r="J11">
        <f>I11</f>
        <v>46038</v>
      </c>
      <c r="K11" t="str">
        <v>No Epic</v>
      </c>
      <c r="L11">
        <v>20</v>
      </c>
      <c r="M11" t="str">
        <v xml:space="preserve"> </v>
      </c>
      <c r="N11">
        <f>SUM(L11:M11) / Capacity!$B$2</f>
        <v>0.8</v>
      </c>
      <c r="O11">
        <f>SUM(L11:M11)/Capacity!$B$3</f>
        <v>0.6666666666666666</v>
      </c>
      <c r="V11">
        <v>1</v>
      </c>
    </row>
    <row r="12">
      <c r="B12" t="str">
        <v>Scenario Analysis (Chapter 7)</v>
      </c>
      <c r="C12" t="str">
        <v>Funsho</v>
      </c>
      <c r="E12" t="str">
        <v>?</v>
      </c>
      <c r="G12">
        <v>46051</v>
      </c>
      <c r="H12" t="str">
        <v>N/A</v>
      </c>
      <c r="I12">
        <f>G12+7</f>
        <v>46058</v>
      </c>
      <c r="J12">
        <f>I12</f>
        <v>46058</v>
      </c>
      <c r="K12" t="str">
        <v>VER10-8958</v>
      </c>
      <c r="L12">
        <v>140</v>
      </c>
      <c r="M12" t="str">
        <v xml:space="preserve"> </v>
      </c>
      <c r="N12">
        <f>SUM(L12:M12) / Capacity!$B$2</f>
        <v>5.6</v>
      </c>
      <c r="O12">
        <f>SUM(L12:M12)/Capacity!$B$3</f>
        <v>4.666666666666667</v>
      </c>
      <c r="DF12">
        <v>1</v>
      </c>
      <c r="DG12">
        <v>1</v>
      </c>
      <c r="DH12">
        <v>1</v>
      </c>
      <c r="DI12">
        <v>1</v>
      </c>
      <c r="DJ12">
        <v>1</v>
      </c>
      <c r="DM12">
        <v>1</v>
      </c>
    </row>
    <row r="13">
      <c r="B13" t="str">
        <v>Star Rates</v>
      </c>
      <c r="C13" t="str">
        <v>Funsho</v>
      </c>
      <c r="E13" t="str">
        <v>?</v>
      </c>
      <c r="G13" t="str">
        <v>N/A</v>
      </c>
      <c r="H13">
        <v>46038</v>
      </c>
      <c r="I13">
        <f>H13+7</f>
        <v>46045</v>
      </c>
      <c r="J13">
        <f>I13</f>
        <v>46045</v>
      </c>
      <c r="K13" t="str">
        <v>No Epic</v>
      </c>
      <c r="L13">
        <v>90</v>
      </c>
      <c r="M13" t="str">
        <v xml:space="preserve"> </v>
      </c>
      <c r="N13">
        <f>SUM(L13:M13) / Capacity!$B$2</f>
        <v>3.6</v>
      </c>
      <c r="O13">
        <f>SUM(L13:M13)/Capacity!$B$3</f>
        <v>3</v>
      </c>
      <c r="BZ13">
        <v>1</v>
      </c>
      <c r="CA13">
        <v>1</v>
      </c>
      <c r="CD13">
        <v>1</v>
      </c>
      <c r="CE13">
        <v>1</v>
      </c>
    </row>
    <row r="14">
      <c r="B14" t="str">
        <v>TPE</v>
      </c>
      <c r="C14" t="str">
        <v>Venkatesh</v>
      </c>
      <c r="E14">
        <v>46045</v>
      </c>
      <c r="F14">
        <v>46050</v>
      </c>
      <c r="G14">
        <v>46059</v>
      </c>
      <c r="H14" t="str">
        <v>N/A</v>
      </c>
      <c r="I14">
        <f>G14+7</f>
        <v>46066</v>
      </c>
      <c r="J14">
        <f>I14</f>
        <v>46066</v>
      </c>
      <c r="K14" t="str">
        <v>VER10-9184</v>
      </c>
      <c r="L14">
        <v>350</v>
      </c>
      <c r="M14" t="str">
        <v xml:space="preserve"> </v>
      </c>
      <c r="N14">
        <f>SUM(L14:M14) / Capacity!$B$2</f>
        <v>14</v>
      </c>
      <c r="O14">
        <f>SUM(L14:M14)/Capacity!$B$3</f>
        <v>11.666666666666666</v>
      </c>
      <c r="DP14">
        <v>1</v>
      </c>
      <c r="DQ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H14">
        <v>1</v>
      </c>
      <c r="EI14">
        <v>1</v>
      </c>
    </row>
    <row r="15">
      <c r="B15" t="str">
        <v>Dashboards (Power BI)</v>
      </c>
      <c r="C15" t="str">
        <v>Minas</v>
      </c>
      <c r="E15">
        <v>46015</v>
      </c>
      <c r="F15">
        <v>46022</v>
      </c>
      <c r="G15">
        <v>46051</v>
      </c>
      <c r="H15" t="str">
        <v>N/A</v>
      </c>
      <c r="I15">
        <f>G15+7</f>
        <v>46058</v>
      </c>
      <c r="J15">
        <f>I15</f>
        <v>46058</v>
      </c>
      <c r="K15" t="str">
        <v>No Epic</v>
      </c>
      <c r="L15">
        <v>40</v>
      </c>
      <c r="M15" t="str">
        <v xml:space="preserve"> </v>
      </c>
      <c r="N15">
        <f>SUM(L15:M15) / Capacity!$B$2</f>
        <v>1.6</v>
      </c>
      <c r="O15">
        <f>SUM(L15:M15)/Capacity!$B$3</f>
        <v>1.3333333333333333</v>
      </c>
      <c r="DN15">
        <v>1</v>
      </c>
      <c r="DO15">
        <v>1</v>
      </c>
    </row>
    <row r="16">
      <c r="B16" t="str">
        <v>Contractor Fee Library</v>
      </c>
      <c r="C16" t="str">
        <v>Minas</v>
      </c>
      <c r="E16">
        <v>46031</v>
      </c>
      <c r="F16">
        <v>46036</v>
      </c>
      <c r="G16" t="str">
        <v>N/A</v>
      </c>
      <c r="H16">
        <v>46038</v>
      </c>
      <c r="I16">
        <f>H16+7</f>
        <v>46045</v>
      </c>
      <c r="J16">
        <f>I16</f>
        <v>46045</v>
      </c>
      <c r="K16" t="str">
        <v>VER10-9271</v>
      </c>
      <c r="L16">
        <v>90</v>
      </c>
      <c r="M16" t="str">
        <v xml:space="preserve"> </v>
      </c>
      <c r="N16">
        <f>SUM(L16:M16) / Capacity!$B$2</f>
        <v>3.6</v>
      </c>
      <c r="O16">
        <f>SUM(L16:M16)/Capacity!$B$3</f>
        <v>3</v>
      </c>
      <c r="CF16">
        <v>1</v>
      </c>
      <c r="CG16">
        <v>1</v>
      </c>
      <c r="CH16">
        <v>1</v>
      </c>
      <c r="CK16">
        <v>1</v>
      </c>
    </row>
    <row r="17">
      <c r="B17" t="str">
        <v>System Access</v>
      </c>
      <c r="C17" t="str">
        <v>Minas</v>
      </c>
      <c r="E17">
        <v>46038</v>
      </c>
      <c r="F17" t="str">
        <v>N/A</v>
      </c>
      <c r="G17" t="str">
        <v>N/A</v>
      </c>
      <c r="H17">
        <v>46038</v>
      </c>
      <c r="I17">
        <f>H17+7</f>
        <v>46045</v>
      </c>
      <c r="J17">
        <f>I17</f>
        <v>46045</v>
      </c>
      <c r="K17" t="str">
        <v>No Epic</v>
      </c>
      <c r="L17">
        <v>40</v>
      </c>
      <c r="M17" t="str">
        <v xml:space="preserve"> </v>
      </c>
      <c r="N17">
        <f>SUM(L17:M17) / Capacity!$B$2</f>
        <v>1.6</v>
      </c>
      <c r="O17">
        <f>SUM(L17:M17)/Capacity!$B$3</f>
        <v>1.3333333333333333</v>
      </c>
      <c r="CL17">
        <v>1</v>
      </c>
      <c r="CM17">
        <v>1</v>
      </c>
    </row>
    <row r="18">
      <c r="B18" t="str">
        <v>EPD</v>
      </c>
      <c r="C18" t="str">
        <v>Minas</v>
      </c>
      <c r="E18" t="str">
        <v>?</v>
      </c>
      <c r="F18" t="str">
        <v>?</v>
      </c>
      <c r="G18" t="str">
        <v>?</v>
      </c>
      <c r="H18" t="str">
        <v>?</v>
      </c>
      <c r="I18" t="str">
        <v>?</v>
      </c>
      <c r="K18" t="str">
        <v>VER10-8959</v>
      </c>
      <c r="L18" t="str">
        <v>Need Estimate</v>
      </c>
      <c r="M18" t="str">
        <v xml:space="preserve"> </v>
      </c>
      <c r="N18">
        <f>SUM(L18:M18) / Capacity!$B$2</f>
        <v>0</v>
      </c>
      <c r="O18">
        <f>SUM(L18:M18)/Capacity!$B$3</f>
        <v>0</v>
      </c>
      <c r="BM18">
        <v>1</v>
      </c>
    </row>
    <row r="19">
      <c r="B19" t="str">
        <v>Audit Log</v>
      </c>
      <c r="C19" t="str">
        <v>Minas</v>
      </c>
      <c r="E19" t="str">
        <v>?</v>
      </c>
      <c r="F19" t="str">
        <v>?</v>
      </c>
      <c r="G19" t="str">
        <v>?</v>
      </c>
      <c r="H19" t="str">
        <v>?</v>
      </c>
      <c r="I19" t="str">
        <v>?</v>
      </c>
      <c r="K19" t="str">
        <v>VER10-8955</v>
      </c>
      <c r="L19">
        <v>10</v>
      </c>
      <c r="M19" t="str">
        <v xml:space="preserve"> </v>
      </c>
      <c r="N19">
        <f>SUM(L19:M19) / Capacity!$B$2</f>
        <v>0.4</v>
      </c>
      <c r="O19">
        <f>SUM(L19:M19)/Capacity!$B$3</f>
        <v>0.3333333333333333</v>
      </c>
      <c r="EJ19">
        <v>1</v>
      </c>
    </row>
    <row r="20">
      <c r="B20" t="str">
        <v>WBS Tags and Custom Fields</v>
      </c>
      <c r="C20" t="str">
        <v>Funsho</v>
      </c>
      <c r="E20" t="str">
        <v>Done</v>
      </c>
      <c r="F20" t="str">
        <v>Done</v>
      </c>
      <c r="G20" t="str">
        <v>Done</v>
      </c>
      <c r="H20" t="str">
        <v>Done</v>
      </c>
      <c r="I20" t="str">
        <v>Done</v>
      </c>
      <c r="J20" t="str">
        <v>Done</v>
      </c>
      <c r="K20" t="str">
        <v>VER10-8916, VER10-8268</v>
      </c>
      <c r="L20" t="str">
        <v>Need Estimate</v>
      </c>
      <c r="M20" t="str">
        <v xml:space="preserve"> </v>
      </c>
      <c r="N20">
        <f>SUM(L20:M20) / Capacity!$B$2</f>
        <v>0</v>
      </c>
      <c r="O20">
        <f>SUM(L20:M20)/Capacity!$B$3</f>
        <v>0</v>
      </c>
      <c r="BO20" t="str">
        <v xml:space="preserve"> </v>
      </c>
      <c r="BQ20">
        <v>1</v>
      </c>
      <c r="CC20" t="str">
        <v xml:space="preserve"> </v>
      </c>
      <c r="CE20">
        <v>1</v>
      </c>
      <c r="CX20" t="str">
        <v xml:space="preserve"> </v>
      </c>
      <c r="CZ20">
        <v>1</v>
      </c>
      <c r="DS20" t="str">
        <v xml:space="preserve"> </v>
      </c>
      <c r="DU20">
        <v>1</v>
      </c>
      <c r="EG20" t="str">
        <v xml:space="preserve"> </v>
      </c>
      <c r="EI20">
        <v>1</v>
      </c>
    </row>
    <row r="21">
      <c r="B21" t="str">
        <v>Reporting Foundation Admin</v>
      </c>
      <c r="C21" t="str">
        <v>Funsho</v>
      </c>
      <c r="E21" t="str">
        <v>Done</v>
      </c>
      <c r="F21" t="str">
        <v>Done</v>
      </c>
      <c r="G21" t="str">
        <v>Done</v>
      </c>
      <c r="H21" t="str">
        <v>Done</v>
      </c>
      <c r="I21" t="str">
        <v>Done</v>
      </c>
      <c r="J21" t="str">
        <v>Done</v>
      </c>
      <c r="K21" t="str">
        <v>VER10-8476</v>
      </c>
      <c r="L21">
        <v>19</v>
      </c>
      <c r="M21" t="str">
        <v xml:space="preserve"> </v>
      </c>
      <c r="N21">
        <f>SUM(L21:M21) / Capacity!$B$2</f>
        <v>0.76</v>
      </c>
      <c r="O21">
        <f>SUM(L21:M21)/Capacity!$B$3</f>
        <v>0.6333333333333333</v>
      </c>
      <c r="EK21">
        <v>1</v>
      </c>
    </row>
    <row r="22">
      <c r="B22" t="str">
        <v>Inflation</v>
      </c>
      <c r="C22" t="str">
        <v>Funsho</v>
      </c>
      <c r="E22" t="str">
        <v>Done</v>
      </c>
      <c r="F22" t="str">
        <v>Done</v>
      </c>
      <c r="G22" t="str">
        <v>Done</v>
      </c>
      <c r="H22" t="str">
        <v>Done</v>
      </c>
      <c r="I22" t="str">
        <v>Done</v>
      </c>
      <c r="J22" t="str">
        <v>Done</v>
      </c>
      <c r="K22" t="str">
        <v>VER10-8903, VER10-8570</v>
      </c>
      <c r="L22">
        <v>41</v>
      </c>
      <c r="M22" t="str">
        <v xml:space="preserve"> </v>
      </c>
      <c r="N22">
        <f>SUM(L22:M22) / Capacity!$B$2</f>
        <v>1.64</v>
      </c>
      <c r="O22">
        <f>SUM(L22:M22)/Capacity!$B$3</f>
        <v>1.3666666666666667</v>
      </c>
      <c r="EL22">
        <v>1</v>
      </c>
      <c r="EO22">
        <v>1</v>
      </c>
    </row>
    <row r="23">
      <c r="N23">
        <f>SUM(L23:M23) / Capacity!$B$2</f>
        <v>0</v>
      </c>
      <c r="O23">
        <f>SUM(L23:M23)/Capacity!$B$3</f>
        <v>0</v>
      </c>
      <c r="BW23">
        <v>1</v>
      </c>
      <c r="CK23">
        <v>1</v>
      </c>
      <c r="CR23">
        <v>1</v>
      </c>
      <c r="DF23">
        <v>1</v>
      </c>
      <c r="DM23">
        <v>1</v>
      </c>
      <c r="EA23">
        <v>1</v>
      </c>
      <c r="EO23">
        <v>1</v>
      </c>
    </row>
    <row r="24">
      <c r="B24" t="str">
        <v>AR and O&amp;M fixed reports</v>
      </c>
      <c r="E24" t="str">
        <v>Done</v>
      </c>
      <c r="F24" t="str">
        <v>Done</v>
      </c>
      <c r="G24" t="str">
        <v>Done</v>
      </c>
      <c r="H24" t="str">
        <v>Done</v>
      </c>
      <c r="I24" t="str">
        <v>Done</v>
      </c>
      <c r="J24" t="str">
        <v>Done</v>
      </c>
      <c r="K24" t="str">
        <v>VER10-7878, VER10-7879</v>
      </c>
      <c r="L24">
        <v>47</v>
      </c>
      <c r="M24" t="str">
        <v xml:space="preserve"> </v>
      </c>
      <c r="N24">
        <f>SUM(L24:M24) / Capacity!$B$2</f>
        <v>1.88</v>
      </c>
      <c r="O24">
        <f>SUM(L24:M24)/Capacity!$B$3</f>
        <v>1.5666666666666667</v>
      </c>
      <c r="EP24">
        <v>1</v>
      </c>
      <c r="EQ24">
        <v>1</v>
      </c>
    </row>
    <row r="25">
      <c r="B25" t="str">
        <v>CCESS</v>
      </c>
      <c r="E25" t="str">
        <v>Done</v>
      </c>
      <c r="F25" t="str">
        <v>Done</v>
      </c>
      <c r="G25" t="str">
        <v>Done</v>
      </c>
      <c r="H25" t="str">
        <v>Done</v>
      </c>
      <c r="I25" t="str">
        <v>Done</v>
      </c>
      <c r="J25" t="str">
        <v>Done</v>
      </c>
      <c r="K25" t="str">
        <v>VER10-6966</v>
      </c>
      <c r="L25">
        <v>5</v>
      </c>
      <c r="M25" t="str">
        <v xml:space="preserve"> </v>
      </c>
      <c r="N25">
        <f>SUM(L25:M25) / Capacity!$B$2</f>
        <v>0.2</v>
      </c>
      <c r="O25">
        <f>SUM(L25:M25)/Capacity!$B$3</f>
        <v>0.16666666666666666</v>
      </c>
      <c r="ER25">
        <v>1</v>
      </c>
    </row>
    <row r="26">
      <c r="M26">
        <f>SUM(L3:M25)</f>
        <v>2179</v>
      </c>
      <c r="N26">
        <f>SUM(N3:N25)</f>
        <v>87.15999999999998</v>
      </c>
      <c r="O26">
        <f>SUM(O3:O25)</f>
        <v>72.63333333333331</v>
      </c>
    </row>
  </sheetData>
  <mergeCells count="1">
    <mergeCell ref="E1:J1"/>
  </mergeCells>
  <pageMargins left="0.7" right="0.7" top="0.75" bottom="0.75" header="0" footer="0"/>
  <ignoredErrors>
    <ignoredError numberStoredAsText="1" sqref="B1:EU10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B3"/>
  <sheetViews>
    <sheetView workbookViewId="0" rightToLeft="0"/>
  </sheetViews>
  <sheetData>
    <row r="2">
      <c r="A2" t="str">
        <v>CurrentTeams (SP) Per Day</v>
      </c>
      <c r="B2">
        <v>25</v>
      </c>
    </row>
    <row r="3">
      <c r="A3" t="str">
        <v>Uplifted (SP) Per day</v>
      </c>
      <c r="B3">
        <v>30</v>
      </c>
    </row>
  </sheetData>
  <pageMargins left="0.7" right="0.7" top="0.75" bottom="0.75" header="0.3" footer="0.3"/>
  <ignoredErrors>
    <ignoredError numberStoredAsText="1" sqref="A2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Plan</vt:lpstr>
      <vt:lpstr>Capacity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2025-12-11T00:37:51Z</dcterms:created>
  <dcterms:modified xsi:type="dcterms:W3CDTF">2025-12-17T12:19:58Z</dcterms:modified>
  <cp:lastModifiedBy>Richard Casey</cp:lastModifiedBy>
  <dc:creator>Minas Kamel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0x010100D659B486E6B28947BC3E4B73EB621F6B</vt:lpwstr>
  </property>
  <property fmtid="{D5CDD505-2E9C-101B-9397-08002B2CF9AE}" pid="3" name="MediaServiceImageTags">
    <vt:lpwstr/>
  </property>
</Properties>
</file>