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https://bmestimating.sharepoint.com/sites/NHPhase-3/Shared Documents/Project Plans/"/>
    </mc:Choice>
  </mc:AlternateContent>
  <xr:revisionPtr revIDLastSave="296" documentId="13_ncr:1_{9B112981-1709-154F-8301-62F063382069}" xr6:coauthVersionLast="47" xr6:coauthVersionMax="47" xr10:uidLastSave="{0AF29990-3421-0F43-B467-F0DD97FADFB4}"/>
  <bookViews>
    <workbookView xWindow="0" yWindow="680" windowWidth="23240" windowHeight="13660" activeTab="1" xr2:uid="{2F71347F-AEC5-45D1-BC0D-813030750A40}"/>
  </bookViews>
  <sheets>
    <sheet name="Progress Categories" sheetId="4" state="hidden" r:id="rId1"/>
    <sheet name="Functionality Tracker" sheetId="7" r:id="rId2"/>
    <sheet name="Traceability Matrix" sheetId="3" r:id="rId3"/>
    <sheet name="O&amp;A " sheetId="5" r:id="rId4"/>
    <sheet name="Dropdowns" sheetId="6" state="hidden" r:id="rId5"/>
    <sheet name="Info" sheetId="2" state="hidden" r:id="rId6"/>
  </sheets>
  <definedNames>
    <definedName name="_xlnm._FilterDatabase" localSheetId="1" hidden="1">'Functionality Tracker'!$A$1:$V$246</definedName>
    <definedName name="_xlnm.Print_Area" localSheetId="1">'Functionality Tracker'!$A$1:$U$246</definedName>
    <definedName name="_xlnm.Print_Area" localSheetId="3">'O&amp;A '!$A$1:$E$103</definedName>
    <definedName name="_xlnm.Print_Area" localSheetId="0">'Progress Categories'!$A$1:$C$34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6" i="7" l="1"/>
  <c r="B11" i="7" l="1"/>
  <c r="B12" i="7" s="1"/>
  <c r="B13" i="7" l="1"/>
  <c r="B14" i="7" s="1"/>
  <c r="B15" i="7" s="1"/>
  <c r="B17" i="7" l="1"/>
  <c r="B18" i="7" s="1"/>
  <c r="B19" i="7" s="1"/>
  <c r="B20" i="7" s="1"/>
  <c r="B21" i="7" s="1"/>
  <c r="B22" i="7" s="1"/>
  <c r="B23" i="7" s="1"/>
  <c r="B24" i="7" s="1"/>
  <c r="B25" i="7" s="1"/>
  <c r="B26" i="7" s="1"/>
  <c r="B16" i="7"/>
  <c r="B27" i="7" l="1"/>
  <c r="B28" i="7"/>
  <c r="B29" i="7" s="1"/>
  <c r="B30" i="7" s="1"/>
  <c r="B31" i="7" s="1"/>
  <c r="B32" i="7" s="1"/>
  <c r="B33" i="7" s="1"/>
  <c r="B34" i="7" s="1"/>
  <c r="B35" i="7" s="1"/>
  <c r="B36" i="7" s="1"/>
  <c r="B37" i="7" l="1"/>
  <c r="B38" i="7"/>
  <c r="B39" i="7" s="1"/>
  <c r="B40" i="7" s="1"/>
  <c r="B41" i="7" l="1"/>
  <c r="B42" i="7" s="1"/>
  <c r="B43" i="7" s="1"/>
  <c r="B44" i="7" s="1"/>
  <c r="B45" i="7" s="1"/>
  <c r="B46" i="7" s="1"/>
  <c r="B47" i="7" s="1"/>
  <c r="B49" i="7" l="1"/>
  <c r="B50" i="7" s="1"/>
  <c r="B51" i="7" s="1"/>
  <c r="B52" i="7" s="1"/>
  <c r="B53" i="7" s="1"/>
  <c r="B54" i="7" s="1"/>
  <c r="B55" i="7" s="1"/>
  <c r="B56" i="7" s="1"/>
  <c r="B57" i="7" s="1"/>
  <c r="B58" i="7" s="1"/>
  <c r="B59" i="7" s="1"/>
  <c r="B60" i="7" s="1"/>
  <c r="B61" i="7" s="1"/>
  <c r="B62" i="7" s="1"/>
  <c r="B63" i="7" s="1"/>
  <c r="B64" i="7" s="1"/>
  <c r="B65" i="7" s="1"/>
  <c r="B66" i="7" s="1"/>
  <c r="B48" i="7"/>
  <c r="B217" i="7"/>
  <c r="B218" i="7" s="1"/>
  <c r="B79" i="7"/>
  <c r="B80" i="7" s="1"/>
  <c r="B81" i="7" s="1"/>
  <c r="B82" i="7" s="1"/>
  <c r="B83" i="7" s="1"/>
  <c r="B7" i="7"/>
  <c r="B8" i="7" s="1"/>
  <c r="B9" i="7" s="1"/>
  <c r="B220" i="7" l="1"/>
  <c r="B221" i="7" s="1"/>
  <c r="B222" i="7" s="1"/>
  <c r="B223" i="7" s="1"/>
  <c r="B224" i="7" s="1"/>
  <c r="B225" i="7" s="1"/>
  <c r="B226" i="7" s="1"/>
  <c r="B227" i="7" s="1"/>
  <c r="B228" i="7" s="1"/>
  <c r="B229" i="7" s="1"/>
  <c r="B230" i="7" s="1"/>
  <c r="B231" i="7" s="1"/>
  <c r="B219" i="7"/>
  <c r="B84" i="7"/>
  <c r="B85" i="7"/>
  <c r="B86" i="7" s="1"/>
  <c r="B87" i="7" s="1"/>
  <c r="B88" i="7" s="1"/>
  <c r="B89" i="7" s="1"/>
  <c r="B90" i="7" s="1"/>
  <c r="B91" i="7" s="1"/>
  <c r="B92" i="7" s="1"/>
  <c r="B93" i="7" s="1"/>
  <c r="B94" i="7" s="1"/>
  <c r="B95" i="7" s="1"/>
  <c r="B96" i="7" s="1"/>
  <c r="B97" i="7" s="1"/>
  <c r="B98" i="7" s="1"/>
  <c r="B99" i="7" s="1"/>
  <c r="B100" i="7" s="1"/>
  <c r="B101" i="7" s="1"/>
  <c r="B102" i="7" s="1"/>
  <c r="B103" i="7" s="1"/>
  <c r="B104" i="7" s="1"/>
  <c r="B105" i="7" s="1"/>
  <c r="B106" i="7" s="1"/>
  <c r="B107" i="7" s="1"/>
  <c r="B108" i="7" s="1"/>
  <c r="B109" i="7" s="1"/>
  <c r="B110" i="7" s="1"/>
  <c r="B113" i="7" s="1"/>
  <c r="B114" i="7" s="1"/>
  <c r="B115" i="7" s="1"/>
  <c r="B116" i="7" s="1"/>
  <c r="B117" i="7" s="1"/>
  <c r="B118" i="7" s="1"/>
  <c r="B119" i="7" l="1"/>
  <c r="B120" i="7"/>
  <c r="B121" i="7" s="1"/>
  <c r="B122" i="7" s="1"/>
  <c r="B123" i="7" s="1"/>
  <c r="B124" i="7" s="1"/>
  <c r="B125" i="7" s="1"/>
  <c r="B126" i="7" s="1"/>
  <c r="B127" i="7" s="1"/>
  <c r="B128" i="7" s="1"/>
  <c r="B129" i="7" s="1"/>
  <c r="B130" i="7" s="1"/>
  <c r="B131" i="7" s="1"/>
  <c r="B132" i="7" s="1"/>
  <c r="B133" i="7" s="1"/>
  <c r="B134" i="7" l="1"/>
  <c r="B135" i="7"/>
  <c r="B136" i="7" s="1"/>
  <c r="B137" i="7" s="1"/>
  <c r="B138" i="7" s="1"/>
  <c r="B139" i="7" s="1"/>
  <c r="B140" i="7" s="1"/>
  <c r="B141" i="7" s="1"/>
  <c r="B142" i="7" s="1"/>
  <c r="B143" i="7" s="1"/>
  <c r="B144" i="7" s="1"/>
  <c r="B145" i="7" s="1"/>
  <c r="B146" i="7" s="1"/>
  <c r="B147" i="7" s="1"/>
  <c r="B148" i="7" s="1"/>
  <c r="B149" i="7" s="1"/>
  <c r="B150" i="7" s="1"/>
  <c r="B151" i="7" s="1"/>
  <c r="B152" i="7" s="1"/>
  <c r="B153" i="7" s="1"/>
  <c r="B154" i="7" s="1"/>
  <c r="B155" i="7" s="1"/>
  <c r="B156" i="7" s="1"/>
  <c r="B157" i="7" s="1"/>
  <c r="B158" i="7" s="1"/>
  <c r="B159" i="7" s="1"/>
  <c r="B160" i="7" s="1"/>
  <c r="B162" i="7" l="1"/>
  <c r="B163" i="7" s="1"/>
  <c r="B164" i="7" s="1"/>
  <c r="B165" i="7" s="1"/>
  <c r="B166" i="7" s="1"/>
  <c r="B167" i="7" s="1"/>
  <c r="B168" i="7" s="1"/>
  <c r="B169" i="7" s="1"/>
  <c r="B161" i="7"/>
  <c r="B171" i="7" l="1"/>
  <c r="B172" i="7" s="1"/>
  <c r="B173" i="7" s="1"/>
  <c r="B174" i="7" s="1"/>
  <c r="B175" i="7" s="1"/>
  <c r="B170" i="7"/>
  <c r="B176" i="7" l="1"/>
  <c r="B177" i="7"/>
  <c r="B178" i="7" s="1"/>
  <c r="B179" i="7" s="1"/>
  <c r="B180" i="7" s="1"/>
  <c r="B181" i="7" s="1"/>
  <c r="B182" i="7" s="1"/>
  <c r="B183" i="7" s="1"/>
  <c r="B184" i="7" s="1"/>
  <c r="B185" i="7" s="1"/>
  <c r="B186" i="7" s="1"/>
  <c r="B187" i="7" s="1"/>
  <c r="B188" i="7" s="1"/>
  <c r="B189" i="7" s="1"/>
  <c r="B190" i="7" s="1"/>
  <c r="B191" i="7" s="1"/>
  <c r="B192" i="7" l="1"/>
  <c r="B193" i="7"/>
  <c r="B194" i="7" s="1"/>
  <c r="B195" i="7" s="1"/>
  <c r="B196" i="7" s="1"/>
  <c r="B197" i="7" l="1"/>
  <c r="B198" i="7"/>
  <c r="B199" i="7" s="1"/>
  <c r="B200" i="7" s="1"/>
  <c r="B201" i="7" s="1"/>
  <c r="B202" i="7" s="1"/>
  <c r="B203" i="7" s="1"/>
  <c r="B204" i="7" s="1"/>
  <c r="B205" i="7" s="1"/>
  <c r="B206" i="7" s="1"/>
  <c r="B207" i="7" s="1"/>
  <c r="B208" i="7" s="1"/>
  <c r="B209" i="7" s="1"/>
  <c r="B210" i="7" s="1"/>
  <c r="B211" i="7" s="1"/>
  <c r="B212" i="7" s="1"/>
  <c r="B213" i="7" s="1"/>
  <c r="B214"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tc={298BBE96-67E3-4953-B88B-4EFBBE5038FF}</author>
    <author>tc={99EFB288-514E-4918-B0B3-0C22A4A1F797}</author>
    <author>tc={FA31F6B9-15A6-4460-B707-C534365E25C3}</author>
    <author>tc={B8E27943-B225-412D-8FB0-978C6E300950}</author>
    <author>tc={FE3F6B4B-E803-4F18-BC09-3B9DC8CF2690}</author>
    <author>tc={C51DBCD7-C614-4032-959F-3DDF8909435B}</author>
    <author>tc={3ADB7C5D-E8A5-4B33-A576-1271FBE5E906}</author>
    <author>tc={F2274FF7-35DE-4C6D-AFF8-876F5E8393EC}</author>
    <author>tc={4C3CAABB-D8A4-44DF-86C9-0C097AFCF5C1}</author>
    <author>tc={70629B72-AAE8-4B17-BD64-D0CE5E94749C}</author>
    <author>tc={2C039B49-A89B-43C5-BA30-5E7A39713425}</author>
    <author>tc={07EBD708-C36C-4439-A6CF-49B7DF3562BC}</author>
    <author>tc={1025BAB2-5C45-4C41-8237-AC610331162F}</author>
    <author>tc={F5D9C47B-84B5-4F91-A2BC-9D0832CA1E3C}</author>
    <author>tc={070ED50F-2D47-4E2E-A38E-4C49D1032AF0}</author>
    <author>tc={BB7C415F-3DD0-43C6-9CE2-9D2181EC63F0}</author>
    <author>tc={5CB975D0-150D-433B-8BBB-C7C22B097B19}</author>
    <author>tc={7E9277AE-C479-2742-9E71-9F35A7F3D6E6}</author>
    <author>tc={DE36B765-6C5C-4A0F-B806-C0DCDB2C4E6B}</author>
    <author>tc={C71001AC-C4B5-4A3A-BCC8-EFBD1068E297}</author>
  </authors>
  <commentList>
    <comment ref="E14" authorId="0" shapeId="0" xr:uid="{298BBE96-67E3-4953-B88B-4EFBBE5038FF}">
      <text>
        <t>[Threaded comment]
Your version of Excel allows you to read this threaded comment; however, any edits to it will get removed if the file is opened in a newer version of Excel. Learn more: https://go.microsoft.com/fwlink/?linkid=870924
Comment:
    @Jerome Comptdaer  I’ll assume this is with Users &amp; Permissions as well</t>
      </text>
    </comment>
    <comment ref="L15" authorId="1" shapeId="0" xr:uid="{99EFB288-514E-4918-B0B3-0C22A4A1F797}">
      <text>
        <t>[Threaded comment]
Your version of Excel allows you to read this threaded comment; however, any edits to it will get removed if the file is opened in a newer version of Excel. Learn more: https://go.microsoft.com/fwlink/?linkid=870924
Comment:
    @Richard Casey most of this is done, except for tagging and dimensions, that's why I put it as 25% (which means in dev).
Reply:
    hi @Richard Casey , it's better for this one to be split to 2 points. 
"Admin main all libraries, update rates, manage item/resource build-ups" -&gt; this is 100%
"Admin approve star rates, configure dimensions and hierarchies" -&gt; 0%</t>
      </text>
    </comment>
    <comment ref="E19" authorId="2" shapeId="0" xr:uid="{FA31F6B9-15A6-4460-B707-C534365E25C3}">
      <text>
        <t>[Threaded comment]
Your version of Excel allows you to read this threaded comment; however, any edits to it will get removed if the file is opened in a newer version of Excel. Learn more: https://go.microsoft.com/fwlink/?linkid=870924
Comment:
    @Venkatesh Jalendiran what do you think of this one? 
Reply:
    @Minas Kamel I am not sure about this, I haven't come across this requirement yet. may be check with Funsho as her squad implemented resource import part.</t>
      </text>
    </comment>
    <comment ref="C28" authorId="3" shapeId="0" xr:uid="{B8E27943-B225-412D-8FB0-978C6E300950}">
      <text>
        <t xml:space="preserve">[Threaded comment]
Your version of Excel allows you to read this threaded comment; however, any edits to it will get removed if the file is opened in a newer version of Excel. Learn more: https://go.microsoft.com/fwlink/?linkid=870924
Comment:
    @Minas Kamel  why Dashboards come in 2B? I think this can be prepared separately (through Jonny)
Reply:
    @Richard Casey  we can’t find any of these  requirements. Could you confirm where this is coming from? 
Reply:
    @Jerome Comptdaer - main chapter is chapter 8 FR's 230, 280, 300, 310, 320, 350, 400, 910, 1820 also chapter 1 FR's 263, 570 Chapter 2 FR 160 Chapter 3&amp;4 FR's 910 and 1150 chapter 6 FR 2500 and Chapter 12 FR 1901.
Reply:
    Sample of dashboard related FR
</t>
      </text>
    </comment>
    <comment ref="E43" authorId="4" shapeId="0" xr:uid="{FE3F6B4B-E803-4F18-BC09-3B9DC8CF2690}">
      <text>
        <t>[Threaded comment]
Your version of Excel allows you to read this threaded comment; however, any edits to it will get removed if the file is opened in a newer version of Excel. Learn more: https://go.microsoft.com/fwlink/?linkid=870924
Comment:
    @Minas Kamel  - I thought we had this as part of carbon. FYI, this was implemented recently for SW</t>
      </text>
    </comment>
    <comment ref="E122" authorId="5" shapeId="0" xr:uid="{C51DBCD7-C614-4032-959F-3DDF8909435B}">
      <text>
        <t>[Threaded comment]
Your version of Excel allows you to read this threaded comment; however, any edits to it will get removed if the file is opened in a newer version of Excel. Learn more: https://go.microsoft.com/fwlink/?linkid=870924
Comment:
    @Venkatesh Jalendiran  we have bulk import, but we are missing the approval part.
Reply:
    @Minas Kamel if we have bulk import, this should go with roles and permissions + offline admin request</t>
      </text>
    </comment>
    <comment ref="D123" authorId="6" shapeId="0" xr:uid="{3ADB7C5D-E8A5-4B33-A576-1271FBE5E906}">
      <text>
        <t>[Threaded comment]
Your version of Excel allows you to read this threaded comment; however, any edits to it will get removed if the file is opened in a newer version of Excel. Learn more: https://go.microsoft.com/fwlink/?linkid=870924
Comment:
    @Venkatesh Jalendiran are you familiar with this?</t>
      </text>
    </comment>
    <comment ref="E123" authorId="7" shapeId="0" xr:uid="{F2274FF7-35DE-4C6D-AFF8-876F5E8393EC}">
      <text>
        <t>[Threaded comment]
Your version of Excel allows you to read this threaded comment; however, any edits to it will get removed if the file is opened in a newer version of Excel. Learn more: https://go.microsoft.com/fwlink/?linkid=870924
Comment:
    Need to confirm with NH, still it is required.</t>
      </text>
    </comment>
    <comment ref="E124" authorId="8" shapeId="0" xr:uid="{4C3CAABB-D8A4-44DF-86C9-0C097AFCF5C1}">
      <text>
        <t>[Threaded comment]
Your version of Excel allows you to read this threaded comment; however, any edits to it will get removed if the file is opened in a newer version of Excel. Learn more: https://go.microsoft.com/fwlink/?linkid=870924
Comment:
    @Richard Casey Added this as Contractor fee library is still outstanding and was not represented on the workbook</t>
      </text>
    </comment>
    <comment ref="E127" authorId="9" shapeId="0" xr:uid="{70629B72-AAE8-4B17-BD64-D0CE5E94749C}">
      <text>
        <t xml:space="preserve">[Threaded comment]
Your version of Excel allows you to read this threaded comment; however, any edits to it will get removed if the file is opened in a newer version of Excel. Learn more: https://go.microsoft.com/fwlink/?linkid=870924
Comment:
    @Venkatesh Jalendiran  can we discuss this one? Don’t we have this for Cost?
Reply:
    @Minas Kamel  Yes we have for Cost.
Reply:
    Once we complete Carbon for item library in upcoming release, this will be 100%. </t>
      </text>
    </comment>
    <comment ref="C135" authorId="10" shapeId="0" xr:uid="{2C039B49-A89B-43C5-BA30-5E7A39713425}">
      <text>
        <t>[Threaded comment]
Your version of Excel allows you to read this threaded comment; however, any edits to it will get removed if the file is opened in a newer version of Excel. Learn more: https://go.microsoft.com/fwlink/?linkid=870924
Comment:
    @Funsho Sanni  would you please this LTA section? I have put them all as 5% since they are in scope/design.</t>
      </text>
    </comment>
    <comment ref="E159" authorId="11" shapeId="0" xr:uid="{07EBD708-C36C-4439-A6CF-49B7DF3562BC}">
      <text>
        <t>[Threaded comment]
Your version of Excel allows you to read this threaded comment; however, any edits to it will get removed if the file is opened in a newer version of Excel. Learn more: https://go.microsoft.com/fwlink/?linkid=870924
Comment:
    @Minas Kamel This should be considered as part of the improvements done for roles &amp; permissions. 
Reply:
    Yes could be. We haven’t decided yet on the “without a user license” part</t>
      </text>
    </comment>
    <comment ref="E164" authorId="12" shapeId="0" xr:uid="{1025BAB2-5C45-4C41-8237-AC610331162F}">
      <text>
        <t>[Threaded comment]
Your version of Excel allows you to read this threaded comment; however, any edits to it will get removed if the file is opened in a newer version of Excel. Learn more: https://go.microsoft.com/fwlink/?linkid=870924
Comment:
    @Jerome Comptdaer  We'll assume this is Audit Trail</t>
      </text>
    </comment>
    <comment ref="E171" authorId="13" shapeId="0" xr:uid="{F5D9C47B-84B5-4F91-A2BC-9D0832CA1E3C}">
      <text>
        <t>[Threaded comment]
Your version of Excel allows you to read this threaded comment; however, any edits to it will get removed if the file is opened in a newer version of Excel. Learn more: https://go.microsoft.com/fwlink/?linkid=870924
Comment:
    @Funsho Sanni can you check this one please?</t>
      </text>
    </comment>
    <comment ref="E181" authorId="14" shapeId="0" xr:uid="{070ED50F-2D47-4E2E-A38E-4C49D1032AF0}">
      <text>
        <t xml:space="preserve">[Threaded comment]
Your version of Excel allows you to read this threaded comment; however, any edits to it will get removed if the file is opened in a newer version of Excel. Learn more: https://go.microsoft.com/fwlink/?linkid=870924
Comment:
    @Minas Kamel - is this the integration with the Reporting tool? </t>
      </text>
    </comment>
    <comment ref="E189" authorId="15" shapeId="0" xr:uid="{BB7C415F-3DD0-43C6-9CE2-9D2181EC63F0}">
      <text>
        <t>[Threaded comment]
Your version of Excel allows you to read this threaded comment; however, any edits to it will get removed if the file is opened in a newer version of Excel. Learn more: https://go.microsoft.com/fwlink/?linkid=870924
Comment:
    @Funsho Sanni can you check this one?</t>
      </text>
    </comment>
    <comment ref="E196" authorId="16" shapeId="0" xr:uid="{5CB975D0-150D-433B-8BBB-C7C22B097B19}">
      <text>
        <t>[Threaded comment]
Your version of Excel allows you to read this threaded comment; however, any edits to it will get removed if the file is opened in a newer version of Excel. Learn more: https://go.microsoft.com/fwlink/?linkid=870924
Comment:
    @Richard Casey I believe we are also missing Programme and portfolio risk as I cant see those on the tracker</t>
      </text>
    </comment>
    <comment ref="M216" authorId="17" shapeId="0" xr:uid="{7E9277AE-C479-2742-9E71-9F35A7F3D6E6}">
      <text>
        <t xml:space="preserve">[Threaded comment]
Your version of Excel allows you to read this threaded comment; however, any edits to it will get removed if the file is opened in a newer version of Excel. Learn more: https://go.microsoft.com/fwlink/?linkid=870924
Comment:
    @Venkatesh Jalendiran since we have Role-Based Access rolled out, why it's 35% only? 
cc: @Jerome Comptdaer </t>
      </text>
    </comment>
    <comment ref="E217" authorId="18" shapeId="0" xr:uid="{DE36B765-6C5C-4A0F-B806-C0DCDB2C4E6B}">
      <text>
        <t>[Threaded comment]
Your version of Excel allows you to read this threaded comment; however, any edits to it will get removed if the file is opened in a newer version of Excel. Learn more: https://go.microsoft.com/fwlink/?linkid=870924
Comment:
    @Minas Kamel  Similar to the point above with access to non-license, we can add this to the role &amp; permission initiative</t>
      </text>
    </comment>
    <comment ref="C220" authorId="19" shapeId="0" xr:uid="{C71001AC-C4B5-4A3A-BCC8-EFBD1068E297}">
      <text>
        <t>[Threaded comment]
Your version of Excel allows you to read this threaded comment; however, any edits to it will get removed if the file is opened in a newer version of Excel. Learn more: https://go.microsoft.com/fwlink/?linkid=870924
Comment:
    @Minas Kamel  should be planned as part of Workflow
Reply:
    Makes sense
@Funsho: we need to revisit  the PRD</t>
      </text>
    </comment>
  </commentList>
</comments>
</file>

<file path=xl/sharedStrings.xml><?xml version="1.0" encoding="utf-8"?>
<sst xmlns="http://schemas.openxmlformats.org/spreadsheetml/2006/main" count="2124" uniqueCount="1476">
  <si>
    <t xml:space="preserve">CCET Phase 3: Project Process Tracking Categories </t>
  </si>
  <si>
    <t>Progress Categories</t>
  </si>
  <si>
    <t xml:space="preserve">Description </t>
  </si>
  <si>
    <t>Not Started</t>
  </si>
  <si>
    <t>* Requirement/functionality has been captured but no work has begun.
* No design or development activity started.</t>
  </si>
  <si>
    <t>In Design</t>
  </si>
  <si>
    <t>* Requirement is actively being analysed and refined.
* Wireframes, diagrams, or supporting materials (Figma, Miro, Confluence) are being drafted.</t>
  </si>
  <si>
    <t>Design Complete</t>
  </si>
  <si>
    <t>* Functional and technical design is fully documented.</t>
  </si>
  <si>
    <t>In Development</t>
  </si>
  <si>
    <t>* Requirement has entered the development phase.
* Story points allocated, development work actively underway.</t>
  </si>
  <si>
    <t>Development Complete</t>
  </si>
  <si>
    <t>* Code completed and ready for internal QA or peer review.
* Meets acceptance criteria for “dev done.</t>
  </si>
  <si>
    <t>In Internal QA / Dev Testing</t>
  </si>
  <si>
    <t>* Benchmark internal testing in progress.
* Fixes and adjustments being made based on internal feedback.</t>
  </si>
  <si>
    <t>Ready for UAT</t>
  </si>
  <si>
    <t xml:space="preserve">* All development and internal QA are complete.
* Functionality has been deployed to the UAT environment and is ready for user testing
*Test scripts have been developed 
*Training Materails have been developed 
</t>
  </si>
  <si>
    <t>In UAT</t>
  </si>
  <si>
    <t>* Test scripts running.
* Defects and issues being logged.</t>
  </si>
  <si>
    <t>UAT Complete</t>
  </si>
  <si>
    <t>* All critical/major defects resolved.
* Functionality approved by NH UAT testers.</t>
  </si>
  <si>
    <t>Ready for Release</t>
  </si>
  <si>
    <t>*Functionality packaged and prepared for Release</t>
  </si>
  <si>
    <t>Released / Delivered</t>
  </si>
  <si>
    <t>* Functionality deployed to Production.
* Confirmed working as expected (live proving complete)</t>
  </si>
  <si>
    <t>Closed Out</t>
  </si>
  <si>
    <t>*Evidence captured.
*Traceability complete.
*No further actions required.</t>
  </si>
  <si>
    <t>Percentage weighted model that reflects typical software-delivery effort and progress distribution.</t>
  </si>
  <si>
    <t xml:space="preserve">Not Started (0%),  In Design (5%), Design Complete (10%), In Development (25%), Development Complete (35%), In Internal QA / Dev Testing (45%), Ready for UAT (55%),  In UAT (70%), UAT Complete (80%), Ready for Release (90%), Released / Delivered (95%), Closed Out (100%) </t>
  </si>
  <si>
    <t xml:space="preserve">Functionality </t>
  </si>
  <si>
    <t>Functional Requirements Reference(s)</t>
  </si>
  <si>
    <t xml:space="preserve">Planned </t>
  </si>
  <si>
    <t xml:space="preserve">Active </t>
  </si>
  <si>
    <t xml:space="preserve">Complete </t>
  </si>
  <si>
    <t>ID</t>
  </si>
  <si>
    <t>Workstream</t>
  </si>
  <si>
    <t>Functionality Name</t>
  </si>
  <si>
    <t xml:space="preserve"> Description</t>
  </si>
  <si>
    <t>Effort</t>
  </si>
  <si>
    <t>Release</t>
  </si>
  <si>
    <t>Estimate</t>
  </si>
  <si>
    <t>Administration</t>
  </si>
  <si>
    <t>Dashboard Access Control</t>
  </si>
  <si>
    <t>Control access to dashboards.</t>
  </si>
  <si>
    <t>Release 1D</t>
  </si>
  <si>
    <t>Estimate Template/shell Config</t>
  </si>
  <si>
    <t>Imports estimate shell templates (15 cost/carbon/WLC templates available)</t>
  </si>
  <si>
    <t>User Access &amp; Roles</t>
  </si>
  <si>
    <t>Manage users, roles, permissions.</t>
  </si>
  <si>
    <t>Carbon Module Setup</t>
  </si>
  <si>
    <t>Configure PAS 2080 carbon settings (these should algin to the estimate shell)</t>
  </si>
  <si>
    <t>Release 2A</t>
  </si>
  <si>
    <t>IFT User Access</t>
  </si>
  <si>
    <t>Control access to IFT functions.</t>
  </si>
  <si>
    <t>Report &amp; Output Config</t>
  </si>
  <si>
    <t>Configure estimate reports and outputs.</t>
  </si>
  <si>
    <t>System Setup</t>
  </si>
  <si>
    <t>Configure core system settings.</t>
  </si>
  <si>
    <t>Commercial Visibility Control</t>
  </si>
  <si>
    <t>Manage visibility rules for commercial information.</t>
  </si>
  <si>
    <t>Library Maintenance</t>
  </si>
  <si>
    <t>Administrators maintain all libraries, update rates, manage item/resource build-ups, approve star rates, configure dimensions and hierarchies.</t>
  </si>
  <si>
    <t>Standardised Scheme &amp; Estimate Naming</t>
  </si>
  <si>
    <t>Controlled naming and classification via admin libraries.</t>
  </si>
  <si>
    <t>Calculators/Cost Models</t>
  </si>
  <si>
    <t>BOQ Import via Add-in</t>
  </si>
  <si>
    <t>The Add-in reads BOQ sheets (Item/Resource Code + Quantity) and publishes them into CCET Sections.</t>
  </si>
  <si>
    <t>Release 2B</t>
  </si>
  <si>
    <t>Configuration Sheet Creation</t>
  </si>
  <si>
    <t>The Add-in automatically creates and validates a configuration sheet to map BOQ columns and estimate details.</t>
  </si>
  <si>
    <t>Controlled Carbon Calculators</t>
  </si>
  <si>
    <t>Excel-based calculators (concrete, asphalt, steel) can be opened directly from CCET to generate carbon factors and paste them into the Resource Library. Only the latest approved calculator version is available to users.</t>
  </si>
  <si>
    <t>Copy Carbon Factors Into Libraries</t>
  </si>
  <si>
    <t>Users copy/paste carbon factor outputs (for PAS2080 modules) into resource records, one resource at a time.</t>
  </si>
  <si>
    <t>Excel Add-in for Importing Cost Models</t>
  </si>
  <si>
    <t>An Excel Add-in enables cost models to be imported directly into CCET from Excel via a guided workflow.</t>
  </si>
  <si>
    <t>On-the-Fly Recalculation</t>
  </si>
  <si>
    <t>Users can update BOQ inputs in Excel and instantly recalculate cost &amp; carbon impacts before publishing.</t>
  </si>
  <si>
    <t>Open Calculators Within CCET</t>
  </si>
  <si>
    <t>Calculators are accessible from the Landing Page, Menu, and within the IFT, providing quick access during estimating.</t>
  </si>
  <si>
    <t>Replace Calculator Versions</t>
  </si>
  <si>
    <t>Estimating Administrators can upload updated calculators; older versions are removed from user access.</t>
  </si>
  <si>
    <t>Two-Way Connection with CCET</t>
  </si>
  <si>
    <t>Users authenticate from Excel and can preview cost &amp; carbon totals in Excel using CCET libraries.</t>
  </si>
  <si>
    <t>Upload Model to CCET</t>
  </si>
  <si>
    <t>The Excel model itself can be uploaded into CCET for audit and reference.</t>
  </si>
  <si>
    <t>Validation &amp; Error Handling</t>
  </si>
  <si>
    <t>Add-in checks codes, data types, library matches, and whether the estimate is editable before import.</t>
  </si>
  <si>
    <t xml:space="preserve">Dashboards (Power BI) </t>
  </si>
  <si>
    <t>Estimate History</t>
  </si>
  <si>
    <t>Golden Thread comparing estimate versions.</t>
  </si>
  <si>
    <t>Existing Dashboards Retained</t>
  </si>
  <si>
    <t xml:space="preserve">All existing dashboards remain available and expanded for Operations. (Workload tracker, Cost Insights, Carbon Insights, Formal Estimates, Cost Exceutive Report, Carbon Exceutive Report, Estimating Pipeline, Analytical Tools) </t>
  </si>
  <si>
    <t>IFT Change Tracking</t>
  </si>
  <si>
    <t>Track changes in scope, risk, inflation, fees.</t>
  </si>
  <si>
    <t>IFT Comparison</t>
  </si>
  <si>
    <t>Compare approved estimate vs latest IFT &amp; Compare any revision to baseline or other revisions (cost &amp; carbon).</t>
  </si>
  <si>
    <t>IFT Drilldown</t>
  </si>
  <si>
    <t>Drill to section/resource level (cost &amp; carbon).</t>
  </si>
  <si>
    <t>IFT Movement Narrative</t>
  </si>
  <si>
    <t>Narrative explaining changes across versions.</t>
  </si>
  <si>
    <t>Option Comparison</t>
  </si>
  <si>
    <t>Compare multiple estimate scenarios.</t>
  </si>
  <si>
    <t>PDF/CDF Curves</t>
  </si>
  <si>
    <t>Display cost and carbon uncertainty ranges.</t>
  </si>
  <si>
    <t>Programme Dashboards</t>
  </si>
  <si>
    <t>Project performance with drill-down.</t>
  </si>
  <si>
    <t>Project Dashboards</t>
  </si>
  <si>
    <t>Detailed cost/carbon/resources by sections.</t>
  </si>
  <si>
    <t xml:space="preserve">Estimate Build - Carbon </t>
  </si>
  <si>
    <t>Assured/Unassured Carbon Flag</t>
  </si>
  <si>
    <t>Carbon factors are flagged to show whether they have been assured by National Highways.</t>
  </si>
  <si>
    <t>Carbon Factors Conversion</t>
  </si>
  <si>
    <t>Add any miss carbon resources using cost-to-carbon factors.</t>
  </si>
  <si>
    <t>Carbon Fields Setup</t>
  </si>
  <si>
    <t>Carbon fields auto-configured per PAS 2080.</t>
  </si>
  <si>
    <t>Carbon Library Allocation</t>
  </si>
  <si>
    <t>System use carbon resource's to calculate carbon in KgCO2e into PAS2080 modules</t>
  </si>
  <si>
    <t>Carbon Deflation</t>
  </si>
  <si>
    <t>Apply carbon deflation like cost inflation.</t>
  </si>
  <si>
    <t xml:space="preserve">Carbon Estimate </t>
  </si>
  <si>
    <t>Apply precedence: library → cost-to-carbon → manual.</t>
  </si>
  <si>
    <t>Carbon Expenditure Profiles</t>
  </si>
  <si>
    <t>View and apply carbon profiles over time from within the estimate.Carbon is shown monthly for the first 5 years and annually after that.</t>
  </si>
  <si>
    <t>Carbon Traceability</t>
  </si>
  <si>
    <t>Users can see the inputs behind every carbon calculation.</t>
  </si>
  <si>
    <t>Estimator Carbon Editing Permissions</t>
  </si>
  <si>
    <t>Control who can edit/delink carbon values.</t>
  </si>
  <si>
    <t>WBS Lock-down for Carbon Forecasts</t>
  </si>
  <si>
    <t>Lock WBS for carbon forecasts; allow only Item/Resource edits.</t>
  </si>
  <si>
    <t>Zero Carbon for Fees</t>
  </si>
  <si>
    <t>Fees always have zero carbon factor.</t>
  </si>
  <si>
    <t>Estimate Build - Cost</t>
  </si>
  <si>
    <t>Access Estimate Template/Shell</t>
  </si>
  <si>
    <t xml:space="preserve">Access the correct Estimate template/Shell for the type of estimate requested. </t>
  </si>
  <si>
    <t>Release 1A</t>
  </si>
  <si>
    <t>Add Library Items</t>
  </si>
  <si>
    <t>Add items from library and update quantities.</t>
  </si>
  <si>
    <t>Release 1B</t>
  </si>
  <si>
    <t>Add Quantities</t>
  </si>
  <si>
    <t>Add quantities manually.</t>
  </si>
  <si>
    <t>Asset Renewal Quantity Tagging</t>
  </si>
  <si>
    <t>Tag quantities / activities as New, Remove, Renewed or Existing.</t>
  </si>
  <si>
    <t>Release Clarify</t>
  </si>
  <si>
    <t>Auto-Allocate Libraries</t>
  </si>
  <si>
    <t>System assigns cost &amp; carbon libraries.</t>
  </si>
  <si>
    <t>Build-Up from Resources</t>
  </si>
  <si>
    <t>Create items by combining resources.</t>
  </si>
  <si>
    <t>Clear WBS Hierarchy Formatting</t>
  </si>
  <si>
    <t>Visually distinguish Section, Cost Element, Item, Resource.</t>
  </si>
  <si>
    <t>Handling Unknown Commercial Variables</t>
  </si>
  <si>
    <t>Allow “Unknown” selections and auto-choose a default rate.</t>
  </si>
  <si>
    <t>O&amp;M Asset Quantities</t>
  </si>
  <si>
    <t>Add asset quantities and intervention cycles.</t>
  </si>
  <si>
    <t>O&amp;M Durations</t>
  </si>
  <si>
    <t>Auto-populate durations (13–60 months).</t>
  </si>
  <si>
    <t>On-Screen Take-Off</t>
  </si>
  <si>
    <t>Add quantities via on-screen take-off.</t>
  </si>
  <si>
    <t>Regionalised Rates</t>
  </si>
  <si>
    <t>Vary Item and Resource rates by Region / Area.</t>
  </si>
  <si>
    <t>Resource-Level Build-ups for New Activities</t>
  </si>
  <si>
    <t>Build new Items from Resources where no standard Item exists.</t>
  </si>
  <si>
    <t>Scheme Commercial Variable Selection</t>
  </si>
  <si>
    <t>Select region / lot / supplier / season / time to drive rate choice.</t>
  </si>
  <si>
    <t xml:space="preserve">Sectioning Estimate </t>
  </si>
  <si>
    <t>Arranging the estimate into sections aligned to the scope (e.g., by junction, chainage, or drawing number</t>
  </si>
  <si>
    <t>Star Rate Approval &amp; Library Update</t>
  </si>
  <si>
    <t>Promote approved Star Rates into standard libraries.</t>
  </si>
  <si>
    <t>Star Rate Identification</t>
  </si>
  <si>
    <t>Flag Items and rates as “Star Rates”.</t>
  </si>
  <si>
    <t>XBIM Upload</t>
  </si>
  <si>
    <t>Import quantities via BIM model.</t>
  </si>
  <si>
    <t>F1</t>
  </si>
  <si>
    <t>Foundational</t>
  </si>
  <si>
    <t>User, Groups and Permissions</t>
  </si>
  <si>
    <t>Provide secure, granular access control across all application modules.</t>
  </si>
  <si>
    <t>F11</t>
  </si>
  <si>
    <t>Import/Export Interfaces for Uploads</t>
  </si>
  <si>
    <t>Underlying interfaces to allow data to be uploaded into the System</t>
  </si>
  <si>
    <t>F12</t>
  </si>
  <si>
    <t>Framework to Support Tagging, Dimensions</t>
  </si>
  <si>
    <t>Provide a flexible classification and slicing framework to breakdown estimates</t>
  </si>
  <si>
    <t>F2</t>
  </si>
  <si>
    <t>Library Management</t>
  </si>
  <si>
    <t>Establish a structured, scalable repository for all reusable estimating components.</t>
  </si>
  <si>
    <t>F3</t>
  </si>
  <si>
    <t>Core Admin Framework and Functions</t>
  </si>
  <si>
    <t>Allow the system to be configured without code changes.</t>
  </si>
  <si>
    <t>F4</t>
  </si>
  <si>
    <t>Core Data Model and APIs</t>
  </si>
  <si>
    <t>Define how data flows through the system and how modules communicate</t>
  </si>
  <si>
    <t>F5</t>
  </si>
  <si>
    <t>DB Sync V10-&gt;V8</t>
  </si>
  <si>
    <t>Allows selected data to be reused across versions of BES</t>
  </si>
  <si>
    <t>F6</t>
  </si>
  <si>
    <t>Core UI Components</t>
  </si>
  <si>
    <t>Ensure a consistent UI across all functionality and speed up development</t>
  </si>
  <si>
    <t>F7</t>
  </si>
  <si>
    <t>Custom Fields Framework</t>
  </si>
  <si>
    <t>Let clients extend data capture without schema changes or code releases.</t>
  </si>
  <si>
    <t>F8</t>
  </si>
  <si>
    <t>Basic WBS Structure and Hiearchy</t>
  </si>
  <si>
    <t>Provide the structural backbone of estimates, enabling complex breakdowns.</t>
  </si>
  <si>
    <t>F9</t>
  </si>
  <si>
    <t>Performance / Optimisation Work</t>
  </si>
  <si>
    <t>Ensure the system performs reliably under large datasets and multi-user loads.</t>
  </si>
  <si>
    <t>F10</t>
  </si>
  <si>
    <t xml:space="preserve">Foundational </t>
  </si>
  <si>
    <t>Custom Workflow Framework for RFE</t>
  </si>
  <si>
    <t>Builds basic framework that can be extended and customised for different lifecycles</t>
  </si>
  <si>
    <t>Interim Forecasting Tool</t>
  </si>
  <si>
    <t>Baseline Starting Point</t>
  </si>
  <si>
    <t>IFT begins with an approved estimate duplicated as locked version 1.0.</t>
  </si>
  <si>
    <t>Forecast Browser</t>
  </si>
  <si>
    <t>Displays all IFT versions, revision status, users, and submissions.</t>
  </si>
  <si>
    <t>Revision Submission</t>
  </si>
  <si>
    <t>Users can submit revisions for internal review.</t>
  </si>
  <si>
    <t>Revision Tagging</t>
  </si>
  <si>
    <t>Forecast versions can be tagged (preferred, reference, etc.).</t>
  </si>
  <si>
    <t>Unlimited Revisions</t>
  </si>
  <si>
    <t>Create unlimited revisions (1.1, 1.2 etc.) until submitted.</t>
  </si>
  <si>
    <t>Version Control Integrity</t>
  </si>
  <si>
    <t>Enforces structured version control for forecasts.</t>
  </si>
  <si>
    <t>Audit Trail</t>
  </si>
  <si>
    <t>Full audit trail of all changes across IFT revisions.</t>
  </si>
  <si>
    <t>Bulk EPD / Emission Factor Approval</t>
  </si>
  <si>
    <t>Bulk approve proposed EPDs / emission factors.</t>
  </si>
  <si>
    <t>Carbon Transparency</t>
  </si>
  <si>
    <t>Carbon data not is commercially sensitive and shared across suppliers.</t>
  </si>
  <si>
    <t>Contractor Permissions</t>
  </si>
  <si>
    <t>Contractors edit their allocated items’ quantities and rates only using their own library.</t>
  </si>
  <si>
    <t>Cost Visibility Controls</t>
  </si>
  <si>
    <t>Cost restricted to assigned users; carbon visible to all parties.</t>
  </si>
  <si>
    <t>Economic &amp; Expenditure Outputs</t>
  </si>
  <si>
    <t>Produce expenditure profiles and economic outputs.</t>
  </si>
  <si>
    <t>Interim Forecasting Outputs</t>
  </si>
  <si>
    <t>Exportable cost management reports (Cost Element level) for Project User forecasts.</t>
  </si>
  <si>
    <t>Movement Dashboards</t>
  </si>
  <si>
    <t>Dashboards compare baseline vs latest IFT revisions.</t>
  </si>
  <si>
    <t>Multi-Supplier Forecasting</t>
  </si>
  <si>
    <t>Multiple suppliers can work in a forecast while only seeing their own rates libraries and the dynamic (low carbon products) library</t>
  </si>
  <si>
    <t>Project-Specific Libraries</t>
  </si>
  <si>
    <t>Forecasts use project-level supplier libraries and dynamic (low carbon products) libraries.</t>
  </si>
  <si>
    <t>Reporting Levels</t>
  </si>
  <si>
    <t>Reports configurable at section, project, programme, portfolio.</t>
  </si>
  <si>
    <t>Role Permissions</t>
  </si>
  <si>
    <t>Control user access to quantities, Supplier rate &amp; dynamic (low carbon product) libraries , risk, programme dates, inflation.</t>
  </si>
  <si>
    <t>Single Revision Editor</t>
  </si>
  <si>
    <t>Only one assigned user can edit a forecast revision.</t>
  </si>
  <si>
    <t>Supplier Isolation</t>
  </si>
  <si>
    <t xml:space="preserve">Suppliers cannot view each other's pricing or rates libraries. </t>
  </si>
  <si>
    <t>Supplier-Assigned Star Items</t>
  </si>
  <si>
    <t>Assign new Items to suppliers and add to supplier libraries.</t>
  </si>
  <si>
    <t>Change Tracking</t>
  </si>
  <si>
    <t>Track scope, quantity, risk, programme, inflation &amp; fee changes.</t>
  </si>
  <si>
    <t>Containerised Item Groups</t>
  </si>
  <si>
    <t>Supplier-specific item groups isolate editable areas within the forecast.</t>
  </si>
  <si>
    <t>Designer Permissions</t>
  </si>
  <si>
    <t>Designers/NH users can update quantities, risks, and programme dates only.</t>
  </si>
  <si>
    <t>Estimate Conversion</t>
  </si>
  <si>
    <t>Chosen revision feeds into the RFE to generate a formal estimate.</t>
  </si>
  <si>
    <t>Forecast Composition Report</t>
  </si>
  <si>
    <t>Generate cost, carbon, quantity compositions for a revision.</t>
  </si>
  <si>
    <t>Governance Workflow</t>
  </si>
  <si>
    <t>Locked revisions go through governance before becoming estimates.</t>
  </si>
  <si>
    <t>Impact Assessment</t>
  </si>
  <si>
    <t>Assess overall cost and carbon impacts from updates.</t>
  </si>
  <si>
    <t>Library Detachment</t>
  </si>
  <si>
    <t>Libraries detach from IFT once a revision is locked to preserve integrity.</t>
  </si>
  <si>
    <t>Live Forecasting</t>
  </si>
  <si>
    <t>Update cost &amp; carbon between formal cycles without a new full estimate.</t>
  </si>
  <si>
    <t>Locked Revisions</t>
  </si>
  <si>
    <t>Chosen revision is locked and used to generate the next formal estimate.</t>
  </si>
  <si>
    <t>NH Oversight</t>
  </si>
  <si>
    <t>NH estimators retain oversight and review permissions.</t>
  </si>
  <si>
    <t>RFE and UI changes</t>
  </si>
  <si>
    <t>Incorporating the feedback from Release 1A</t>
  </si>
  <si>
    <t>UI Uplift Work</t>
  </si>
  <si>
    <t>Revamp of the WBS and other core UI components based on R1A and R1B feedback</t>
  </si>
  <si>
    <t>Release 1C</t>
  </si>
  <si>
    <t>Libraries</t>
  </si>
  <si>
    <t>Bulk upload Library</t>
  </si>
  <si>
    <t>Bulk upload any Library data via Excel.</t>
  </si>
  <si>
    <t>Asset, Supplier &amp; Location Libraries</t>
  </si>
  <si>
    <t>Up to 5-level hierarchies that allow items and estimate elements to be tagged for analysis, filtering and reporting.</t>
  </si>
  <si>
    <t>Carbon &amp; Cost-to-Carbon Data</t>
  </si>
  <si>
    <t>Library of cost-to-carbon factors by Resource Group.</t>
  </si>
  <si>
    <t>Carbon Library</t>
  </si>
  <si>
    <t>Library Embodied Carbon values in accrordance with the PAS 2080</t>
  </si>
  <si>
    <t>Dynamic (low carbon products) Library</t>
  </si>
  <si>
    <t>A certified, centrally managed library of low-carbon materials, each supported by verified Environmental Product Declarations (EPDs). Users can search, compare, and apply low-carbon alternatives across all estimate types and Interim Forecasting Tool (IFT) forecasts.</t>
  </si>
  <si>
    <t>Dynamic Library Carbon Search &amp; Optimisation</t>
  </si>
  <si>
    <t>Search and sort Dynamic Library by cost/carbon.</t>
  </si>
  <si>
    <t>Use of Libraries in Estimating</t>
  </si>
  <si>
    <t>Applying cost, carbon, asset and supplier libraries during estimate build-up; switching or overriding libraries if allowed.</t>
  </si>
  <si>
    <t>Asset Renewal Libraries</t>
  </si>
  <si>
    <t xml:space="preserve">Rate Libraries of SDF &amp; PDF contract items &amp; resource  </t>
  </si>
  <si>
    <t>Benchmarking Metrics Library</t>
  </si>
  <si>
    <t>Library of benchmark metrics by scheme type and stage.</t>
  </si>
  <si>
    <t>Bulk Resource Addition Requests</t>
  </si>
  <si>
    <t>Request bulk addition of new Resources with admin approval.</t>
  </si>
  <si>
    <t>Composite Rate Library</t>
  </si>
  <si>
    <t>Store and use composite “all-in” Item rates.</t>
  </si>
  <si>
    <t>Contractor Fees Library</t>
  </si>
  <si>
    <t>Store Supplier specific contractor  fees and associate a library item from the Contractor Fee Library to an item in the Item Library</t>
  </si>
  <si>
    <t>Cross-Library Carbon Factor Migration</t>
  </si>
  <si>
    <t>Move carbon factors between libraries in a controlled way.</t>
  </si>
  <si>
    <t>Decarbonisation Factors Library</t>
  </si>
  <si>
    <t>Store annual decarbonisation factors (e.g. to 2050).</t>
  </si>
  <si>
    <t>Dedicated Cost &amp; Carbon Libraries per Stage</t>
  </si>
  <si>
    <t>Separate cost and carbon libraries per lifecycle stage.(MP, O&amp;M, AR, LTA).</t>
  </si>
  <si>
    <t>Estimate-Specific Resource Library View</t>
  </si>
  <si>
    <t>View/export estimate Resources and their cost/carbon.</t>
  </si>
  <si>
    <t>Expenditure Profile Library</t>
  </si>
  <si>
    <t>Store and apply spend profiles by scheme type / characteristics.</t>
  </si>
  <si>
    <t>Long Term Appraisal Libraries</t>
  </si>
  <si>
    <t xml:space="preserve">Libraries of Composite items for Cost &amp; Carbon </t>
  </si>
  <si>
    <t>O&amp;M Libraries</t>
  </si>
  <si>
    <t>Rate Libraries of Schedule A, B &amp; C  items &amp; resource &amp; standard intervention frequencies (ADAMR).</t>
  </si>
  <si>
    <t>Reporting Hierarchy Libraries</t>
  </si>
  <si>
    <t>Configurable hierarchies (up to 5 levels) used to output estimates in formats such as CESS or ICMS.</t>
  </si>
  <si>
    <t xml:space="preserve">Supplier Iibrary  </t>
  </si>
  <si>
    <t>Store and apply supplier-specific Items and Resources.</t>
  </si>
  <si>
    <t>Use of Libraries in Reporting</t>
  </si>
  <si>
    <t>Libraries used to drive reporting structures, alternative hierarchies and aggregated outputs across lifecycle stages.</t>
  </si>
  <si>
    <t>Long-Term Appraisal</t>
  </si>
  <si>
    <t>Assessment Period Configuration</t>
  </si>
  <si>
    <t>Allow Estimators to select an LTA assessment period (e.g., 60–200 years).</t>
  </si>
  <si>
    <t>Asset Quantification Screen</t>
  </si>
  <si>
    <t>Provide a screen for entering LTA asset quantities for “with” and “without” scheme.</t>
  </si>
  <si>
    <t>Auto Quantity Mapping (CapEx → LTA)</t>
  </si>
  <si>
    <t>Automatically transfer CapEx quantities into O&amp;M/Renewals for LTA.</t>
  </si>
  <si>
    <t>Automated Profiling</t>
  </si>
  <si>
    <t>Auto-profile O&amp;M and Renewal interventions over the assessment period.</t>
  </si>
  <si>
    <t>Dedicated LTA Composite Library</t>
  </si>
  <si>
    <t>Use a specific LTA library with combined O&amp;M + Renewal composite Items.</t>
  </si>
  <si>
    <t>Intervention Tagging</t>
  </si>
  <si>
    <t>Tag asset interventions as New, Renew, Remove, or No-Change.</t>
  </si>
  <si>
    <t>LTA Output Reports</t>
  </si>
  <si>
    <t>Generate LTA cost output reports for the full assessment period</t>
  </si>
  <si>
    <t>LTA Profiling View</t>
  </si>
  <si>
    <t>Provide a screen showing yearly with-scheme vs without-scheme costs.</t>
  </si>
  <si>
    <t>LTA Rate Library Selection</t>
  </si>
  <si>
    <t>Select a dedicated LTA Item library containing composite rates.</t>
  </si>
  <si>
    <t>LTA Shell Creation</t>
  </si>
  <si>
    <t>Create an LTA estimate shell automatically when whole-life costing is requested.</t>
  </si>
  <si>
    <t>Manual Import/Export Option</t>
  </si>
  <si>
    <t>Allow export/edit/import of CapEx quantities as an MVP alternative.</t>
  </si>
  <si>
    <t>Parent/Child Estimate Structure</t>
  </si>
  <si>
    <t>Generate a parent structure combining CapEx + O&amp;M + Renewals + LTA.</t>
  </si>
  <si>
    <t>Remaining Age Capture</t>
  </si>
  <si>
    <t>Record remaining life for assets in both with-scheme and without-scheme scenarios.</t>
  </si>
  <si>
    <t>Segment Structure Matching</t>
  </si>
  <si>
    <t>Ensure the LTA estimate follows the same segmentation as the CapEx estimate.</t>
  </si>
  <si>
    <t>Segment-by-Segment Entry</t>
  </si>
  <si>
    <t>Allow Estimators to enter LTA quantities one segment at a time.</t>
  </si>
  <si>
    <t>Side-by-Side Quantity View</t>
  </si>
  <si>
    <t>Display CapEx, O&amp;M, and Renewal quantities together for validation.</t>
  </si>
  <si>
    <t>Use Existing Tagging Logic</t>
  </si>
  <si>
    <t>Reuse existing tagging and mapping logic from CapEx/O&amp;M workflows.</t>
  </si>
  <si>
    <t>Visibility of CapEx in LTA</t>
  </si>
  <si>
    <t>Allow visibility of CapEx Items within the LTA workflow.</t>
  </si>
  <si>
    <t>Miscellaneous</t>
  </si>
  <si>
    <t>Collapsible / Toggle-Based Screen Layout</t>
  </si>
  <si>
    <t>Use toggles/collapses to reduce scrolling on key screens.</t>
  </si>
  <si>
    <t>Consistent Lifecycle Stage Names</t>
  </si>
  <si>
    <t>Standard lifecycle stage names across the system.</t>
  </si>
  <si>
    <t>Estimate Browser &amp; Filtering</t>
  </si>
  <si>
    <t>Browse and filter estimates by hierarchy and ID/name.</t>
  </si>
  <si>
    <t>Improved User Navigation</t>
  </si>
  <si>
    <t>Clear titles, context and quick “home”/browser navigation.</t>
  </si>
  <si>
    <t>Enhanced BoQ Load with Resource Build-ups</t>
  </si>
  <si>
    <t>Upload full BoQs with Resource build-ups and manage delink/relink.</t>
  </si>
  <si>
    <t>Data Audit Trail</t>
  </si>
  <si>
    <t>Tracks source, date and validation of carbon, cost, EPD and inflation data to ensure full transparency.</t>
  </si>
  <si>
    <t>Estimate Review &amp; Approval Records</t>
  </si>
  <si>
    <t>Enables PM reviews without a CCET licence, digital approvals, timestamping, and tracking delegated reviewers.</t>
  </si>
  <si>
    <t>Benchmarking &amp; Outturn Comparison</t>
  </si>
  <si>
    <t>Compare estimates with outturn costs and benchmark metrics; supports metric libraries and comparison reports.</t>
  </si>
  <si>
    <t>Outturn vs Base Date Cost Handling</t>
  </si>
  <si>
    <t>Handle outturn prices and normalise to a base date.</t>
  </si>
  <si>
    <t>Analytical Assurance Support</t>
  </si>
  <si>
    <t>Attach assurance statements and flag plugged resources.</t>
  </si>
  <si>
    <t>Authorised Estimate Forecast Reports</t>
  </si>
  <si>
    <t>Report base costs, inflation and inflated costs over time.</t>
  </si>
  <si>
    <t>Digital Approval &amp; Timestamping</t>
  </si>
  <si>
    <t>Timestamp review and authorisation with name and role.</t>
  </si>
  <si>
    <t>Efficient Data Entry (Clicks)</t>
  </si>
  <si>
    <t>Minimise clicks while preserving data controls.</t>
  </si>
  <si>
    <t>Estimate vs IFT Comparison</t>
  </si>
  <si>
    <t>Compare estimated vs outturn costs at all WBS levels.</t>
  </si>
  <si>
    <t>External Data Currency Checks</t>
  </si>
  <si>
    <t>Use audit fields to check if external data is current.</t>
  </si>
  <si>
    <t>Other Miscellaneous Requirements</t>
  </si>
  <si>
    <t>Allows input of nominal (outturn) costs, profiling expenditure after project close, and uploading full BoQ with resources.</t>
  </si>
  <si>
    <t>Standards-Aligned Terminology</t>
  </si>
  <si>
    <t>Use terminology aligned to RICS/ICMS/PAS 2080/ISO 15686-5.</t>
  </si>
  <si>
    <t>Three-Point Estimating</t>
  </si>
  <si>
    <t xml:space="preserve">Supports min/most-likely/max estimating at cost-element level with Monte Carlo outputs and range reporting. (For all Estimate Types) </t>
  </si>
  <si>
    <t xml:space="preserve">Profiles </t>
  </si>
  <si>
    <t>Expenditure Profiles</t>
  </si>
  <si>
    <t>Assign annual expenditure percentages.</t>
  </si>
  <si>
    <t>Fee Calculation</t>
  </si>
  <si>
    <t>Apply fee % from fee library.</t>
  </si>
  <si>
    <t>Inflation Profiles</t>
  </si>
  <si>
    <t>Apply inflation to items, resources, R/O/U.</t>
  </si>
  <si>
    <t>Reports</t>
  </si>
  <si>
    <t>Estimate Comparison Reports</t>
  </si>
  <si>
    <t>Compare current vs last approved estimate or any two estimates; supports item-level, WBS-level and carbon comparisons.</t>
  </si>
  <si>
    <t>Fixed Reports &amp; Exports</t>
  </si>
  <si>
    <t>Standard National Highways reports (e.g., CESS, SAS, Economic Output) produced in set formats, exportable to PDF/Excel.</t>
  </si>
  <si>
    <t>Reference Estimate &amp; Comparator Reporting</t>
  </si>
  <si>
    <t>Ability to tag reference estimates and compare against multiple comparator estimates.</t>
  </si>
  <si>
    <t>Benchmark Reporting</t>
  </si>
  <si>
    <t>Ability to apply benchmark metrics and report estimate performance against benchmark values.</t>
  </si>
  <si>
    <t>Carbon Reduction Target (CAP) Reporting</t>
  </si>
  <si>
    <t>Reports comparing latest estimate to CAP at project, programme, and portfolio levels.</t>
  </si>
  <si>
    <t>Carbon Reporting</t>
  </si>
  <si>
    <t>Reports from Resource → Portfolio level, including PAS2080 breakdowns, risk-inclusive/exclusive values, and ICMS alignment.</t>
  </si>
  <si>
    <t>Demand Forecasting Reports</t>
  </si>
  <si>
    <t>BI-driven resource demand forecasts at project, programme, or portfolio level.</t>
  </si>
  <si>
    <t>Dynamic Reports &amp; Exports</t>
  </si>
  <si>
    <t>User-configurable reports created by selecting fields, filters, hierarchies and layouts. Can be exported to PDF/Excel.</t>
  </si>
  <si>
    <t>Estimate Composition Reports</t>
  </si>
  <si>
    <t>Cost and carbon breakdowns by WBS, asset, supplier, resource, location, and PAS2080 module.</t>
  </si>
  <si>
    <t>Estimate Release Files</t>
  </si>
  <si>
    <t>Fixed outputs such as CE300/approval forms, summary sheets, expenditure, economic outputs, and range/P-value reports.</t>
  </si>
  <si>
    <t>Evolution of Estimates (Trend Reports)</t>
  </si>
  <si>
    <t>Chronological cost and carbon evolution charts for any scheme.</t>
  </si>
  <si>
    <t>Final Cost vs Estimate Comparison</t>
  </si>
  <si>
    <t>Ability to ingest actual cost and compare final outturn with historic approved estimates.</t>
  </si>
  <si>
    <t>In-App Insights</t>
  </si>
  <si>
    <t>On-screen graphical summaries that give instant cost/carbon analysis without exporting or leaving the estimating screen.</t>
  </si>
  <si>
    <t>Item &amp; Resource Quantity Profiles</t>
  </si>
  <si>
    <t>Monthly/annual profiling of Item/Resource quantities, exportable to Excel.</t>
  </si>
  <si>
    <t>Management Reports</t>
  </si>
  <si>
    <t>Programme/portfolio views showing aggregated cost/carbon, key drivers, and progress against targets.</t>
  </si>
  <si>
    <t>Project Expenditure Reports</t>
  </si>
  <si>
    <t>Cost and carbon expenditure profiles over time (monthly/annual), viewable by Section, Cost Element, Resource, or PAS2080.</t>
  </si>
  <si>
    <t>Risk-Inclusive/Exclusive Reporting</t>
  </si>
  <si>
    <t>All relevant reports can show cost/carbon with or without Programme/Portfolio risk.</t>
  </si>
  <si>
    <t>TOTEX Reporting</t>
  </si>
  <si>
    <t>Reporting of PAS2080 A–C carbon totals and ICMS3-aligned cost/carbon summaries.</t>
  </si>
  <si>
    <t>RFE</t>
  </si>
  <si>
    <t>Unique Estimate Identification</t>
  </si>
  <si>
    <t>Assign unique IDs to estimates within portfolio/programme/project.</t>
  </si>
  <si>
    <t>Capture Estimate Details</t>
  </si>
  <si>
    <t>Enter purpose, details, contacts, project info.</t>
  </si>
  <si>
    <t>Risk</t>
  </si>
  <si>
    <t>Add Risks via Register</t>
  </si>
  <si>
    <t>Import detailed NH Risk Register.</t>
  </si>
  <si>
    <t>Section-Level Risk Entry</t>
  </si>
  <si>
    <t>Estimators can enter or override risk directly at Section level.</t>
  </si>
  <si>
    <t>Top-Down Risk %</t>
  </si>
  <si>
    <t>Apply % risk at element/section/total.</t>
  </si>
  <si>
    <t>Automatic Carbon Risk Calculation</t>
  </si>
  <si>
    <t>System converts cost risk to carbon risk using cost-to-carbon factors and allocates it across PAS2080 modules.</t>
  </si>
  <si>
    <t>Scenario Analysis</t>
  </si>
  <si>
    <t>Archive or Delete Scenario</t>
  </si>
  <si>
    <t>Keep, archive, or delete scenarios once analysis is complete.</t>
  </si>
  <si>
    <t>Convert Scenario to Formal Estimate</t>
  </si>
  <si>
    <t>Optionally convert a scenario into a formal estimate via the Request for Estimate process.</t>
  </si>
  <si>
    <t>Create Scenario</t>
  </si>
  <si>
    <t>Select projects and reference estimates to create a new scenario for analysis.</t>
  </si>
  <si>
    <t>Cross-Estimate Bulk Editing Tools</t>
  </si>
  <si>
    <t>Apply changes quickly across multiple scenario estimates.</t>
  </si>
  <si>
    <t>Edit Expenditure Profile</t>
  </si>
  <si>
    <t>Apply different expenditure profiles to cost elements.</t>
  </si>
  <si>
    <t>Edit Inflation Assumptions</t>
  </si>
  <si>
    <t>Change inflation profiles using the available inflation indices.</t>
  </si>
  <si>
    <t>Edit Rates</t>
  </si>
  <si>
    <t>Update rates individually or in bulk, including applying percentage changes or switching libraries.</t>
  </si>
  <si>
    <t>Edit Risk / Opportunity / Uncertainty</t>
  </si>
  <si>
    <t>Adjust risk registers or top-down risk allowances.</t>
  </si>
  <si>
    <t>Edit Schedule</t>
  </si>
  <si>
    <t>Update delivery milestones and lifecycle intervention frequencies.</t>
  </si>
  <si>
    <t>Edit Scope</t>
  </si>
  <si>
    <t>Change Sections, Items, and quantities, including using alternatives and copying changes across estimates.</t>
  </si>
  <si>
    <t>Record Basis of Scenario</t>
  </si>
  <si>
    <t>Capture the assumptions and changes made using a simple template.</t>
  </si>
  <si>
    <t>Scenario Estimate Duplication</t>
  </si>
  <si>
    <t>Creates an editable copy of the reference estimate with a “–SE” tag.</t>
  </si>
  <si>
    <t>Scenario Impact Reporting</t>
  </si>
  <si>
    <t>Produce comparison reports showing cost and carbon differences versus the baseline.</t>
  </si>
  <si>
    <t>System Access</t>
  </si>
  <si>
    <t>NH Landing Page</t>
  </si>
  <si>
    <t>Landing page showing tiles for core system areas.</t>
  </si>
  <si>
    <t>Estimating Tile</t>
  </si>
  <si>
    <t>Access and manage estimates.</t>
  </si>
  <si>
    <t>Request for Estimate Tile</t>
  </si>
  <si>
    <t>Submit new estimate requests.</t>
  </si>
  <si>
    <t>Interim Forecasting Tile</t>
  </si>
  <si>
    <t>Access IFT for forecasting updates.</t>
  </si>
  <si>
    <t>Single Sign-On</t>
  </si>
  <si>
    <t>Access system using NH single sign-on.</t>
  </si>
  <si>
    <t>Role-Based Access</t>
  </si>
  <si>
    <t>System permissions controlled by user roles.</t>
  </si>
  <si>
    <t>External Reviewer Access (No Licence)</t>
  </si>
  <si>
    <t>Send time-limited, view-only review links to non-licenced reviewers.</t>
  </si>
  <si>
    <t>Admin Tile</t>
  </si>
  <si>
    <t>System setup, configuration, and user management.</t>
  </si>
  <si>
    <t>Dashboard Tile</t>
  </si>
  <si>
    <t>Open Power BI dashboards for portfolios.</t>
  </si>
  <si>
    <t xml:space="preserve">Workflow </t>
  </si>
  <si>
    <t>Approval Workflow</t>
  </si>
  <si>
    <t>Approvers authorise or reject the estimate; authorisation locks editing.</t>
  </si>
  <si>
    <t>Assign Estimator &amp; Reviewers</t>
  </si>
  <si>
    <t>Managers assign who will produce and review each estimate.</t>
  </si>
  <si>
    <t>Automated Release Email</t>
  </si>
  <si>
    <t>System sends an issue email with links to all deliverables stored in SharePoint.</t>
  </si>
  <si>
    <t>Automatic Estimate Setup</t>
  </si>
  <si>
    <t>System creates the project and estimate structure automatically once a request is approved.</t>
  </si>
  <si>
    <t>Create Document Folders</t>
  </si>
  <si>
    <t>A standard SharePoint folder structure is generated and populated with uploaded files.</t>
  </si>
  <si>
    <t>Estimate Review Workflow</t>
  </si>
  <si>
    <t>Reviewers add comments and record review outcomes for the estimator to address.</t>
  </si>
  <si>
    <t>Generate CE300 Forms</t>
  </si>
  <si>
    <t>System generates cost and carbon CE300 approval forms automatically.</t>
  </si>
  <si>
    <t>Issue Estimate</t>
  </si>
  <si>
    <t>Estimator uploads deliverables and uses “Issue Estimate” to release the final pack.</t>
  </si>
  <si>
    <t>Request Review &amp; Approval</t>
  </si>
  <si>
    <t>Estimating Managers review, request changes, reject or approve submitted requests.</t>
  </si>
  <si>
    <t>Reviewer Access &amp; Notifications</t>
  </si>
  <si>
    <t>Reviewers are notified and can complete reviews in the system or via offline forms.</t>
  </si>
  <si>
    <t>Status Tracking</t>
  </si>
  <si>
    <t>Users can track progress of requests, reviews, approvals, and estimate status.</t>
  </si>
  <si>
    <t>Submit Estimate Request</t>
  </si>
  <si>
    <t>Users create and submit structured estimate requests with project details and documents.</t>
  </si>
  <si>
    <t xml:space="preserve">CCET Phase 3: Traceability Matrix </t>
  </si>
  <si>
    <t>FR Ref</t>
  </si>
  <si>
    <t xml:space="preserve">FR Descriptions </t>
  </si>
  <si>
    <t>Acceptance Criteria</t>
  </si>
  <si>
    <t>SRS Chapter Ref</t>
  </si>
  <si>
    <t>PRD Reference</t>
  </si>
  <si>
    <t>User Story / Epic</t>
  </si>
  <si>
    <t>Design Artefacts (Figma / Confluence)</t>
  </si>
  <si>
    <t>Development Status (Not Started / In Progress / Complete)</t>
  </si>
  <si>
    <t>UAT Script ID</t>
  </si>
  <si>
    <t>UAT Status (Pass/Fail)</t>
  </si>
  <si>
    <t>Defects Logged</t>
  </si>
  <si>
    <t>Story Points</t>
  </si>
  <si>
    <t>Progress (%)</t>
  </si>
  <si>
    <t>Owner</t>
  </si>
  <si>
    <t>Notes</t>
  </si>
  <si>
    <t>Evidence Link</t>
  </si>
  <si>
    <t>As an estimator I want to view the Carbon risk, opportunity and uncertainty allowances at Project, Programme and Portfolio Risk in embedded screens within the software for estimate types as per Scope Table A.</t>
  </si>
  <si>
    <t>An Estimator can view the following Carbon Risk Allowances side by side with the base estimate amounts on embedded screens within the estimate production interface for all Estimates:</t>
  </si>
  <si>
    <t>- Project Risk / Opportunity / Uncertainty allowance at Section and Total Project level</t>
  </si>
  <si>
    <t>- Programme Risk / Opportunity / Uncertainty allowance at Section and Total Project level</t>
  </si>
  <si>
    <t>- Portfolio Risk / Opportunity / Uncertainty allowance at Section and Total Project level</t>
  </si>
  <si>
    <t>Estimators should see full carbon calculations, i.e. quantity, carbon factors A to C, Risk, uncertainty, portfolio risk, etc in the software estimating process flow.</t>
  </si>
  <si>
    <t>When producing a carbon estimate, the Estimator can see the fields that provide the input to a calculated carbon value for each PAS 2080 module and stage by drilling down to access input fields for the outputs.</t>
  </si>
  <si>
    <t>Where a calculated carbon value is the aggregate and / or product of input carbon values, the inputs to the sum or product are visible on a screen with the output value, so that an Estimator can trace from where the output has been derived.</t>
  </si>
  <si>
    <t>In addition, these should be presented in Dashboards and reports. This principle applies to entire software configuration, not just the report need the outputs in the estimator screens to allow estimates to be finalised and issued before the data gets into the Dashboards or reports.</t>
  </si>
  <si>
    <t>Where a calculated carbon value in a report or dashboard is the aggregate and / or product of input carbon values, the inputs to the sum or product should be visible on a report with the output value, so that a reader of the report or dashboard can see from where the output has been derived.</t>
  </si>
  <si>
    <r>
      <t xml:space="preserve">Carbon report in PDF, Excel download, and Dashboards should be available from resource to portfolio and NH level, including risk. opportunity, </t>
    </r>
    <r>
      <rPr>
        <strike/>
        <sz val="12"/>
        <color theme="1"/>
        <rFont val="Arial"/>
        <family val="2"/>
      </rPr>
      <t>inflation</t>
    </r>
    <r>
      <rPr>
        <sz val="12"/>
        <color theme="1"/>
        <rFont val="Arial"/>
        <family val="2"/>
      </rPr>
      <t xml:space="preserve"> and portfolio risk, across a schedule (project schedule and across various RIS periods)</t>
    </r>
  </si>
  <si>
    <t>An Estimator can generate reports of Carbon Equivalent Value for an entire project that show:
Carbon by Resource summing to Item
Carbon by Item Summing to Cost Element and Section
Carbon by Cost Element and Section summing to Project
Carbon by Project summing to Programme
Carbon by Programme summing to Portfolio
An Estimator can generate reports of Carbon equivalent value that show base estimate, risk allowances and inflation from Section level through to Project, Programme and Portfolio Totals</t>
  </si>
  <si>
    <t>Risk - Allow the user to directly input Risk at a section level (Top down) - See FR 1790</t>
  </si>
  <si>
    <t>An Estimator can enter Cost and Carbon Risk top-down to a Section in an Estimate, instead of importing a risk register, e.g. if no risk register is available</t>
  </si>
  <si>
    <t>Ability to overwrite the calculated top-down carbon risk allowance. Where there is no risk register with quantified carbon, software should have the functionality to insert a top down risk allowance for carbon at cost element level.</t>
  </si>
  <si>
    <t>An Estimator can enter Cost and Carbon Risk top-down to a Section in an Estimate, instead of importing a risk register, e.g. if no risk register is available.</t>
  </si>
  <si>
    <t>When producing an authority estimate(baseline), where there is no risk register software should carry out automatic cost to carbon risk calculations based on risk% age or risk allowance in risk register at cost element level with proportionate allocation across PAS 2080 modules as previous discussed and details provided to Benchmark.</t>
  </si>
  <si>
    <t>A Carbon Risk top-down values at a Section level in an Estimate, can be distributed across the PAS 2080 modules for that estimate.
Please see acceptance criteria for FR1090 and FR1270.</t>
  </si>
  <si>
    <t>See FR 670 - Ability to overwrite the calculated top-down carbon risk allowance</t>
  </si>
  <si>
    <t>See FR 670</t>
  </si>
  <si>
    <t>See FRs 570, 580, 670 - Produce a Carbon Risk and Opportunity Allowance at the Project, Programme and Portfolio levels</t>
  </si>
  <si>
    <t>See FR 570</t>
  </si>
  <si>
    <t>See FR 670 - Calculate Carbon Risk and Uncertainty Allowance at the Cost Header (Cost Element) level using the Cost to Carbon Intensity Factor</t>
  </si>
  <si>
    <t>An Estimator can select an option for the generation of carbon risk allowances that uses calculations fixed in the CCET, and automatically produces carbon risk allowances at Section level as follows:</t>
  </si>
  <si>
    <t>Project Carbon Risk, Opportunity and Uncertainty allowance = (Base Carbon Estimate / Base Cost Estimate) x Project Cost Risk, Opportunity and Uncertainty allowance in % or £</t>
  </si>
  <si>
    <t>Programme Carbon Risk, Opportunity and Uncertainty allowance = (Base Carbon Estimate / Base Cost Estimate) x Programme Cost Risk, Opportunity and Uncertainty allowance in % or £</t>
  </si>
  <si>
    <t>Portfolio Carbon Risk, Opportunity and Uncertainty allowance = (Base Carbon Estimate / Base Cost Estimate) x Portfolio Cost Risk, Opportunity and Uncertainty allowance in % or £</t>
  </si>
  <si>
    <t>As an Estimator I need the software to apply risk using one of two methods:</t>
  </si>
  <si>
    <t>An Estimator can select one of the following options available in the CCET for the method to generate Project Carbon Risk / Opportunity / Uncertainty allowances at Section level in an estimate across PAS 2080:</t>
  </si>
  <si>
    <t>1) Top down risk % allowance, based upon a risk matrix method (e.g. level of scheme design info available and scheme technical complexity) which is then applied at Section level</t>
  </si>
  <si>
    <t>1. Automatic top-down calculation of allowances based on calculation the Project Carbon Risk / Opportunity / Uncertainty allowance x (Base Carbon Estimate/Base Cost Estimate) - as per FR1090</t>
  </si>
  <si>
    <t>2) Import of a risk register, which is then applied at Section level</t>
  </si>
  <si>
    <t>2. User input of 'top-down' % values (producing an allowance of the entered percentage x the base carbon estimate) or an input of a kGCO2e value</t>
  </si>
  <si>
    <t>See 1270 - Risk - Top down estimating approach</t>
  </si>
  <si>
    <t>3. Import of a carbon risk register to generate a 'bottom-up' calculation of Project Carbon Risk / Opportunity / Uncertainty allocated across Section levels in an Estimate</t>
  </si>
  <si>
    <t>For each client baseline cost estimate, the user should be able to view an identical client carbon estimate</t>
  </si>
  <si>
    <t>The CCET generates a carbon estimate for a cost estimate in the system by automatically applying carbon Item and Resource libraries (including cost-to-carbon factors) to the unchanged Segments, Sections and Items in the cost estimate, i.e. the basis of the cost and carbon estimates is identical from Item level upwards.</t>
  </si>
  <si>
    <t>Software should flag a carbon factor which has not been assured by an assurer(different from project user).</t>
  </si>
  <si>
    <t>Carbon factors used in an estimate that have not been assured by National Highways are identified in the CCET by an 'Unassured' flag for the relevant Resource.</t>
  </si>
  <si>
    <t>Software should allow resource build to be delinked with item level carbon so that where resource build is not available carbon factors can be plugged in at item level and when data is available replaced by resource build.</t>
  </si>
  <si>
    <t>Multiple libraries of works items can be stored in the system.</t>
  </si>
  <si>
    <t>When producing an estimate for a given lifecycle stage, an estimator can select the Item library estimator wishes to use to apply a cost rate to an individual Item.</t>
  </si>
  <si>
    <t>When producing an estimate for a given lifecycle stage, an estimator can select the Item library estimator wishes to use to apply a carbon rate to an individual Item.</t>
  </si>
  <si>
    <t>For a given lifecycle stage, an Estimator can apply multiple cost and carbon libraries to the Items within a single estimate.</t>
  </si>
  <si>
    <t>The Items in an item library for cost and carbon may have a detailed resource build-up of labour, plant, materials, and / or subcontractor resources, or an item may be a simple unit rate with only a subcontractor resource in the Item.</t>
  </si>
  <si>
    <t>An Estimator can "delink" the resources in an Item from the Resource Library, so that the Resource Rate is not calculated using the Item build-up and resource rates in the library and can be edited by the Estimator.</t>
  </si>
  <si>
    <t>An Estimator can create an Item in an estimate, and produce a build-up of Resources for that Item. The Resource build-up can be a full first-principles build up of labour, plant and materials resources, or it can be a unit rate with a single Resource linked to the Item description to create an Item rate.</t>
  </si>
  <si>
    <t>Record C2, C3 and C4 emission factors at the Resource level, and generate calculations for all estimates as per Scope Table A.</t>
  </si>
  <si>
    <t>The Carbon libraries contain fields for each of modules C2, C3 and C4 at Resource level.</t>
  </si>
  <si>
    <t>Carbon equivalent values can be entered in carbon library fields for each of modules C2, C3 and C4 and populate a carbon equivalent value for these modules in an estimate when then library is applied.</t>
  </si>
  <si>
    <t>Carbon equivalent values can be generated at Resource level in an estimate for modules C2, C3 and C4, rolling up to Item, Section, Project, Programme and Portfolio level.</t>
  </si>
  <si>
    <t>As an Estimator, I want to be able to record sequestered carbon within the estimate calculated in accordance with RICS 2nd Edition of WL Carbon Assessment as per the module structure provided by Circular Ecology - this may be a placeholder at estimate level.</t>
  </si>
  <si>
    <t>The Carbon libraries contain fields to hold Sequestered Carbon for each of Sequestered Carbon modules identified in the provided file ref. "W.16 - Modules for Whole Life Carbon and alignment to latest RICS guidance"</t>
  </si>
  <si>
    <t>Carbon equivalent values can be entered in carbon library fields for each of Sequestered Carbon for each of Sequestered Carbon modules identified in the provided file ref. "W.16 - Modules for Whole Life Carbon and alignment to latest RICS guidance" and populate a carbon equivalent value for these modules in an estimate when then library is applied.</t>
  </si>
  <si>
    <t>Carbon equivalent values can be generated at Resource level in an estimate for each of Sequestered Carbon modules identified in the provided file ref. "W.16 - Modules for Whole Life Carbon and alignment to latest RICS guidance" , rolling up to Item, Section, Project, Programme and Portfolio level.</t>
  </si>
  <si>
    <t>An estimate can be configured to hold a single carbon equivalent value at Project level for each of Sequestered Carbon modules identified in the provided file ref. "W.16 - Modules for Whole Life Carbon and alignment to latest RICS guidance" provided that these fields are not populated at Resource level for other items.</t>
  </si>
  <si>
    <t>Outturn profile of Embodied carbon to be calculated for the assumed carbon quantities from each time period and the carbon emission factors in respective time period</t>
  </si>
  <si>
    <t>CCET calculates carbon profile using the resource quantities required for each time period multiplied by the associated carbon factors and provides KgCo2e for each respective PAS2080 module.</t>
  </si>
  <si>
    <t>As an estimator or estimating manager I am able to both view on-screen and export the Carbon expenditure profile as per (C)CESS (aligned to WBS) on a year-by-year basis.</t>
  </si>
  <si>
    <t>As an Estimator I need the software to be capable of capturing carbon costs monthly for up to the first 5-years. I should be able to define the period I require monthly carbon cost forecasting. For the remaining assessment period, carbon should be captured at an annual level</t>
  </si>
  <si>
    <t>CCET calculates carbon calculations across PAS2080 modules at monthly level for first five years and annually for period exceeding 5 years. Estimator can define the period across which he/she requires the carbon estimate for.</t>
  </si>
  <si>
    <t>As an estimator or estimating manager I am able to drill-down on-screen and see, and export, the Carbon expenditure profile as per (C)CESS structure (aligned to WBS) by month for estimates other than long term appraisal estimates (for which I can see expenditure by year)</t>
  </si>
  <si>
    <t>As an estimator, I want to be able to see the expenditure profile for an estimate easily using the same User interface as for estimate production, i.e. not have to leave the estimate production module in order to view the estimated expenditure profile. For example, PowerBI dashboards or PDF reports are not a replacement for user interface / screens presenting this information in the estimating module itself.</t>
  </si>
  <si>
    <t>As an estimator or estimating manager I am able to directly access the cost and carbon expenditure profile for the estimate from the main estimate build-up screen.</t>
  </si>
  <si>
    <t>See FR 1120 - View the carbon expenditure profile over time by WBS (Work Breakdown Structure) CESS and by Resource??</t>
  </si>
  <si>
    <t>An Estimator can view the estimated cost expenditure over the assessment period from within the estimate production interface screens</t>
  </si>
  <si>
    <t>An Estimator can view the estimated cost expenditure and carbon expenditure over the assessment period accessible within the estimate production interface screens</t>
  </si>
  <si>
    <t>The estimated cost and carbon expenditures can be viewed by WBS / CESS structure and by Resource and show base estimate cost and carbon. Risk and inflation allowances are visible above Section level (as risk is not allocated at Item level or Resource level).</t>
  </si>
  <si>
    <t>As an Estimator I need to be able to produce Routine Maintenance cost estimates for two purposes:
1) Impact of a CAPEX scheme (MP delivered) on Routine Maintenance over a user-defined assessment period of up to 200 years.
2) Detailed forecast spend on Routine Maintenance activities for a specific National Highways SRN Area (e.g. Area 10, SW, EMAD etc.)</t>
  </si>
  <si>
    <t>See SRS Chapter 3&amp;4 for Standalone Detailed O&amp;M estimate for Acceptance Criteria and Design Specifications for (up to 20 years) assessment period.
• A CCET User can produce an OMR estimate for the Without and With Scheme scenarios to produce the impact on cost and carbon of a CAPEX* scheme on OMR duties over a user-configurable estimate duration from 1 to 200 years.
• *CAPEX work can be either an enhancement or renewal scheme, delivered and funded by National Highways Major Projects (RIP, CIP etc.) or Operations (Area 10, Area SW etc.)
• A CCET User can view and amend the OMR estimate data at an annual level of detail over the assessment period</t>
  </si>
  <si>
    <t>As an estimator, I want to be able to select the time period which is to be covered by the estimate (user-configurable period, e.g. 60 / 100 / 150 years, the "assessment period")#</t>
  </si>
  <si>
    <t>• OMR assessment will produce the outputs in a format agreed with National Highways, for use within the CAPEX scheme appraisal (i.e. economic assessment process)
• The scope of operation, maintenance and renewal works included within OMR estimate is configurable by the Estimator to satisfy the scheme specific requirements</t>
  </si>
  <si>
    <t>For estimates that are for standalone schemes / M&amp;R contracts (over shorter timescales, e.g. less than 10 years) expenditure profiles should be available by month.
For longer term estimates required for whole life cost over longer assessment periods (e.g. 60 years) expenditure data should be available by year.</t>
  </si>
  <si>
    <t>• The software will apply a default annual expenditure profile for all OMR activities, which will produce estimated annual O&amp;MR costs</t>
  </si>
  <si>
    <t>As a system administrator, I want to be able to set up a configurable cost estimate structure for each of the lifecycle stages set out in Table A of Scope.</t>
  </si>
  <si>
    <t>• An Administrator, following receipt of an RfE, can establish in the software a long-term assessment OMR estimate to satisfy the relevant lifecycle stages set out in Table A of the Scope
• Each lifecycle stage shall have one WBS configured for that stage
• Different cost plans for a scheme can be prepared by structuring an estimate by location (e.g. Segment), asset, work package/Supplier</t>
  </si>
  <si>
    <t>Assign one or more cost plans (estimate type in Table A of Scope) for each lifecycle to a Scheme - Covered by FR 10</t>
  </si>
  <si>
    <t>Software to be configured to allow both detailed bottom up TOTEX estimates to be produced (both MP and AR) in future as well as top-down TOTEX estimates, using composite rates for both M&amp;R and Asset Renewals works.</t>
  </si>
  <si>
    <t>• A CCET User can select a template which is stored in the software to produce the O&amp;M and Asset Renewal estimate
• Pre-defined templates will facilitate estimate production using varying levels detail – e.g. use of Supplier specific, regionalised contractual rates or composite unit rates (O&amp;M cost per lane km)
• A CCET User can fully configure any template within the software to produce the estimate at the level of detail required for their scheme specific requirements</t>
  </si>
  <si>
    <t>As an Estimator, I want all estimates to follow a consistent structure as set out by the MP CESS as follows: Base Estimate, Risk / Opportunity / Uncertainty (at Project, Programme and Portfolio Levels), Expenditure Profiling and Inflation.</t>
  </si>
  <si>
    <t>• A CCET User can produce the estimate using the relevant shell for the O&amp;M and Asset Renewal components of the OMR estimate
• The OMR shell(s)shall be consistent with National Highways CESS, which will include Base, Risk/Opportunity (Project, Programme/Portfolio Level)
• The WBS for long-term appraisal OMR estimates will be consistent with the WBS for standalone O&amp;M and Asset Renewals estimates at the upper levels of the Work Breakdown Structure (e.g., CESS heading)
• A CCET User can finalise each estimate part of a whole lifecycle cost estimate (i.e. CAPEX, OMR and combined) in Real Terms and then apply an inflation profile(s), which are stored in the software library, to produce estimates in Nominal Terms</t>
  </si>
  <si>
    <t>As a user I want to be able to identify an estimate as belonging to the "do-something" or the "do-nothing" scenario</t>
  </si>
  <si>
    <t>• A User can produce a long-term O&amp;M and Asset Renewal estimates (cost and carbon) for the Without and With Scheme scenarios for a user configurable assessment period up to 200-years
• A User can select the relevant Without and With Scheme scenario estimates for O&amp;M and Asset Renewals to produce the incremental OMR cost estimate for the scheme
• The software will produce the OMR estimate outputs which are required for the economic appraisal of the scheme
• An Administrator can update/configure the data library within the software which stores the inflation series, GDP deflator series and Discounting factors which can be applied to produce the economic appraisal of the scheme</t>
  </si>
  <si>
    <t>Generate Estimate Reports for each of the following - Do-Minimum, Do-Something, Incremental difference
1440</t>
  </si>
  <si>
    <t>As an estimator, I want the ability to have a consolidated TOTEX estimate for an MP Enhancement scheme. This will show the MP Capex, it's impact on M&amp;R and its impact on Asset Renewals within a single TOTEX estimate and report.</t>
  </si>
  <si>
    <t>• A User can produce a consolidated TOTEX estimate for a scheme, which comprise CAPEX, O&amp;M and Asset Renewal estimates
• A User can select the TOTEX assessment period up to 200-years</t>
  </si>
  <si>
    <t>As an estimator, I want the ability to have a consolidated TOTEX estimate for an Asset Renewals scheme. This will show the AR Capex, it's impact on M&amp;R and it's impact on Asset Renewals within a single TOTEX estimate and report.</t>
  </si>
  <si>
    <t>As an estimator, I want to be able to select the time period which is to be covered by the estimate (user-configurable period, e.g. 60 / 100 / 150 years, the "assessment period")</t>
  </si>
  <si>
    <t>• A User can produce an OMR estimate for an assessment period of 1 to 200 years. The assessment period will be specified by the Project Team in the RfE
• A User can amend this assessment period if required after the estimate inception meeting</t>
  </si>
  <si>
    <t>See SRS Chapter 3&amp;4 for Standalone Detailed O&amp;M estimate for Acceptance Criteria and Design Specifications for (up to 20 years) assessment period. 
• A User can produce a long-term OMR estimate where the O&amp;M and Asset Renewal activity quantities can be forecast at an annual level of detail, which will produce the annual forecast expenditure
• A User can view and amend the O&amp;M and Asset Renewal annual forecast expenditure</t>
  </si>
  <si>
    <t>As an estimator, I want to be able to segment the OMR estimate (MP and Renewals and therefore WLC estimate) so that I can see the quantity, cost and carbon per segment (capex, OMR, renewals, WLC)</t>
  </si>
  <si>
    <t>•A User can Segment the O&amp;M and Asset Renewals estimates
• The Segments for the OMR estimate can match the Segmentation applied in the related CAPEX estimate
• The Base estimate for cost and carbon will be calculated per Segment, for costs that are segmented
• The Base estimate for all Segments can be aggregated to produce a total Base estimate (cost and carbon) for the project
• Risk/Uncertainty, inflation and other on-costs with associated carbon will be applied to the total Base estimate</t>
  </si>
  <si>
    <t>As an estimator, I want an easy way of setting an intervention quantity (i.e. scope) for each year of a long-term assessment period.
Long-term projections for intervention quantities for M&amp;R estimates - Calculate intervention quantities for a reference year (e.g. detailed year 1 or average over first 5 years) and project to apply across the assessment period.</t>
  </si>
  <si>
    <t>See SRS Chapter 3&amp;4 for Standalone Detailed O&amp;M estimate for Acceptance Criteria and Design Specifications for (up to 20 years) assessment period
•
A User can specify the O&amp;M Intervention Frequency and Asset Renewal Frequency for all Assets included within the OMR estimate
•
For O&amp;M activities, a User can enter Asset Quantities and Intervention Frequency to produce the annual Intervention Quantity for each O&amp;M activity
•
A User can access the library of default Intervention Frequencies (e.g. ADAMR or similar) in the software and apply these Intervention Frequencies to the O&amp;M activities
•
A User can apply a bespoke Intervention Frequency to any O&amp;M activity within the estimate – this will not change the default Intervention Frequencies (e.g. ADAMR or similar) stored in the software library
• The annual Intervention Quantity will be applied to each year within the assessment period of the O&amp;M estimate
• A User can review and amend the annual Intervention Quantity for any year within the assessment period of the O&amp;M estimate
• For Asset Renewals a User can assign Asset Quantities and Asset Renewal Frequencies (i.e. lifespan of the asset) for each Asset Renewal activity
• A User can access the library of default Asset Renewal Frequencies in the software and apply these Renewal Frequencies to the Asset Renewal activities
• A User can apply a bespoke Renewal Frequencies to any Asset Renewal activity within the estimate – this will not change the default Renewal Frequencies stored in the software library
• A User can specify the remaining lifespan of existing assets (either through a % remaining or years remaining input)
• The Assets included within the estimate will be renewed when their age is equal to the Asset Renewal Frequency specified by the User
• A User can review and amend the Asset Renewal Quantity for any year within the assessment period of the Asset Renewal estimate</t>
  </si>
  <si>
    <t>As an Estimator, for detailed Routine Maintenance cost estimates (1), I need the software to apply a spend profile for each Routine Maintenance activity on a monthly basis (i.e. grass cutting only applied between April and October).
For long term CAPEX linked Routine Maintenance estimates (2) I need the spend profile to be applied at an annual level of detail.</t>
  </si>
  <si>
    <t>For assessment of Asset Renewal costs associated with the CAPEX scheme (1), as an Estimator I need the software to apply relevant renewal unit rates to the asset quantities input by the Estimator within the long term OMR assessment . In addition to these unit rates, there will be a top-down inclusion for Prelims, TTM, Design, SU and Other costs.
For assessment of Asset Renewal costs associated with the CAPEX scheme, as an Estimator I need to be able to tag Asset Renewal quantities and associated activities as either New, Remove or Renewed within the software
The all-in composite rates shall be stored and maintained in a dedicated library.</t>
  </si>
  <si>
    <t>• A User can assign Asset quantities for each Segment into one of the New, Remove or Renew categories in the With Scheme scenario
• The Without Scheme scenario, will not require New, Remove or Renew categories for the Asset quantities to be entered
• The software will have an error check function to ensure that the Asset quantities in the With and Without scheme scenarios are consistent and not invalid. The software will not allow the estimate to progress if the Asset quantities in both scenarios are not valid
• Multiple Asset Renewal Item libraries for cost and carbon will be stored in the software
• A User can select which Asset Renewal Item library will be applied within the Asset Renewal estimate
• A User can select to apply different Asset Renewal Item libraries to produce the cost and carbon estimates
• National Highways can configure the Item libraries to include Items with first principles resource build-ups or composite unit rates which include top-down allowances to produce all-in composite rates (e.g. TTM, design, prelims, SU etc.</t>
  </si>
  <si>
    <t>Produce a Do-Something case estimate - with the ability to identify New, Renewed, Removed, Unchanged assets for MP and Asset renewals schemes' TOTEX</t>
  </si>
  <si>
    <t>For assessment of Asset Renewal costs associated with the CAPEX scheme (2), as an Estimator I need the software to apply the relevant unit rates for each renewal activity. In addition to these unit rates, the software will apply a top down adjustment for Prelims, TTM, Design, SU, Other costs and Fee. [duplicate of FR 1161]</t>
  </si>
  <si>
    <t>Setup a "Long term AR" Item Library with "all in rates" (Periodic Items) with the internal Resource buildup and carbon, but without the variables (uplifts)</t>
  </si>
  <si>
    <t>For long term (whole life) asset renewals estimates, the quantity of item works in a given year will be calculated from the quantity of assets to be renewed and the asset renewal frequency. The estimator will want the ability to overwrite these default quantities with a specific quantity.</t>
  </si>
  <si>
    <t>• A User can specify the OMR assessment period from 1-200 years
• A User can specify the Asset Quantity, % of asset to be renewed at each intervention and Renewal Frequency (i.e. lifespan of the Asset) for each Segment within the Asset Renewal estimate
• A User can specify the remaining lifespan of existing Assets (either through a % or year value input)
• A User can apply either a default Renewal Frequencies or a bespoke Renewal Frequency to any Asset Renewal activity within the estimate – this will not change the default Asset Renewal Frequency stored in the software library
• The Assets included within the estimate will be renewed when their age is equal to the Asset Renewal Frequency specified by the User
• A User can review and amend the Asset Renewal Quantity for any year within the assessment period of the Asset Renewal estimate</t>
  </si>
  <si>
    <t>For MP OMR estimate, administrative screens to be produced to allow configuration as per the OMR model issued to be set, these include
Software to allow selection of user-configurable assessment period, e.g. 60 or 120 years.
Software to allow asset renewal frequencies over assessment period to be set for various new assets.
Software to allow setting of residual life for various existing assets on Opening to traffic based on either user input per asset or default set at x%. And then setting frequencies similar to new assets for renewed existing assets based on first renewal after opening to traffic.</t>
  </si>
  <si>
    <t>Ability to overwrite the calculated top-down carbon risk allowance. Where there is no risk register with quantified carbon, software should have the functionality to insert a top down risk allowance for carbon at cost element level.
When producing an authority estimate (baseline), where there is no risk register software should carry out automatic cost to carbon risk calculations based on risk% age or risk allowance in risk register at cost element level with proportionate allocation across PAS 2080 modules as previous discussed and details provided to Benchmark.
This applies to all carbon estimate types as per Table A in the Scope.</t>
  </si>
  <si>
    <r>
      <t xml:space="preserve">• A User can apply a cost risk/uncertainty allowance at Section level within the OMR cost estimate, based on either a risk register or a top-down risk approach
• The software shall apply cost to carbon risk calculations based on risk allowance in risk register at Section level with proportionate allocation </t>
    </r>
    <r>
      <rPr>
        <sz val="12"/>
        <color rgb="FFFF0000"/>
        <rFont val="Arial"/>
        <family val="2"/>
      </rPr>
      <t>to</t>
    </r>
    <r>
      <rPr>
        <sz val="12"/>
        <color theme="1"/>
        <rFont val="Arial"/>
        <family val="2"/>
      </rPr>
      <t xml:space="preserve"> the relevant PAS 2080 modules (B2—B5 for O&amp;M estimates)
• A User shall be able to edit the cost and carbon risk allowances generated by the default top-down approach</t>
    </r>
  </si>
  <si>
    <t>Software should allow multiple price base selection across Cost elements under segments with choice allowing inflation profile to be applied or not applied (i.e. outturn)</t>
  </si>
  <si>
    <r>
      <t xml:space="preserve">• </t>
    </r>
    <r>
      <rPr>
        <sz val="12"/>
        <color rgb="FFFF0000"/>
        <rFont val="Arial"/>
        <family val="2"/>
      </rPr>
      <t>An estimator can apply multiple</t>
    </r>
    <r>
      <rPr>
        <sz val="12"/>
        <color theme="1"/>
        <rFont val="Arial"/>
        <family val="2"/>
      </rPr>
      <t xml:space="preserve"> rate libraries to the Items in an estimate and the libraries can be at multiple price bases. Upon allocation of the rate from the library to an estimate, the rate shall be rebased in the estimate to a common price base for the estimate that is selected by the Estimator. Therefore, an estimate can use source rates that have a different </t>
    </r>
    <r>
      <rPr>
        <sz val="12"/>
        <color rgb="FFFF0000"/>
        <rFont val="Arial"/>
        <family val="2"/>
      </rPr>
      <t>price base at</t>
    </r>
    <r>
      <rPr>
        <sz val="12"/>
        <color theme="1"/>
        <rFont val="Arial"/>
        <family val="2"/>
      </rPr>
      <t xml:space="preserve"> Item </t>
    </r>
    <r>
      <rPr>
        <strike/>
        <sz val="12"/>
        <color rgb="FFFF0000"/>
        <rFont val="Arial"/>
        <family val="2"/>
      </rPr>
      <t>cost element</t>
    </r>
    <r>
      <rPr>
        <sz val="12"/>
        <color rgb="FFFF0000"/>
        <rFont val="Arial"/>
        <family val="2"/>
      </rPr>
      <t xml:space="preserve"> level and apply any expenditure and inflation profile from the library</t>
    </r>
    <r>
      <rPr>
        <sz val="12"/>
        <color theme="1"/>
        <rFont val="Arial"/>
        <family val="2"/>
      </rPr>
      <t xml:space="preserve"> to that Item.
• </t>
    </r>
    <r>
      <rPr>
        <sz val="12"/>
        <color rgb="FFFF0000"/>
        <rFont val="Arial"/>
        <family val="2"/>
      </rPr>
      <t>Where required at cost element level Estimator can select the</t>
    </r>
    <r>
      <rPr>
        <sz val="12"/>
        <color theme="1"/>
        <rFont val="Arial"/>
        <family val="2"/>
      </rPr>
      <t xml:space="preserve"> Item </t>
    </r>
    <r>
      <rPr>
        <sz val="12"/>
        <color rgb="FFFF0000"/>
        <rFont val="Arial"/>
        <family val="2"/>
      </rPr>
      <t xml:space="preserve">cost element and identify/mark it as Outturn, so no inflation calculations are applied at </t>
    </r>
    <r>
      <rPr>
        <sz val="12"/>
        <color theme="1"/>
        <rFont val="Arial"/>
        <family val="2"/>
      </rPr>
      <t xml:space="preserve">Item </t>
    </r>
    <r>
      <rPr>
        <strike/>
        <sz val="12"/>
        <color rgb="FFFF0000"/>
        <rFont val="Arial"/>
        <family val="2"/>
      </rPr>
      <t>cost element</t>
    </r>
    <r>
      <rPr>
        <sz val="12"/>
        <color rgb="FFFF0000"/>
        <rFont val="Arial"/>
        <family val="2"/>
      </rPr>
      <t xml:space="preserve"> level, whilst still having the ability to forecast the expenditure using an expenditure profile from the library.
</t>
    </r>
    <r>
      <rPr>
        <sz val="12"/>
        <color theme="1"/>
        <rFont val="Arial"/>
        <family val="2"/>
      </rPr>
      <t xml:space="preserve">
• A User has the flexibility to produce OMR estimates in multiple configurable formats
• The software will store multiple inflation, discounting and market adjustment factors within the library for use in OMR estimates
• An Administrator can update the stored data in the software library
• A User can apply a stored inflation profile from the software library, to the unit rate data from the software rate library, to adjust the rates to a common price base
• A User can apply a stored inflation profile from the software library, to the estimated OMR costs at a common price base to produce the outturn costs (i.e. inclusive of future inflation)
• For use in economic appraisal a User can produce estimated outputs in the following formats:
          • In real and nominal terms
          • Pre- and Post-discounting
           Pre- and Post-market adjustment factors</t>
    </r>
  </si>
  <si>
    <t>As an Estimator I need the software to apply forecast inflation from the unit rate base date (PAFI adjusted annually) over the assessment period based on the approved NH inflation series.
I also need the software to apply inflation, discounting and Market Adjustment Factors, for long term OMR cost assessments.</t>
  </si>
  <si>
    <t>See FR 870 - Inflation - Apply monthly inflation indices to Item rates in base estimate to generate inflated estimates for each year across the assessment period (where assessment period is 5 years or less) - then summarise at a yearly level (for longer assessment periods)</t>
  </si>
  <si>
    <t>See FR 910 - View the estimated costs in real terms at a set price based, inclusive of relative price growth.</t>
  </si>
  <si>
    <t>View estimated costs inclusive of discounting and market adjustment factor
As an estimator, I need to produce TOTEX cost estimates that show estimated costs with and without discounting, and with / without relative price growth and the option to apply market adjustment factors or not. The discount factors and relative price growth factors applied in the estimate should be clearly presented to users and in reports.</t>
  </si>
  <si>
    <t>I need the software to collate the forecast Routine Maintenance costs to the National Highways O&amp;M WBS, which currently aligns with the M&amp;R contract structure for use in the detailed Routine Maintenance spend forecast (i.e. Schedule A, C, D etc.) over the assessment period.
The estimated cost data within the WBS can then be re-organised to produce the impact of a CAPEX scheme (MP or Operations delivered) on Routine Maintenance over the assessment period, to satisfy the requirements of the BCR process. This will include the application of inflation, discounting and Market Adjustment Factors.
This will require the software to produce multiple outputs each for specific purposes (e.g. real terms, nominal terms, post-discounting etc.)</t>
  </si>
  <si>
    <t>• See SRS Chapter 3&amp;4 for Standalone Detailed O&amp;M estimate for Acceptance Criteria and Design Specifications for (up to 20 
years) assessment period
• A User has the flexibility to produce OMR estimates in multiple configurable formats
• For use in economic appraisal a User can produce estimated outputs in the following formats:
• In real and nominal terms
• Pre- and Post-discounting
• Pre- and Post-market adjustment factors</t>
  </si>
  <si>
    <t>Software must generate an automated release email with links to the estimate outputs from data stored in estimate data base for the estimate being released. This should include, form 300, Economic output sheet, Water fall diagram, CESS, etc as per NH formal estimate release including links to IFT and Dashboards for the project.</t>
  </si>
  <si>
    <t>• A User can produce the estimate outputs (cost and carbon) using default templates stored within the software, outputs will include, but are not limited to:
     • Estimate approval form
     • Estimate release email
     • Estimate comparison charts (waterfall diagrams etc.)
     • Outputs for use in economic appraisal process
     • Quantity and expenditure profile
     • Hyperlinks to the estimate release information</t>
  </si>
  <si>
    <t>As an estimating manager, I want the system to produce an Estimate Approval Form, similar to the existing MP CE300 form for each estimate in Scope Table A.</t>
  </si>
  <si>
    <t>The estimate approval form for all estimate types set out in Scope Table A should allow tables and graphics to be included on the completed Estimate Approval Form.</t>
  </si>
  <si>
    <t>As an Estimator, I need to be able to produce Routine Maintenance cost estimates for two purposes:
1) Impact of a CAPEX project (MP delivered) on Routine Maintenance over a user-defined assessment period of up to 200 years.
2) Detailed forecast spend on Routine Maintenance activities for a specific National Highways SRN Area (e.g. Area 10, SW, EMAD, etc.)</t>
  </si>
  <si>
    <r>
      <t xml:space="preserve">1) See SRS Chapter 2, Long-Term Appraisal for Acceptance Criteria and Design Specifications for long-term (up to 200 years) assessment period.
</t>
    </r>
    <r>
      <rPr>
        <sz val="12"/>
        <color rgb="FFFF0000"/>
        <rFont val="Arial"/>
        <family val="2"/>
      </rPr>
      <t>• An Estimator</t>
    </r>
    <r>
      <rPr>
        <sz val="12"/>
        <color theme="1"/>
        <rFont val="Arial"/>
        <family val="2"/>
      </rPr>
      <t xml:space="preserve"> can create a standalone O&amp;M cost estimate for a whole SRN Network Area or a specific section of a National Highways Operations Area/Region for an assessment period of up to 20 years.
</t>
    </r>
    <r>
      <rPr>
        <sz val="12"/>
        <color rgb="FFFF0000"/>
        <rFont val="Arial"/>
        <family val="2"/>
      </rPr>
      <t>• An Estimato</t>
    </r>
    <r>
      <rPr>
        <sz val="12"/>
        <color theme="1"/>
        <rFont val="Arial"/>
        <family val="2"/>
      </rPr>
      <t>r can view and amend O&amp;M cost estimate data at a monthly level of detail over the assessment period
• The system has an administrator-controlled list of Areas that NH can configure in accordance with National Highways SRN term maintenance Area names (e.g. Area 10, SW, EMAD, etc.)
• The Area to which an estimate belongs is identified in the estimate details</t>
    </r>
  </si>
  <si>
    <t>3&amp;4</t>
  </si>
  <si>
    <t>As an estimator, I need to produce an estimate for M&amp;R in accordance with the NH WBS for Routine Operation and Maintenance, covering: dedicated Cost Elements for O&amp;M - the library would require to store the WBS for the M&amp;R estimate to cover the below.- Cyclical Duties- Non - Cyclical Duties - Cost Reimbursable Services</t>
  </si>
  <si>
    <t>The Estimate Template contained in the Estimate Output Type library can be configured by an Administrator to cover a WBS for O&amp;M estimates, for example covering:
▪ Cyclical works’ Items
▪ Non-cyclical works’ Items
▪ Other cost-reimbursable O&amp;M works Items</t>
  </si>
  <si>
    <t>Dedicated Cost Elements for O&amp;M - the library would require to store the WBS for the M&amp;R estimate to cover the below.
- Cyclical Duties- Non 
- Cyclical Duties 
- Cost Reimbursable Services - Task Orders 
See FR 820</t>
  </si>
  <si>
    <t>The estimate template for O&amp;M estimates populates O&amp;M estimate shells with a standardized WBS and hierarchy, configured by the Administrator.
The Item libraries stored in the CCET for O&amp;M works can be configured by an Administrator, so that library Item descriptions align with the Item descriptions in the desired O&amp;M Item list, e.g. National Highways’ ADAMR O&amp;M works Items / Activities.
O&amp;M works’ Items / activities can be associated with a specific place in the WBS, e.g.
WBS Section and Sub-divisions of Sections, e.g. Asset class and Asset name.</t>
  </si>
  <si>
    <t>Develop hierarchy in the application - Section (e.g. Lump Sum Duties - Schedule A) &gt; Series / Cost Element (e.g. 400 - Road Restraints) &gt; Asset Type (e.g. Arrester beds) &gt; Item &gt; Resource See FR 820-840</t>
  </si>
  <si>
    <t>The O&amp;M Item libraries stored in the CCET can contain configurable resource-build-ups for Items / Activities and codes assigning the Item to default Sections and Asset.
The CCET contains libraries of the O&amp;M Resources used to populate O&amp;M works’ Items / activities
Please refer to SRS Chapter 11, Data Libraries for details of the library of Estimate Output Types containing configurable estimate templates to populate the estimate shell for O&amp;M estimates.</t>
  </si>
  <si>
    <t>As an Estimator, I need to be able to calculate the Intervention Quantity for each Routine Maintenance activity, based on the Quantity of Asset x Intervention Frequency.
Quantity of Asset will be based upon each Areas Network Information or Estimator specified quantity.
 Intervention Frequency will default to the ADAMR Baseline Frequency, or the Estimator can specify an ILM Intervention Frequency. The Intervention Frequencies can be set annually (i.e. different frequencies for each year of the assessment period)</t>
  </si>
  <si>
    <r>
      <t xml:space="preserve">For an O&amp;M estimate, there is:
    • an editable field for each Item of work that contains the quantity of asset to which that Operation / Maintenance Item is carried out.
    • an editable field for each Item of work that contains the annual intervention frequency at which that Operation / Maintenance Item is carried out.
    • a calculated field containing the annual intervention quantity for each Item, i.e. the annual quantity of times that the O&amp;M Item is carried out in a year
• The CCET produces the Annual Intervention Quantities for each O&amp;M Item through the following calculation: Asset Quantity x Annual Intervention Frequency
• The O&amp;M Item library contains a field for Default Annual Intervention Frequency for each Item, that can be populated with the default frequency, e.g. the ADAMR Baseline Frequency
</t>
    </r>
    <r>
      <rPr>
        <sz val="12"/>
        <color rgb="FFFF0000"/>
        <rFont val="Arial"/>
        <family val="2"/>
      </rPr>
      <t>• An Estimator</t>
    </r>
    <r>
      <rPr>
        <sz val="12"/>
        <color theme="1"/>
        <rFont val="Arial"/>
        <family val="2"/>
      </rPr>
      <t xml:space="preserve"> can directly enter and edit the asset quantities into the O&amp;M estimate
  • or upload the asset quantities from Excel
</t>
    </r>
    <r>
      <rPr>
        <sz val="12"/>
        <color rgb="FFFF0000"/>
        <rFont val="Arial"/>
        <family val="2"/>
      </rPr>
      <t>• An Estimator</t>
    </r>
    <r>
      <rPr>
        <sz val="12"/>
        <color theme="1"/>
        <rFont val="Arial"/>
        <family val="2"/>
      </rPr>
      <t xml:space="preserve"> can directly enter and edit annual intervention frequencies for each Item within the estimate, e.g. to provide alternative intervention frequencies from the default
   • or upload the intervention frequencies for each Item from Excel
</t>
    </r>
    <r>
      <rPr>
        <sz val="12"/>
        <color rgb="FFFF0000"/>
        <rFont val="Arial"/>
        <family val="2"/>
      </rPr>
      <t>• An Estimator</t>
    </r>
    <r>
      <rPr>
        <sz val="12"/>
        <color theme="1"/>
        <rFont val="Arial"/>
        <family val="2"/>
      </rPr>
      <t xml:space="preserve"> can directly edit the total calculated intervention quantities for an Item for each year in the assessment period.
   • or upload the intervention quantities from Excel</t>
    </r>
  </si>
  <si>
    <t>Record yearly intervention frequencies for each Item (activity) undertaken to maintain an Asset - Covered by FR 1840</t>
  </si>
  <si>
    <t>As an Estimator, I want an easy way of setting an intervention quantity (i.e. scope) for each year of a long term assessment period. Long-term projections for intervention quantities for M&amp;R estimates - Calculate intervention quantities for a reference year (e.g. detailed year 1 or average over first 5 years) and project to apply across the assessment period.</t>
  </si>
  <si>
    <r>
      <t xml:space="preserve">• The O&amp;M Item library contains a field for Default Annual Intervention Frequency for each Item, that can be populated with the default frequency, e.g. the ADAMR Baseline Frequency
• The library Item, including default intervention frequency, can be automatically allocated to an Item in an O&amp;M estimate by matching Item code or Item description
• The Estimator can bulk upload asset quantities from Excel for each Item in an O&amp;M estimate
• The Estimator can bulk upload annual intervention frequencies from Excel for each Item in an O&amp;M estimate, so the CCET generates total intervention quantities for a given year of the assessment period.
• The Estimator can select a reference year and copy that year’s calculated annual intervention quantities over the remaining years of an assessment period </t>
    </r>
    <r>
      <rPr>
        <sz val="12"/>
        <color rgb="FFFF0000"/>
        <rFont val="Arial"/>
        <family val="2"/>
      </rPr>
      <t>up to 20 years</t>
    </r>
  </si>
  <si>
    <t>As an Estimator, I want to be able to segment the OPEX estimate (and MP and Renewals and therefore WLC estimate) so that I can see the quantity, cost and carbon per segment (CAPEX, OPEX, Renewals, WLC)</t>
  </si>
  <si>
    <r>
      <t xml:space="preserve">• </t>
    </r>
    <r>
      <rPr>
        <sz val="12"/>
        <color rgb="FFFF0000"/>
        <rFont val="Arial"/>
        <family val="2"/>
      </rPr>
      <t>An Estimator</t>
    </r>
    <r>
      <rPr>
        <sz val="12"/>
        <color theme="1"/>
        <rFont val="Arial"/>
        <family val="2"/>
      </rPr>
      <t xml:space="preserve"> can </t>
    </r>
    <r>
      <rPr>
        <sz val="12"/>
        <color rgb="FFFF0000"/>
        <rFont val="Arial"/>
        <family val="2"/>
      </rPr>
      <t>segment</t>
    </r>
    <r>
      <rPr>
        <sz val="12"/>
        <color theme="1"/>
        <rFont val="Arial"/>
        <family val="2"/>
      </rPr>
      <t xml:space="preserve"> an O&amp;M estimate </t>
    </r>
    <r>
      <rPr>
        <sz val="12"/>
        <color rgb="FFFF0000"/>
        <rFont val="Arial"/>
        <family val="2"/>
      </rPr>
      <t>to see and produced cost and carbon estimate per segment.</t>
    </r>
    <r>
      <rPr>
        <sz val="12"/>
        <color theme="1"/>
        <rFont val="Arial"/>
        <family val="2"/>
      </rPr>
      <t xml:space="preserve">
• Items and their underlying Resources, estimated costs and carbon can be reported by </t>
    </r>
    <r>
      <rPr>
        <sz val="12"/>
        <color rgb="FFFF0000"/>
        <rFont val="Arial"/>
        <family val="2"/>
      </rPr>
      <t>Segment ( e.g. route, section or a route</t>
    </r>
    <r>
      <rPr>
        <sz val="12"/>
        <color theme="1"/>
        <rFont val="Arial"/>
        <family val="2"/>
      </rPr>
      <t xml:space="preserve">, 
location reference, </t>
    </r>
    <r>
      <rPr>
        <sz val="12"/>
        <color rgb="FFFF0000"/>
        <rFont val="Arial"/>
        <family val="2"/>
      </rPr>
      <t>etc</t>
    </r>
    <r>
      <rPr>
        <sz val="12"/>
        <color theme="1"/>
        <rFont val="Arial"/>
        <family val="2"/>
      </rPr>
      <t xml:space="preserve">)
• Items and their underlying Resources, estimated costs and carbon can be reported by the configurable Asset to which the Item / activity is assigned ( e.g. Drainage asset class, Manhole asset name)
</t>
    </r>
    <r>
      <rPr>
        <sz val="12"/>
        <color rgb="FFFF0000"/>
        <rFont val="Arial"/>
        <family val="2"/>
      </rPr>
      <t>• An Estimator</t>
    </r>
    <r>
      <rPr>
        <sz val="12"/>
        <color theme="1"/>
        <rFont val="Arial"/>
        <family val="2"/>
      </rPr>
      <t xml:space="preserve"> can filter the O&amp;M estimate to view the estimated cost and carbon for each O&amp;M activity / </t>
    </r>
    <r>
      <rPr>
        <sz val="12"/>
        <color rgb="FFFF0000"/>
        <rFont val="Arial"/>
        <family val="2"/>
      </rPr>
      <t>item</t>
    </r>
    <r>
      <rPr>
        <sz val="12"/>
        <color theme="1"/>
        <rFont val="Arial"/>
        <family val="2"/>
      </rPr>
      <t xml:space="preserve"> by, the specific </t>
    </r>
    <r>
      <rPr>
        <sz val="12"/>
        <color rgb="FFFF0000"/>
        <rFont val="Arial"/>
        <family val="2"/>
      </rPr>
      <t>segment and any hierarchal level below it</t>
    </r>
    <r>
      <rPr>
        <sz val="12"/>
        <color theme="1"/>
        <rFont val="Arial"/>
        <family val="2"/>
      </rPr>
      <t xml:space="preserve"> used within the O&amp;M estimate</t>
    </r>
  </si>
  <si>
    <t>As an Estimator, I want to be able to associate items of work (and their underlying resources and the costs and carbon impact) with an asset class so that I can report the capex and Opex and renewals works (individually and combined) by asset class.
Similarly, I want to be able to associate items of work (and underlying resources / costs / carbon) with alternative breakdown structures' coding so that I can report the estimate by these breakdown structures, e.g. ICMS, CESMM</t>
  </si>
  <si>
    <r>
      <rPr>
        <sz val="12"/>
        <color rgb="FFFF0000"/>
        <rFont val="Arial"/>
        <family val="2"/>
      </rPr>
      <t>As an Estimator I need to be able to apply the latest contractual Routine Maintenance activity unit rate for the relevant Area. This unit rate library will be stored for each Area and updated on an annual basis.</t>
    </r>
    <r>
      <rPr>
        <sz val="12"/>
        <color theme="1"/>
        <rFont val="Arial"/>
        <family val="2"/>
      </rPr>
      <t xml:space="preserve">
As an Estimator, I need a "generic - NH level" first principles resource build-up for each Routine Maintenance activity unit rate, which is decoupled from the contractual Routine Maintenance activity unit rate. This "generic" resource build-up will be used for carbon and resource forecasting.
The software will have the capability to replace these "generic" unit build-ups with Area specific build-ups over time and link to the Item unit rate.</t>
    </r>
  </si>
  <si>
    <r>
      <t>• Multiple libraries of Items can be stored in the CCET system.
• When producing an O&amp;M estimate
    • an Estimator can apply multiple libraries to the Items/</t>
    </r>
    <r>
      <rPr>
        <sz val="12"/>
        <color rgb="FFFF0000"/>
        <rFont val="Arial"/>
        <family val="2"/>
      </rPr>
      <t>activities</t>
    </r>
    <r>
      <rPr>
        <sz val="12"/>
        <color theme="1"/>
        <rFont val="Arial"/>
        <family val="2"/>
      </rPr>
      <t xml:space="preserve"> within a single estimate.
    • an estimator can select an Item library to allocate the cost rate for an individual Item/</t>
    </r>
    <r>
      <rPr>
        <sz val="12"/>
        <color rgb="FFFF0000"/>
        <rFont val="Arial"/>
        <family val="2"/>
      </rPr>
      <t>activity</t>
    </r>
    <r>
      <rPr>
        <sz val="12"/>
        <color theme="1"/>
        <rFont val="Arial"/>
        <family val="2"/>
      </rPr>
      <t>.
    • an estimator can select an Item library to allocate the carbon rate for an individual Item/</t>
    </r>
    <r>
      <rPr>
        <sz val="12"/>
        <color rgb="FFFF0000"/>
        <rFont val="Arial"/>
        <family val="2"/>
      </rPr>
      <t>activity</t>
    </r>
    <r>
      <rPr>
        <sz val="12"/>
        <color theme="1"/>
        <rFont val="Arial"/>
        <family val="2"/>
      </rPr>
      <t>.
• The Items/</t>
    </r>
    <r>
      <rPr>
        <sz val="12"/>
        <color rgb="FFFF0000"/>
        <rFont val="Arial"/>
        <family val="2"/>
      </rPr>
      <t>activities</t>
    </r>
    <r>
      <rPr>
        <sz val="12"/>
        <color theme="1"/>
        <rFont val="Arial"/>
        <family val="2"/>
      </rPr>
      <t xml:space="preserve"> in an O&amp;M Item library may have a detailed resource build-up of labour, plant, materials, and / or subcontractor resources, or an item/</t>
    </r>
    <r>
      <rPr>
        <sz val="12"/>
        <color rgb="FFFF0000"/>
        <rFont val="Arial"/>
        <family val="2"/>
      </rPr>
      <t>activity</t>
    </r>
    <r>
      <rPr>
        <sz val="12"/>
        <color theme="1"/>
        <rFont val="Arial"/>
        <family val="2"/>
      </rPr>
      <t xml:space="preserve"> may be a unit rate with only a subcontractor resource.
• </t>
    </r>
    <r>
      <rPr>
        <sz val="12"/>
        <color rgb="FFFF0000"/>
        <rFont val="Arial"/>
        <family val="2"/>
      </rPr>
      <t>An Estimator</t>
    </r>
    <r>
      <rPr>
        <sz val="12"/>
        <color theme="1"/>
        <rFont val="Arial"/>
        <family val="2"/>
      </rPr>
      <t xml:space="preserve"> can use a library of NH generic first principles build-ups to estimate Item/</t>
    </r>
    <r>
      <rPr>
        <sz val="12"/>
        <color rgb="FFFF0000"/>
        <rFont val="Arial"/>
        <family val="2"/>
      </rPr>
      <t>activity</t>
    </r>
    <r>
      <rPr>
        <sz val="12"/>
        <color theme="1"/>
        <rFont val="Arial"/>
        <family val="2"/>
      </rPr>
      <t xml:space="preserve"> costs
• A CCET can use a library of contractual unit rates (e.g. from the SDF contract) to estimate Item/</t>
    </r>
    <r>
      <rPr>
        <sz val="12"/>
        <color rgb="FFFF0000"/>
        <rFont val="Arial"/>
        <family val="2"/>
      </rPr>
      <t>activity</t>
    </r>
    <r>
      <rPr>
        <sz val="12"/>
        <color theme="1"/>
        <rFont val="Arial"/>
        <family val="2"/>
      </rPr>
      <t xml:space="preserve"> costs
</t>
    </r>
    <r>
      <rPr>
        <sz val="12"/>
        <color rgb="FFFF0000"/>
        <rFont val="Arial"/>
        <family val="2"/>
      </rPr>
      <t>• An Estimator</t>
    </r>
    <r>
      <rPr>
        <sz val="12"/>
        <color theme="1"/>
        <rFont val="Arial"/>
        <family val="2"/>
      </rPr>
      <t xml:space="preserve"> can use a library of NH generic first principles build-ups to estimate Item/activity carbon impacts
</t>
    </r>
    <r>
      <rPr>
        <sz val="12"/>
        <color rgb="FFFF0000"/>
        <rFont val="Arial"/>
        <family val="2"/>
      </rPr>
      <t>• An Estimator</t>
    </r>
    <r>
      <rPr>
        <sz val="12"/>
        <color theme="1"/>
        <rFont val="Arial"/>
        <family val="2"/>
      </rPr>
      <t xml:space="preserve"> can generate a report of all the Resources, their units and quantities found in a estimate to provide an estimate of the forecast resource demand for the project / O&amp;M scope
</t>
    </r>
    <r>
      <rPr>
        <sz val="12"/>
        <color rgb="FFFF0000"/>
        <rFont val="Arial"/>
        <family val="2"/>
      </rPr>
      <t xml:space="preserve">
• An administrator</t>
    </r>
    <r>
      <rPr>
        <sz val="12"/>
        <color theme="1"/>
        <rFont val="Arial"/>
        <family val="2"/>
      </rPr>
      <t xml:space="preserve"> , with permissions to edit an Item/</t>
    </r>
    <r>
      <rPr>
        <sz val="12"/>
        <color rgb="FFFF0000"/>
        <rFont val="Arial"/>
        <family val="2"/>
      </rPr>
      <t>activity</t>
    </r>
    <r>
      <rPr>
        <sz val="12"/>
        <color theme="1"/>
        <rFont val="Arial"/>
        <family val="2"/>
      </rPr>
      <t xml:space="preserve"> Library, can replace an Item/</t>
    </r>
    <r>
      <rPr>
        <sz val="12"/>
        <color rgb="FFFF0000"/>
        <rFont val="Arial"/>
        <family val="2"/>
      </rPr>
      <t>activity</t>
    </r>
    <r>
      <rPr>
        <sz val="12"/>
        <color theme="1"/>
        <rFont val="Arial"/>
        <family val="2"/>
      </rPr>
      <t xml:space="preserve"> unit rate build with a first-principles build-up for the Item/</t>
    </r>
    <r>
      <rPr>
        <sz val="12"/>
        <color rgb="FFFF0000"/>
        <rFont val="Arial"/>
        <family val="2"/>
      </rPr>
      <t>activity</t>
    </r>
    <r>
      <rPr>
        <sz val="12"/>
        <color theme="1"/>
        <rFont val="Arial"/>
        <family val="2"/>
      </rPr>
      <t xml:space="preserve">
• A supplier-specific Item/</t>
    </r>
    <r>
      <rPr>
        <sz val="12"/>
        <color rgb="FFFF0000"/>
        <rFont val="Arial"/>
        <family val="2"/>
      </rPr>
      <t>activity</t>
    </r>
    <r>
      <rPr>
        <sz val="12"/>
        <color theme="1"/>
        <rFont val="Arial"/>
        <family val="2"/>
      </rPr>
      <t xml:space="preserve"> library can be created, stored and used to produce estimates within the CCET</t>
    </r>
  </si>
  <si>
    <t xml:space="preserve">An NH Estimator can input risk allowances for an O&amp;M estimate for each Section of the estimate over which risk allowances that is designated as a level at which risk allowances are to be allocated.
An NH Estimator can input risk allowances for the following:
▪Project cost risk / opportunity and uncertainty
▪Project carbon risk / opportunity and uncertainty (see FR1080, FR1090 and FR1100)
▪Programme / Portfolio cost risk / opportunity and uncertainty
▪Programme / Portfolio carbon risk / opportunity and uncertainty (see FR1080, FR1090 and FR1100)
</t>
  </si>
  <si>
    <t>Risk (long term goal) -Allow the user to import a risk register into the application for M&amp;R to apply at a section level. - See FR 1790</t>
  </si>
  <si>
    <t>The CCET shall enable a project risk register to be imported to an O&amp;M cost estimate and generate the risk / opportunity / uncertainty allowances at a Section level.
Note: the process for calculation and allocation of cost risk / opportunity and uncertainty allowances for O&amp;M estimates, the granularity of allocation across cost elements and by employer / supplier is to be confirmed by NH – see RFIs ref. B.16 and B.17</t>
  </si>
  <si>
    <t>As an Estimator, I need to be able to produce a detailed 12-60 month Routine Maintenance cost forecast. 
I need to be able to input actual Routine Maintenance intervention quantities, on a monthly basis, and then revise the original forecast Routine Maintenance activity quantities for the subsequent assessment period (i.e. rolling 12-month forecast). These revisions will be user input data, not autogenerated by the software.</t>
  </si>
  <si>
    <r>
      <rPr>
        <sz val="12"/>
        <color rgb="FFFF0000"/>
        <rFont val="Arial"/>
        <family val="2"/>
      </rPr>
      <t>• An Estimator</t>
    </r>
    <r>
      <rPr>
        <sz val="12"/>
        <color theme="1"/>
        <rFont val="Arial"/>
        <family val="2"/>
      </rPr>
      <t xml:space="preserve"> can create a detailed O&amp;M estimate for up to 20-year assessment period at a monthly level of detail
</t>
    </r>
    <r>
      <rPr>
        <sz val="12"/>
        <color rgb="FFFF0000"/>
        <rFont val="Arial"/>
        <family val="2"/>
      </rPr>
      <t xml:space="preserve">• An Estimator </t>
    </r>
    <r>
      <rPr>
        <sz val="12"/>
        <color theme="1"/>
        <rFont val="Arial"/>
        <family val="2"/>
      </rPr>
      <t xml:space="preserve">can apply to each O&amp;M </t>
    </r>
    <r>
      <rPr>
        <sz val="12"/>
        <color rgb="FFFF0000"/>
        <rFont val="Arial"/>
        <family val="2"/>
      </rPr>
      <t xml:space="preserve">activity </t>
    </r>
    <r>
      <rPr>
        <sz val="12"/>
        <color theme="1"/>
        <rFont val="Arial"/>
        <family val="2"/>
      </rPr>
      <t xml:space="preserve">/ item a default monthly activity profile over January- December (i.e. the percentage of annual intervention quantities to be delivered in each month)
</t>
    </r>
    <r>
      <rPr>
        <sz val="12"/>
        <color rgb="FFFF0000"/>
        <rFont val="Arial"/>
        <family val="2"/>
      </rPr>
      <t>• An Estimator</t>
    </r>
    <r>
      <rPr>
        <sz val="12"/>
        <color theme="1"/>
        <rFont val="Arial"/>
        <family val="2"/>
      </rPr>
      <t xml:space="preserve"> can edit the intervention / </t>
    </r>
    <r>
      <rPr>
        <sz val="12"/>
        <color rgb="FFFF0000"/>
        <rFont val="Arial"/>
        <family val="2"/>
      </rPr>
      <t>item</t>
    </r>
    <r>
      <rPr>
        <sz val="12"/>
        <color theme="1"/>
        <rFont val="Arial"/>
        <family val="2"/>
      </rPr>
      <t xml:space="preserve"> quantities to be delivered in each month from the default profile’s values for each O&amp;M activity
• There is an administrator-controlled library of O&amp;M expenditure profiles that are applied to an O&amp;M activity / Item to profile quantities by month (January-December)
See SRS Chapter 6 for Project User forecasting vs. baseline</t>
    </r>
  </si>
  <si>
    <t>As an Estimator, for detailed Routine Maintenance cost estimates (1), I need the software to apply a spend profile for each Routine Maintenance activity on a monthly basis (i.e. grass cutting only applied between April and October). 
For long term CAPEX linked Routine Maintenance estimates (2) I need the spend profile to be applied at an annual level of detail.</t>
  </si>
  <si>
    <r>
      <t xml:space="preserve">(1) An administrator can add a profile to the O&amp;M Expenditure profile library and this can be applied to Items in an O&amp;M estimate
</t>
    </r>
    <r>
      <rPr>
        <sz val="12"/>
        <color rgb="FFFF0000"/>
        <rFont val="Arial"/>
        <family val="2"/>
      </rPr>
      <t>(2) An Estimator can apply a profile from the O&amp;M Expenditure profile library and</t>
    </r>
    <r>
      <rPr>
        <strike/>
        <sz val="12"/>
        <color rgb="FFFF0000"/>
        <rFont val="Arial"/>
        <family val="2"/>
      </rPr>
      <t xml:space="preserve"> this can be applied</t>
    </r>
    <r>
      <rPr>
        <sz val="12"/>
        <color rgb="FFFF0000"/>
        <rFont val="Arial"/>
        <family val="2"/>
      </rPr>
      <t xml:space="preserve"> to Items/activities in an O&amp;M estimate
</t>
    </r>
    <r>
      <rPr>
        <sz val="12"/>
        <color theme="1"/>
        <rFont val="Arial"/>
        <family val="2"/>
      </rPr>
      <t xml:space="preserve">
(2) See SRS Chapter 2 – Long-term Appraisal for Acceptance Criteria and Design Specifications for long-term (up to 200 years) assessment period.</t>
    </r>
  </si>
  <si>
    <t>As an Estimator, I need the software to apply forecast inflation from the unit rate base date (PAFI adjusted annually) over the assessment period based on the approved NH inflation series.
I also need the software to apply inflation, discounting and Market Adjustment Factors, for long term OPEX cost assessments.</t>
  </si>
  <si>
    <r>
      <t>•</t>
    </r>
    <r>
      <rPr>
        <sz val="12"/>
        <color rgb="FFFF0000"/>
        <rFont val="Arial"/>
        <family val="2"/>
      </rPr>
      <t xml:space="preserve"> An Estimator</t>
    </r>
    <r>
      <rPr>
        <sz val="12"/>
        <color theme="1"/>
        <rFont val="Arial"/>
        <family val="2"/>
      </rPr>
      <t xml:space="preserve"> can set a common price base date for an O&amp;M estimate </t>
    </r>
    <r>
      <rPr>
        <sz val="12"/>
        <color rgb="FFFF0000"/>
        <rFont val="Arial"/>
        <family val="2"/>
      </rPr>
      <t>by item/activity.</t>
    </r>
    <r>
      <rPr>
        <sz val="12"/>
        <color theme="1"/>
        <rFont val="Arial"/>
        <family val="2"/>
      </rPr>
      <t xml:space="preserve">
• The price base of the O&amp;M estimate is clearly stated in the estimate production screens and estimate reports / outputs
• The CCET stores a library of approved inflation indices in an administrator-controlled library
• The inflation indices are stored as monthly index values
• The CCET applies</t>
    </r>
    <r>
      <rPr>
        <sz val="12"/>
        <color rgb="FFFF0000"/>
        <rFont val="Arial"/>
        <family val="2"/>
      </rPr>
      <t xml:space="preserve"> inflation profile calculated using</t>
    </r>
    <r>
      <rPr>
        <sz val="12"/>
        <color theme="1"/>
        <rFont val="Arial"/>
        <family val="2"/>
      </rPr>
      <t xml:space="preserve"> the relevant inflation index series selected from the library by</t>
    </r>
    <r>
      <rPr>
        <sz val="12"/>
        <color rgb="FFFF0000"/>
        <rFont val="Arial"/>
        <family val="2"/>
      </rPr>
      <t xml:space="preserve"> an estimator</t>
    </r>
    <r>
      <rPr>
        <sz val="12"/>
        <color theme="1"/>
        <rFont val="Arial"/>
        <family val="2"/>
      </rPr>
      <t xml:space="preserve"> to calculate an inflation allowance from the common estimate price base date to the time of expenditure of costs across the assessment period
• The CCET applies </t>
    </r>
    <r>
      <rPr>
        <sz val="12"/>
        <color rgb="FFFF0000"/>
        <rFont val="Arial"/>
        <family val="2"/>
      </rPr>
      <t>inflation profile calculated using</t>
    </r>
    <r>
      <rPr>
        <sz val="12"/>
        <color theme="1"/>
        <rFont val="Arial"/>
        <family val="2"/>
      </rPr>
      <t xml:space="preserve"> the inflation index to the estimated monthly O&amp;M costs
• The CCET inflation functionality produce outturn costs over the assessment period </t>
    </r>
    <r>
      <rPr>
        <sz val="12"/>
        <color rgb="FFFF0000"/>
        <rFont val="Arial"/>
        <family val="2"/>
      </rPr>
      <t>and summarise to show at monthly and yearly</t>
    </r>
    <r>
      <rPr>
        <sz val="12"/>
        <color theme="1"/>
        <rFont val="Arial"/>
        <family val="2"/>
      </rPr>
      <t xml:space="preserve"> </t>
    </r>
    <r>
      <rPr>
        <sz val="12"/>
        <color rgb="FFFF0000"/>
        <rFont val="Arial"/>
        <family val="2"/>
      </rPr>
      <t>level.</t>
    </r>
    <r>
      <rPr>
        <sz val="12"/>
        <color theme="1"/>
        <rFont val="Arial"/>
        <family val="2"/>
      </rPr>
      <t xml:space="preserve"> (max 20 years)
Please also refer to SRS Chapter 2, Long-term appraisal.</t>
    </r>
  </si>
  <si>
    <t>Inflation - Apply monthly inflation indices to Item rates in base estimate to generate inflated estimates for each year across the assessment period (where assessment period is 5 years or less) - then summarise at a yearly level (for longer assessment periods)
See FR 870</t>
  </si>
  <si>
    <t>As per 7.14, the software should be able to produce multiple outputs from a data Dashboard to display the cost estimate in a format required by NH (e.g. real terms, nominal terms, assessment period, level of detail - monthly/annual etc.)</t>
  </si>
  <si>
    <t>• The CCET generates a dashboard showing a range of outputs for an O&amp;M estimate, including:
   • The estimate in real terms
   • Inflation allowances and the estimate in outturn nominal prices
   • The estimated expenditure by month over the estimate’s assessment period
• A CCET user interacts with the Dashboard to select the data the user wishes to display, e.g. by month / by year, by Section / Item / Resource, by Asset, by Location, by Supplier,</t>
  </si>
  <si>
    <t>I need the software to collate the forecast Routine Maintenance costs to the National Highways O&amp;M WBS, which currently aligns with the M&amp;R contract structure for use in the detailed Routine Maintenance spend forecast (i.e. Schedule A, C, D etc.) over the assessment period.
The estimated cost data within the WBS can then be re-organised to produce the impact of a CAPEX project (MP or Operations delivered) on Routine Maintenance over the assessment period, to satisfy the requirements of the BCR process.
 This will include the application of inflation, discounting and Market Adjustment Factors. This will require the software to produce multiple outputs each for specific purposes (e.g. real terms, nominal terms, post-discounting etc.)
Please note FR780 is also covered in chapter 2 – Long Term Appraisals.</t>
  </si>
  <si>
    <r>
      <t>The CCET has an administrator-controlled Estimate Type library, that contains a configurable template for an O&amp;M estimate (unpriced) and can be configured by NH to align with a standard WBS for an O&amp;M.
• When an O&amp;M estimate is initiated, the Estimate Type library populates the Estimate Shell with the template structure configured in the Estimate Type library.
   • See SRS Chapter 9, Estimate Workflows, Lifecycle Estimate (Output) Type Configurable Library.
• The CCET stores libraries of O&amp;M Items</t>
    </r>
    <r>
      <rPr>
        <sz val="12"/>
        <color rgb="FFFF0000"/>
        <rFont val="Arial"/>
        <family val="2"/>
      </rPr>
      <t>/activities</t>
    </r>
    <r>
      <rPr>
        <sz val="12"/>
        <color theme="1"/>
        <rFont val="Arial"/>
        <family val="2"/>
      </rPr>
      <t xml:space="preserve"> with configurable Items</t>
    </r>
    <r>
      <rPr>
        <sz val="12"/>
        <color rgb="FFFF0000"/>
        <rFont val="Arial"/>
        <family val="2"/>
      </rPr>
      <t xml:space="preserve">/activity </t>
    </r>
    <r>
      <rPr>
        <sz val="12"/>
        <color theme="1"/>
        <rFont val="Arial"/>
        <family val="2"/>
      </rPr>
      <t>codes, descriptions and units, so that cost estimates using the O&amp;M Item</t>
    </r>
    <r>
      <rPr>
        <sz val="12"/>
        <color rgb="FFFF0000"/>
        <rFont val="Arial"/>
        <family val="2"/>
      </rPr>
      <t>/activity</t>
    </r>
    <r>
      <rPr>
        <sz val="12"/>
        <color theme="1"/>
        <rFont val="Arial"/>
        <family val="2"/>
      </rPr>
      <t xml:space="preserve"> Library collate costs aligned with the NH O&amp;M WBS.
</t>
    </r>
    <r>
      <rPr>
        <sz val="12"/>
        <color rgb="FFFF0000"/>
        <rFont val="Arial"/>
        <family val="2"/>
      </rPr>
      <t>• An Estimator</t>
    </r>
    <r>
      <rPr>
        <sz val="12"/>
        <color theme="1"/>
        <rFont val="Arial"/>
        <family val="2"/>
      </rPr>
      <t xml:space="preserve"> can produce estimates of the impact of a Capex project on O&amp;M costs by entering the Capex project asset quantities to the O&amp;M estimate and applying Item/activity libraries to generate the estimated cost of the Capex project’s impact.
</t>
    </r>
    <r>
      <rPr>
        <sz val="12"/>
        <color rgb="FFFF0000"/>
        <rFont val="Arial"/>
        <family val="2"/>
      </rPr>
      <t>• An Estimator</t>
    </r>
    <r>
      <rPr>
        <sz val="12"/>
        <color theme="1"/>
        <rFont val="Arial"/>
        <family val="2"/>
      </rPr>
      <t xml:space="preserve"> can produce an O&amp;M estimate for an identified ‘Without Scheme’ scenario and an O&amp;M estimate for an identified ‘With Scheme’ scenario in consistent format
</t>
    </r>
    <r>
      <rPr>
        <sz val="12"/>
        <color rgb="FFFF0000"/>
        <rFont val="Arial"/>
        <family val="2"/>
      </rPr>
      <t>• An Estimato</t>
    </r>
    <r>
      <rPr>
        <sz val="12"/>
        <color theme="1"/>
        <rFont val="Arial"/>
        <family val="2"/>
      </rPr>
      <t>r can generate a report of the difference between estimates for a ‘Without Scheme’ scenario and ‘With Scheme’ scenario and see the estimated incremental impact
The CCET can apply the following to estimated costs in real terms (at the set price base of the estimate):
  • Inflation factors per month to produce costs in nominal terms inclusive of inflation allowances (factors generated from a configurable library of inflation indices)
  • GDP deflator factors to deflate costs for net present cost calculations (generated from a configurable library of inflation / deflation indices)
  • Discount factors for economic assessment (generated from a configurable library of discount rates)
  • Market adjustment factors for economic assessment (generated from a configurable library of market adjustment factors)
  • The cost impact of the each of the above factors shall be clearly identified in estimate outputs
Please note FR780 is also covered in chapter 2 – Long Term Appraisals.</t>
    </r>
  </si>
  <si>
    <t>See FR 910 - View the Estimate in Real Terms without Inflation</t>
  </si>
  <si>
    <t>As an Estimator, I need to be able to reference the Routine Maintenance cost estimate to the agreed data hierarchy structure (e.g. Portfolio - Ops, Region - NW, Area - Area 10, EIN etc.) This data hierarchy will allow the Estimator to search the estimate database for the relevant output and link to associated CAPEX outputs. The data hierarchy is to be confirmed with NH but may include: OD Portfolio - Programme - M&amp;R/Asset Renewals and identifiers for Region, Route, Segment, Asset Classes to cost elements to activity/items to resources level coding. This coding needs to be based on a connected NH WBS, CBS, ActBS and AssBS.</t>
  </si>
  <si>
    <r>
      <t xml:space="preserve">• An O&amp;M estimate is assigned to the following administrator-configurable setup:
• A project or scheme (which can be a defined O&amp;M Contract or scope)
• A Programme
</t>
    </r>
    <r>
      <rPr>
        <sz val="12"/>
        <color rgb="FFFF0000"/>
        <rFont val="Arial"/>
        <family val="2"/>
      </rPr>
      <t>• A Portfolio</t>
    </r>
    <r>
      <rPr>
        <sz val="12"/>
        <color theme="1"/>
        <rFont val="Arial"/>
        <family val="2"/>
      </rPr>
      <t xml:space="preserve">
• An Area and Region
• A configurable location reference, such as ‘Route’
•</t>
    </r>
    <r>
      <rPr>
        <sz val="12"/>
        <color rgb="FFFF0000"/>
        <rFont val="Arial"/>
        <family val="2"/>
      </rPr>
      <t xml:space="preserve"> For a Whole life Cost and carbon estimate</t>
    </r>
    <r>
      <rPr>
        <sz val="12"/>
        <color theme="1"/>
        <rFont val="Arial"/>
        <family val="2"/>
      </rPr>
      <t xml:space="preserve"> A ‘Parent’ full lifecycle costing estimate and associated capex estimate
</t>
    </r>
    <r>
      <rPr>
        <sz val="12"/>
        <color rgb="FFFF0000"/>
        <rFont val="Arial"/>
        <family val="2"/>
      </rPr>
      <t>• An Estimator</t>
    </r>
    <r>
      <rPr>
        <sz val="12"/>
        <color theme="1"/>
        <rFont val="Arial"/>
        <family val="2"/>
      </rPr>
      <t xml:space="preserve"> can assign an Asset to each Item</t>
    </r>
    <r>
      <rPr>
        <sz val="12"/>
        <color rgb="FFFF0000"/>
        <rFont val="Arial"/>
        <family val="2"/>
      </rPr>
      <t>/activity</t>
    </r>
    <r>
      <rPr>
        <sz val="12"/>
        <color theme="1"/>
        <rFont val="Arial"/>
        <family val="2"/>
      </rPr>
      <t xml:space="preserve"> in a O&amp;M cost estimate
</t>
    </r>
    <r>
      <rPr>
        <sz val="12"/>
        <color rgb="FFFF0000"/>
        <rFont val="Arial"/>
        <family val="2"/>
      </rPr>
      <t>• CCET will have functionality to connected NH WBS, CBS, ActBS and AssBS to produce whole life cost and carbon estimates.</t>
    </r>
    <r>
      <rPr>
        <sz val="12"/>
        <color theme="1"/>
        <rFont val="Arial"/>
        <family val="2"/>
      </rPr>
      <t xml:space="preserve">
• The O&amp;M estimated costs can be reported by Asset
• Assets are assigned to Items</t>
    </r>
    <r>
      <rPr>
        <sz val="12"/>
        <color rgb="FFFF0000"/>
        <rFont val="Arial"/>
        <family val="2"/>
      </rPr>
      <t>/activities</t>
    </r>
    <r>
      <rPr>
        <sz val="12"/>
        <color theme="1"/>
        <rFont val="Arial"/>
        <family val="2"/>
      </rPr>
      <t xml:space="preserve"> from an administrator-controlled configurable library of Assets that is standardised across lifecycle stages
• The standardised Assets assigned to capex Items, Operation and Maintenance Items (activities) and Asset Renewals Items connect Items across lifecycle stages
• A CCET user can browse estimates within the agreed NH Enterprise, following the data hierarchy and open the estimates directly from the browser interface.
• A CCET user can search estimates using NH-agreed data structure codes such as estimate ID, estimate title, project names, Region, Area, Programme, Portfolio, etc.</t>
    </r>
  </si>
  <si>
    <t>"As an Estimator I need to be able to reference the Routine Maintenance cost estimate to the agreed data hierarchy structure (e.g. Portfolio - Ops, Region - NW, Area - Area 10, Route - M6, EIN, Do Something or Do Nothing scenario etc.)This data hierarchy will allow the Estimator to search the estimate database for the relevant output and link to associated OPEX outputs"</t>
  </si>
  <si>
    <t>There may be multiple Routine Maintenance cost estimates for any project (i.e. multiple options). The Estimator should be able to select a preferred carbon estimate for any project
For detailed Routine Maintenance cost estimates (1), the software will have the capability to update the estimate on a monthly basis, with actual interventions delivered and impact on carbon costs.
For Routine Maintenance estimates associated with a CAPEX cost estimate (2), the Estimator can update any previous Routine Maintenance cost estimate to reflect the changes in the CAPEX cost estimate</t>
  </si>
  <si>
    <r>
      <t>• Multiple O&amp;M estimates, each with a unique estimate ID, can be produced for a project.
•</t>
    </r>
    <r>
      <rPr>
        <sz val="12"/>
        <color rgb="FFFF0000"/>
        <rFont val="Arial"/>
        <family val="2"/>
      </rPr>
      <t xml:space="preserve"> An Estimator</t>
    </r>
    <r>
      <rPr>
        <sz val="12"/>
        <color theme="1"/>
        <rFont val="Arial"/>
        <family val="2"/>
      </rPr>
      <t xml:space="preserve"> can select any estimate for a project and designate that estimate as the ‘Preferred Carbon Estimate’.
• There can be only one designated ‘Preferred Carbon Estimate’ for a project at any one time.
Please refer to SRS Chapter 6, Project User Forecasting functionality for updates with actual / reforecast interventions
• For a completed O&amp;M estimate, </t>
    </r>
    <r>
      <rPr>
        <sz val="12"/>
        <color rgb="FFFF0000"/>
        <rFont val="Arial"/>
        <family val="2"/>
      </rPr>
      <t>An Estimator</t>
    </r>
    <r>
      <rPr>
        <sz val="12"/>
        <color theme="1"/>
        <rFont val="Arial"/>
        <family val="2"/>
      </rPr>
      <t xml:space="preserve"> can duplicate the O&amp;M estimate, assign a new</t>
    </r>
  </si>
  <si>
    <t>The software should be configured to the PAS2080 requirements to align with the RICS 2nd edition as per recommendation of modules provided by Circular Ecology.</t>
  </si>
  <si>
    <t>The CCET carbon libraries hold data at the granularity of PAS 2080 modules / sub-modules recommended in reference document "W.16 - Modules for Whole Life Carbon and alignment to latest RICS guidance.xls" provided by Circular Ecology.
The CCET calculates carbon equivalent value (CO2e) at Resource level to PAS 2080 modules / sub-modules recommended out in reference document "W.16 - Modules for Whole Life Carbon and alignment to latest RICS guidance.xls" provided by Circular Ecology.
The CCET can report carbon equivalent value at the granularity of PAS 2080 modules / sub-modules recommended in reference document "W.16 - Modules for Whole Life Carbon and alignment to latest RICS guidance.xls" provided by Circular Ecology.</t>
  </si>
  <si>
    <t>Produce a detailed estimate for B2-B5 that captures data at sub module level, e.g. transportation of deconstructed materials, transport of new materials, construction and installation, wastage. They will require granular analysis of contributing factors.</t>
  </si>
  <si>
    <r>
      <t xml:space="preserve">• The CCET assigns carbon emission factors for PAS 2080 modules B2-Maintenance and B3-Repair at the following sub-module level of granularity B2/3-A0: Pre-Maintenance/Repair Works’ Stage Impacts
  • B2/3-A1-3: Product Stage Impacts
  • B2/3-A4: Resource Transport Stage Impacts
  • B2/3-A5.1: Pre-Maintenance/Repair Works’ demolition
  • B2/3-A5.2: Maintenance / Repair works activities
  • B2/3-A5.3: Waste and Waste Management
  • B2/3-A5.4: Transportation of Site Workers
• Each Item in an O&amp;M estimate is identified as either module B2-Maintenance or B3-Repair. This may be identified at </t>
    </r>
    <r>
      <rPr>
        <sz val="12"/>
        <color rgb="FFFF0000"/>
        <rFont val="Arial"/>
        <family val="2"/>
      </rPr>
      <t>cost element level or</t>
    </r>
    <r>
      <rPr>
        <sz val="12"/>
        <color theme="1"/>
        <rFont val="Arial"/>
        <family val="2"/>
      </rPr>
      <t xml:space="preserve"> Section level, where all Items in a Section belong to the same module.
•The CCET reports an O&amp;M estimate by Modules B2 and B3.
See SRS Chapter 5, Asset Renewals for similar functionality and acceptance criteria for modules B4-B5.</t>
    </r>
  </si>
  <si>
    <t>As an Estimator I need the software to have the capability to tag all activities within the estimate as either B2 or B3, for reporting purposes as per PAS 2080 requirements.</t>
  </si>
  <si>
    <t>As an Estimator I need the software to have the capability to tag all activities within the estimate as either B4 or B5, for reporting purposes as per PAS 2080 requirements.</t>
  </si>
  <si>
    <t>As an Estimator I need the software to apply carbon costs (CO2e) to the estimate Routine Maintenance activities. The carbon costs will be derived from the Routine Maintenance activity resource build-ups.
The software should have the capability to apply a carbon inflation/deflation factor to the baseline Routine Maintenance carbon costs which could be applied, following review and approval from NH. The inflation / deflation profiles should be stored and maintained in a dedicated library.</t>
  </si>
  <si>
    <t>The CCET calculates carbon equivalent value (CO2e) at Resource level to PAS 2080 modules / sub-modules recommended in reference document "W.16 - Modules for Whole Life Carbon and alignment to latest RICS guidance.xls" provided by Circular Ecology.
Background carbon decarbonisation profile(s) can be stored in an administrator-controlled library within the CCET
The expected yearly rate of general background carbon decarbonisation is stored as percentages and the CCET calculates deflation coefficients for each year from an estimate baseline date
The CCET shows decarbonisation coefficients below total carbon base estimate + carbon risk allowances for each month / year shown in an estimate output.
The CCET shows the carbon deflation amount and impact separately within an estimate output.
The CCET calculates carbon equivalent values for each PAS 2080 modules / sub-modules recommended in reference document "W.16 - Modules for Whole Life Carbon and alignment to latest RICS guidance.xls" provided by Circular Ecology, including the sequestered carbon modules recommended in this file.</t>
  </si>
  <si>
    <t>As an Estimator, I need, B6/B7 to be estimated in the Routine Maintenance element of the software, for each year.
This could be estimated at the Area level or asset level.</t>
  </si>
  <si>
    <t>• An Item/activity can be created for each one of modules B1, B6, B7, B8 and B9 at the Estimate-level to hold carbon impacts with data organised by month for the entire estimate (e.g. a whole Area)
• Individual Item/activity can be created for each one of modules B1, B6, B7, B8 and B9 at a Section-level to hold carbon impacts with data organised by month at Asset level
• Modules B1, B6, B7, B8 and B9 carbon impacts can be uploaded by month
• The CCET system can record and estimate B6 and B7 at the item/activity or resource level by month, organised into separate sections for B6 and B7.
• CCET reports can aggregate monthly values to report yearly carbon values for modules B1, B6, B7, B8 and B9 for B8.</t>
  </si>
  <si>
    <t>See FR 950 - An efficient way of uploading B6/B7 data for each year in the assessment period.</t>
  </si>
  <si>
    <t>See FR 950 - Ability to estimate B6/B7 at an item and resource level, across a time series</t>
  </si>
  <si>
    <t>Enter B8 user carbon at a project level for each year within the project (possibly by month).</t>
  </si>
  <si>
    <t>As an Estimator, the software should have the future capability (I.e. placeholder) to include B1 (Asset in Use) carbon costs within the carbon estimate. This should be a placeholder only, not the full working solution at this stage of development</t>
  </si>
  <si>
    <t>See FR 1020 - The system requires the ability to record B1 across a time series.</t>
  </si>
  <si>
    <t>The system should be able to store Cost to Carbon factors at a base date and apply these factors to resources in an estimate in order to plug gaps - i.e. resources with no carbon emission factor in the library</t>
  </si>
  <si>
    <t>The CCET stores cost-to-carbon factors in an administrator-controlled library or libraries for application to each lifecycle costing stage.</t>
  </si>
  <si>
    <t>The cost-to-carbon factors are stored at a specified base date.</t>
  </si>
  <si>
    <t>The cost-to-carbon factors are stored for specified Resource Groups.</t>
  </si>
  <si>
    <t>The Estimator can select a cost-to-carbon factor to apply to a Resource in an estimate.</t>
  </si>
  <si>
    <t>Cost-to-carbon factors can be applied through automation to Resources without a carbon emission factor in an estimate, by mapping the cost-to-carbon factors to the Resource Groups of those Resources.</t>
  </si>
  <si>
    <t>Cost-to-carbon factors are adjusted for inflation to match the base date of the estimate when they are applied.</t>
  </si>
  <si>
    <t>An administrator can upload cost-to-carbon factors to the library using a template in MS Excel for ease of upload.</t>
  </si>
  <si>
    <t>An administrator can download the cost-to-carbon factors to MS Excel.</t>
  </si>
  <si>
    <r>
      <t>The CCET will automatically calculate a top-down carbon risk / opportunity / uncertainty allowance at Section/</t>
    </r>
    <r>
      <rPr>
        <sz val="12"/>
        <color rgb="FFFF0000"/>
        <rFont val="Arial"/>
        <family val="2"/>
      </rPr>
      <t>Cost element</t>
    </r>
    <r>
      <rPr>
        <sz val="12"/>
        <color theme="1"/>
        <rFont val="Arial"/>
        <family val="2"/>
      </rPr>
      <t xml:space="preserve"> level, by applying the base estimate carbon/cost intensity to the cost risk / opportunity / uncertainty allowance for that Section/</t>
    </r>
    <r>
      <rPr>
        <sz val="12"/>
        <color rgb="FFFF0000"/>
        <rFont val="Arial"/>
        <family val="2"/>
      </rPr>
      <t>Cost Element.</t>
    </r>
    <r>
      <rPr>
        <sz val="12"/>
        <color theme="1"/>
        <rFont val="Arial"/>
        <family val="2"/>
      </rPr>
      <t xml:space="preserve"> The CCET will automatically </t>
    </r>
    <r>
      <rPr>
        <sz val="12"/>
        <color rgb="FFFF0000"/>
        <rFont val="Arial"/>
        <family val="2"/>
      </rPr>
      <t>calculate</t>
    </r>
    <r>
      <rPr>
        <sz val="12"/>
        <color theme="1"/>
        <rFont val="Arial"/>
        <family val="2"/>
      </rPr>
      <t xml:space="preserve"> top-down carbon risk / opportunity / uncertainty allowances for Project level risk and Programme / Portfolio Risk.
The software shall apply these cost to carbon risk calculations based on the risk / opportunity / uncertainty allowance at Section</t>
    </r>
    <r>
      <rPr>
        <sz val="12"/>
        <color rgb="FFFF0000"/>
        <rFont val="Arial"/>
        <family val="2"/>
      </rPr>
      <t>/Cost Element</t>
    </r>
    <r>
      <rPr>
        <sz val="12"/>
        <color theme="1"/>
        <rFont val="Arial"/>
        <family val="2"/>
      </rPr>
      <t xml:space="preserve"> level with proportionate allocation to the relevant PAS 2080 modules (B2-B3 for O&amp;M estimates).
A User shall be able to edit </t>
    </r>
    <r>
      <rPr>
        <sz val="12"/>
        <color rgb="FFFF0000"/>
        <rFont val="Arial"/>
        <family val="2"/>
      </rPr>
      <t>and overwrite</t>
    </r>
    <r>
      <rPr>
        <sz val="12"/>
        <color theme="1"/>
        <rFont val="Arial"/>
        <family val="2"/>
      </rPr>
      <t xml:space="preserve"> the carbon risk / opportunity / uncertainty allowances generated by the default top-down approach.</t>
    </r>
  </si>
  <si>
    <t>As an estimator, I want to include risk / opportunity / uncertainty allowances at Project, Programme, and Portfolio level</t>
  </si>
  <si>
    <t>The CCET shall produce O&amp;M estimates at a monthly level of detail and show the carbon equivalent value per month of the estimate’s assessment period.
The CCET shall be able to report carbon equivalent value for O&amp;M estimates for each year of the estimate’s assessment period.
An Estimator can specify the assessment period of a detailed O&amp;M estimate to cover a maximum period of 20 years.</t>
  </si>
  <si>
    <t>See 1120 - View a table with Spend Profile calculations for Item Qty (Asset Qty * Intervention Frequency) and carbon expenditure over the assessment period. This would be monthly for the first 5 years, and yearly thereafter for longer term.</t>
  </si>
  <si>
    <t>An Estimator can select what data he/she wants to see in a report via some dynamic fields, which act as user queries, including:
     • The WBS level of the report
     • The period covered by the report
• The CCET produces a carbon expenditure profile table for an estimate showing the carbon equivalent value per month of the estimate assessment period.
• The CCET produces a table for an estimate showing the Item Quantity per month of the estimate assessment period.
• An Estimator can generate a report comparing a submitted cost or carbon forecast vs. a reference baseline cost or carbon estimate for a project
• An Estimator can generate a report comparing selected submitted cost or carbon forecasts comprising a programme vs. a reference baseline cost or carbon estimate for the programme
• An Estimator can generate a report comparing selected submitted cost or carbon forecasts comprising a portfolio vs. a reference baseline cost or carbon estimate for that portfolio</t>
  </si>
  <si>
    <t>See 1120 - View the carbon expenditure profile over time by WBS (Work Breakdown Structure) and by Resource#</t>
  </si>
  <si>
    <t>As an Estimator I need the software to produce detailed reports based on user queries for both cost and carbon. This will include cost/carbon spend over time and by WBS or Resource. The reports will also be able to compare cost/carbon forecasts against the baseline cost estimate(s) and across Programme and Portfolio level</t>
  </si>
  <si>
    <t>See FR350 - Compare Estimated Carbon Impact with Carbon Reduction Targets at Scheme, Programme and Portfolio levels</t>
  </si>
  <si>
    <r>
      <t xml:space="preserve">An authorised user can enter a Carbon Reduction Target “(CAP)” for a project in the software
A user can see a report or dashboard that compares the Carbon Reduction Target “(CAP)” with an estimate for the project
</t>
    </r>
    <r>
      <rPr>
        <strike/>
        <sz val="12"/>
        <color theme="1"/>
        <rFont val="Arial"/>
        <family val="2"/>
      </rPr>
      <t>An authorised user can enter a Carbon Reduction Targets for a project in the software
A user can see a report or dashboard that compares the Carbon Reduction Targets with an estimate for the project</t>
    </r>
    <r>
      <rPr>
        <sz val="12"/>
        <color theme="1"/>
        <rFont val="Arial"/>
        <family val="2"/>
      </rPr>
      <t xml:space="preserve">
An Estimator can see a reports showing the aggregated latest estimate</t>
    </r>
    <r>
      <rPr>
        <sz val="12"/>
        <color rgb="FFFF0000"/>
        <rFont val="Arial"/>
        <family val="2"/>
      </rPr>
      <t>/IFT preferred revision</t>
    </r>
    <r>
      <rPr>
        <sz val="12"/>
        <color theme="1"/>
        <rFont val="Arial"/>
        <family val="2"/>
      </rPr>
      <t xml:space="preserve"> data versus the aggregated carbon reduction targets at </t>
    </r>
    <r>
      <rPr>
        <sz val="12"/>
        <color rgb="FFFF0000"/>
        <rFont val="Arial"/>
        <family val="2"/>
      </rPr>
      <t>Project</t>
    </r>
    <r>
      <rPr>
        <sz val="12"/>
        <color theme="1"/>
        <rFont val="Arial"/>
        <family val="2"/>
      </rPr>
      <t xml:space="preserve">, Programme </t>
    </r>
    <r>
      <rPr>
        <strike/>
        <sz val="12"/>
        <color theme="1"/>
        <rFont val="Arial"/>
        <family val="2"/>
      </rPr>
      <t>or</t>
    </r>
    <r>
      <rPr>
        <sz val="12"/>
        <color theme="1"/>
        <rFont val="Arial"/>
        <family val="2"/>
      </rPr>
      <t xml:space="preserve"> </t>
    </r>
    <r>
      <rPr>
        <sz val="12"/>
        <color rgb="FFFF0000"/>
        <rFont val="Arial"/>
        <family val="2"/>
      </rPr>
      <t>and</t>
    </r>
    <r>
      <rPr>
        <sz val="12"/>
        <color theme="1"/>
        <rFont val="Arial"/>
        <family val="2"/>
      </rPr>
      <t xml:space="preserve"> Portfolio Level
▪ The data is based on approved estimates only and informed by either the preferred estimates or reference estimates (tbc by the client)
▪ As a user I can see how a forecast submitted by a Project User compares to the Carbon Reduction Target (CAP) for that project
FR1150 and FR350 are also covered in SRS Chapter 8, Reporting.</t>
    </r>
  </si>
  <si>
    <t>Scheme level report would need to be updated with B8 at scheme, programme and portfolio levels</t>
  </si>
  <si>
    <r>
      <t xml:space="preserve">An Item / activity can be created for PAS 2080 modules B8 at the Estimate-level to hold B8 carbon equivalent value with data organised by month for the entire estimate (e.g. a whole Area) .B8 carbon data can be aggregated to provide </t>
    </r>
    <r>
      <rPr>
        <sz val="12"/>
        <color rgb="FFFF0000"/>
        <rFont val="Arial"/>
        <family val="2"/>
      </rPr>
      <t>B8 data at programme and portfolio levels.</t>
    </r>
  </si>
  <si>
    <t>As an Estimator I need the software to be able to produce a TPE Routine Maintenance output at Cost Element level</t>
  </si>
  <si>
    <t>Please refer to SRS Chapter 12, which covers three-point estimating capability.</t>
  </si>
  <si>
    <t>As an estimating manager, I want to have a logical coding for each item of works (MP, M&amp;R and AR) that can be configured to a standard WBS for the lifecycle stage.</t>
  </si>
  <si>
    <t>Each Item library will have an editable field for Item Code.</t>
  </si>
  <si>
    <t>Administrators can edit the Item Code for each Item in an Item Library so that each Item has a unique item code and is configurable to a standardised WBS.</t>
  </si>
  <si>
    <t>Administrators can edit the Item Code for each Item in an Item Library so that when Items are ordered by Item code, the order matches a standardised WBS.</t>
  </si>
  <si>
    <t xml:space="preserve">Administrators can upload Item codes, Item Descriptions and other Item data fields in bulk from an Excel template. </t>
  </si>
  <si>
    <t>Flexibility to use either the Item rate derived from the resource buildup or a contractual item rate which may not have a resource level build up.   Software should allow multiple set libraries to be applied or used in producing an estimate. Example on Asset Renewal and M&amp;R use contractor rates which may have or may not have resource buildup or use NH national TPE library or use library from other region or area._x000B_Software should allow the item rate buildup to be delinked from resource rate buildup to allow user to enter item rate where resource build in not available. Allow linking with the resource rate build when resource build is available._x000B_The above feature should be available in library creation as well as plugin in an item rate or resource build in any estimate.</t>
  </si>
  <si>
    <t xml:space="preserve">For a given lifecycle stage, an Estimator can apply multiple cost and carbon libraries to the Items within a single estimate. </t>
  </si>
  <si>
    <t>The Items in an item library for cost and carbon may have a detailed resource build-up of labour, plant, materials, and / or subcontractor resources, or an item may be a simple unit rate with  only a subcontractor resource in the Item.</t>
  </si>
  <si>
    <t>An Estimator can create an Item in an estimate and produce a build-up of Resources for that Item.  The Resource build-up can be a full first-principles build up of labour, plant and materials resources, or it can be a unit rate with a single Resource linked to the Item description to create an Item rate.</t>
  </si>
  <si>
    <t>The cost rate for all Resource libraries have a minimum rate, most-likely and a maximum rate field so that libraries can hold Resource rates in three-point estimating (TPE) format.</t>
  </si>
  <si>
    <t xml:space="preserve">The cost rate for all Item libraries have a minimum rate, most-likely and a maximum rate field so that libraries hold can Item rates in TPE format. </t>
  </si>
  <si>
    <t>The carbon emission factors in carbon libraries have minimum, most likely and maximum fields so that libraries can hold carbon emission factors in TPE format in accordance with the carbon libraries supplied in file ref. ‘W.11 - National Highways - Carbon Library 1.5 - Prepared for NH Internal Review, Testing, and Piloting’.</t>
  </si>
  <si>
    <t xml:space="preserve">In producing an item in estimate
•I can delink resources from the rate in the Resource library and this resource will be flagged as “delinked” 
•I can enter a rate for a delinked Resource in an estimate and as flag this as a ‘plugged rate’ (approximate rate). </t>
  </si>
  <si>
    <t xml:space="preserve">When a resource buildup to an item rate is available, the item rate is the sum of the sum of the costs of each Resource in the build-up. </t>
  </si>
  <si>
    <t xml:space="preserve">Users can flag an item rate (sub-contractor resource) or a resource rate as an approximate ‘plugged’ rate. </t>
  </si>
  <si>
    <t>Users can run a report to return the ‘plugged’ rates within an estimate</t>
  </si>
  <si>
    <t>As an estimator, I want to be able to segment the Opex estimate (and MP and Renewals and therefore WLC estimate) so that I can see the quantity, cost and carbon per segment (capex, Opex, renewals, WLC)</t>
  </si>
  <si>
    <t>As a user I can segment estimates (for each of the FR10 outputs types) buildup and then report cost and carbon for the created segments.</t>
  </si>
  <si>
    <t>As a user I can produce B2 to B5 carbon estimates at the granularity of PAS 2080 modules / sub-modules set out in reference document "W.16 - Modules for Whole Life Carbon and alignment to latest RICS guidance.xls" provided by Circular Ecology</t>
  </si>
  <si>
    <t xml:space="preserve">As an Estimator I need to be able to produce Asset Renewal cost estimates for two purposes:
1) Impact of a CAPEX scheme (MP or Operations delivered) on Asset Renewals over a user defined assessment period of up to 120 years.
2) Detailed standalone Asset Renewal cost estimate for a single scheme </t>
  </si>
  <si>
    <t>As an estimator I can produce an estimate for periodic asset renewals within a long-term appraisal of a capex estimate in addition to a standalone estimate for an asset renewal project.
Please see SRS Chapter 2 for the specification of Long-Term Appraisal estimates.</t>
  </si>
  <si>
    <t>For standalone detailed Asset Renewal cost estimates (2), as an Estimator I need the software to receive an unpriced Schedule of Items from Excel (or 2D / 3D take-off feature) and apply the relevant contractual item rate (SDF or other) to price the proposed scope of work, refer to 9.13 for further details
The unpriced Schedule of Items must be produced following the NH Ops WBS and can produced either by:
1) NH Direct and Indirect (including TTM) parametric models
2) Estimator/Supplier produced Schedule of Items from quantity take-off</t>
  </si>
  <si>
    <t>• As an estimator, I can import and update a schedule of Assets / Items and quantities into an estimate.</t>
  </si>
  <si>
    <t>• As an estimator, I can use 2D/3D functionality to generate a schedule of Assets / Items and quantities in an estimate.</t>
  </si>
  <si>
    <t>• As an estimator, I can run a parametric model to generate a schedule of Assets / Items and quantities in an estimate in the CCET.</t>
  </si>
  <si>
    <t>• As an estimator, I can select a source library to ‘auto-allocate’ Items with matching codes and / or descriptions in an unpriced schedule of Items, in order to match and apply rates.</t>
  </si>
  <si>
    <t>• As an estimator, I can select a source library and allocate Items from that library to Items in an estimate which do not matching codes and / or descriptions with the library Items, in order to apply rates from similar library Items.</t>
  </si>
  <si>
    <t>For standalone detailed Asset Renewal cost estimates, as an Estimator I need the software to capture and display estimated costs to a admin-configurable cost element structure, as per the National Highways Asset Renewals CESS, which is reflective of the 3D Process</t>
  </si>
  <si>
    <t>• As an administrator I can create configurable cost elements and sections in an estimating template similar to NH Asset Renewal CESS aligned with 3D framework. This template will be configurable and controlled by an administrator.</t>
  </si>
  <si>
    <t>• As an estimator I can allocate items to an administrator-created estimating template and then report using the template structure.</t>
  </si>
  <si>
    <t>For standalone detailed Asset Renewal cost estimates, as an Estimator  I need to be able to specify the source of the unit rate to reflect the scheme specific commercial variables and for the software to select and apply the relevant Supplier rate, based on the Estimator selected variables.
Currently this includes: selection of Region, selection of Supplier Lot, selection of  Supplier sub-lot, selection of specific Supplier and selection of scheme specific delivery details (e.g. season, time, day)
I need the ability to select any of the above scheme specific commercial variables as Unknown, and the software to select a Supplier unit rate to apply with the cost estimate. This process of supplier selection could be based on the current SDF pricing templates.</t>
  </si>
  <si>
    <t>The CCET can store supplier-specific Item and Resource libraries that an estimator can select to apply to an estimate.  An estimator can select the supplier-specific library to apply to the Items in an estimate.</t>
  </si>
  <si>
    <t>The Items in the CCET Item libraries contain variables and calculations that change the Item rate depending on an estimator's input for the variables.  Variables can cover scheme-specific details such as working time, working day and season.</t>
  </si>
  <si>
    <t xml:space="preserve">The Resource rates held in libraries, and Item rates resulting from the sum of Resources' costs, can vary by the Region of the estimate. </t>
  </si>
  <si>
    <t>Administrators can also create Area or Region-Specific Item and Resource libraries.</t>
  </si>
  <si>
    <t xml:space="preserve">As an estimator, I can select rates to apply to Items in an estimate based on:
•  Region
•  Supplier lot / sub-lots
•  Specific supplier 
•  Specific delivery / commercial details, (season, time, day)
As an estimator I can select and produce / present estimates using supplier / suppliers based on the current SDF pricing templates.* </t>
  </si>
  <si>
    <t>* Please refer to FR1240 below for related functional requirements and acceptance criteria for the application of the Item for the correct quantity band for Asset Renewals works.</t>
  </si>
  <si>
    <t>As an Estimator I need a "generic - NH level" first principles resource build-up for each Asset Renewal Item unit rate, which is decoupled from the contractual Asset Renewal Item unit rate.  Carbon calculations (and resource demand reports) may need to use the generic resource build-up; whereas cost estimates may need to use just the contractual unit rate. 
I need the capability for the "generic - NH level" resource build-ups to be superseded over time to be replaced with  Supplier specific  first principle resource build-ups for each Asset Renewal Item unit rate.</t>
  </si>
  <si>
    <t>When producing an estimate for a given lifecycle stage, an estimator can select the Item library she wishes to use to apply a carbon rate to an individual Item.</t>
  </si>
  <si>
    <t xml:space="preserve">For a given lifecycle stage, an Estimator can apply multiple libraries to the Items within a single estimate. </t>
  </si>
  <si>
    <t>The Items in an item library may have a detailed resource build-up of labour, plant, materials, and / or subcontractor resources, or an item may be a simple unit rate with  only a subcontractor resource in the Item.</t>
  </si>
  <si>
    <t>Estimators can generate a report of estimated resource quantities (for resource demand forecasting) for any estimate (cost or carbon)</t>
  </si>
  <si>
    <t>Administrators can edit an Item library and replace a generic Item rate build-up with a build-up that is specific to a supplier</t>
  </si>
  <si>
    <t xml:space="preserve">As an Estimator, for Asset Renewal estimates, I can use: 
    • An Item with a generic first-principles Resource build-up to produce a carbon estimate, decoupled from an Item unit cost rate; and
    • A contractual unit cost rate (with variations*) for the Item to produce cost estimate . 
The generic first-principles Resource build-ups can be superseded over time to be replaced with supplier-specific first principles Resource build-ups for each Asset Renewal Item unit rate.
*Variations of the contractual unit rate can be stored in an Item library and used for the Item in an estimate by the Estimator specifying the input variable. </t>
  </si>
  <si>
    <t>As an Estimator I need to be able to produce a new first principal resource level build-up for an activity not included within the NH Asset Renewal Item library. The software should allow the user to build the new item using the NH Asset Renewal resource library. Each new Item should be able to be assigned to a specific Supplier engaged within the cost estimate.
Following a separate NH review/approval process the software  should allow the update of the Item library with approved "Star rates" for use in other Asset Renewal estimates</t>
  </si>
  <si>
    <t>An Estimator can create an Item in an estimate using Resources from the relevant Resource library for that estimate and Item.</t>
  </si>
  <si>
    <t xml:space="preserve">A new Items created in an estimate can be assigned to a Supplier. </t>
  </si>
  <si>
    <t>A new Item created in an estimate can be added to the appropriate Item library, including a supplier-specific library</t>
  </si>
  <si>
    <t>Items in an estimate can be tagged as "Star Rates", i.e. not part of an original set of Items for the project /  contract.</t>
  </si>
  <si>
    <t>Items in an Item library can be tagged as "Star Rates", i.e. not part of an original set of Items for a supplier /  contract.</t>
  </si>
  <si>
    <t xml:space="preserve">As a user I can create Items, that are not within the libraries available, using a NH Resource library and assign it to a specific supplier.  </t>
  </si>
  <si>
    <t>An Item created in an estimate can be marked/flagged/highlighted in the CCET as unassured.</t>
  </si>
  <si>
    <t>User created ‘Star Rates’ Items can be approved by the client for inclusion within the library and after client assurance can be marked as assured, but still marked/flagged/highlighted as a ‘Star Rate’ Item.</t>
  </si>
  <si>
    <t>For assessment of Asset Renewal costs associated with the CAPEX scheme (2), as an Estimator I need the software to apply the relevant unit rates for each renewal activity. In addition to these unit rates, the software will apply a top down adjustment for Prelims, TTM, Design, SU, Other costs and Fee.</t>
  </si>
  <si>
    <t xml:space="preserve">As an estimator, I can use quantities produced for a CAPEX scheme to Inform the Asset Renewals estimate within a whole lifecycle cost and carbon estimate.   </t>
  </si>
  <si>
    <r>
      <t xml:space="preserve">These quantities will be allocated to the appropriate composite unit rates from LTA library which includes </t>
    </r>
    <r>
      <rPr>
        <strike/>
        <sz val="12"/>
        <rFont val="Arial"/>
        <family val="2"/>
      </rPr>
      <t>and I will be able to apply</t>
    </r>
    <r>
      <rPr>
        <sz val="12"/>
        <rFont val="Arial"/>
        <family val="2"/>
      </rPr>
      <t xml:space="preserve"> top-down adjustments for </t>
    </r>
    <r>
      <rPr>
        <strike/>
        <sz val="12"/>
        <rFont val="Arial"/>
        <family val="2"/>
      </rPr>
      <t>other costs</t>
    </r>
    <r>
      <rPr>
        <sz val="12"/>
        <rFont val="Arial"/>
        <family val="2"/>
      </rPr>
      <t xml:space="preserve">. Prelims, TTM, Design, SU, Other costs and Fee ,etc within composite item rate. </t>
    </r>
  </si>
  <si>
    <t>Multiple Asset Renewal Item libraries for cost and carbon will be stored in the software</t>
  </si>
  <si>
    <t>A User can select which Asset Renewal Item library will be applied within the Asset Renewal estimate</t>
  </si>
  <si>
    <t>A User can select to apply different Asset Renewal Item libraries to produce the cost and carbon estimates</t>
  </si>
  <si>
    <t>National Highways can configure the Item libraries to include Items with first principles resource build-ups or composite unit rates which include top-down allowances to produce all-in composite rates (e.g. TTM, design, prelims, SU, Fee, Other costs, etc.)</t>
  </si>
  <si>
    <t>Please see FR1193 in SRS Chapter 2 for Long-Term Appraisal estimates.</t>
  </si>
  <si>
    <t>Based on the value of the work packages for each Supplier the software should apply the relevant Fee. The methodology when the Supplier is Unknown could utilise the logic from the current SDF pricing workbooks.</t>
  </si>
  <si>
    <t>• As an estimator, I can apply relevant fees from the Supplier Fee Library to work packages based on their value.
• As an estimator, I can apply fees from the Supplier Fee Library when the supplier is unknown, using configured thresholds, e.g. to align with the current SDF pricing workbooks’ logic.</t>
  </si>
  <si>
    <t>See FR 1191 - Flexibility to use either the Item rate derived from the resource buildup or a contractual item rate which may not have a resource level build up</t>
  </si>
  <si>
    <t>As a user I can use Items which have a full labour, plant, materials Resource build-up, or an Item unit rate (e.g. a contractual Item rate) using only a single ‘Subcontractor’ Resource.
Items can be used from different libraries to produce estimates.</t>
  </si>
  <si>
    <t>As an estimator, I want to make sure that the rate used from the library is correct where contractual rates vary with quantity bandings.   
This can be addressed through correct configuration of the item library, where item descriptions identify the quantity band and library rates for that band can be auto-allocated to the item.  
Each quantity banding is a separate item within the SDF Schedule of Rates , so a correctly produced SoI will account for quantity bandings.</t>
  </si>
  <si>
    <t>An Item library can be configured with Item descriptions that contain quantity bands.</t>
  </si>
  <si>
    <t>When an estimator selects an Item library to apply to an estimate, the appropriate Item rates for a quantity band are automatically applied to items in the estimate with a matching description with quantity bands.</t>
  </si>
  <si>
    <t>See FR 1192 - When there are no Items within the library, allow the estimator to use available resource buildups and create Star Items</t>
  </si>
  <si>
    <t>An Estimator can create an Item, that is not part of any library, in an estimate using Resources from the relevant CCET Resource library for that estimate and Item and use them in estimate production.</t>
  </si>
  <si>
    <t xml:space="preserve">A new Item created in an estimate can be assigned to a Supplier. </t>
  </si>
  <si>
    <t>A new Item created in an estimate can be added to the appropriate Item library, including a supplier-specific library, by an administrator when approved</t>
  </si>
  <si>
    <t>As an estimator, or estimating manager, I want to be able to identify the "star rates" that have been created for a specific estimate, i.e. that are not in the current item library.  Once star rates are approved and added to the contract and library, they do not need to be identified  as "star rates"</t>
  </si>
  <si>
    <t>As an estimator or estimating manager I can see the ‘Star Rates’ Item used in a specific estimate which are not in any libraries. 
On approval these ‘Star Rates’ Items can be added to any specific library, for example supplier specific contractual item library.</t>
  </si>
  <si>
    <t>As an Estimator I need the software to apply risk using one of two methods:
1) Top down risk % allowance, based upon a risk matrix method (e.g. level of scheme design info available and scheme technical complexity) which is then applied at Section level
2) Import of a risk register, which is then applied at Section level
See 1270 - Risk - Top down estimating approach</t>
  </si>
  <si>
    <t>As an estimator, risk can be applied at Section level using the top-down method or with an imported risk register.</t>
  </si>
  <si>
    <t>An Estimator can select one of the following options available in the CCET for the method to generate Project Carbon Risk / Opportunity / Uncertainty allowances at Section level in an estimate:</t>
  </si>
  <si>
    <t>1. Automatic top-down calculation of allowances based on calculation the  Project Carbon Risk / Opportunity / Uncertainty allowance x (Base Carbon Estimate/Base Cost Estimate) - as per FR1090</t>
  </si>
  <si>
    <t xml:space="preserve">2. User input of 'top-down' % values (producing an allowance of the entered percentage x  the base carbon estimate) or an input of a kGCO2e value </t>
  </si>
  <si>
    <t>See 1270 - Validation questions to provide a risk percentage and allow an estimator to assign Section-level Risk</t>
  </si>
  <si>
    <t>As an estimator, I want to assign risk to a cost or carbon estimate at section level</t>
  </si>
  <si>
    <t>As an Estimator I require the software to store and apply relevant spend profiles (based on scheme characteristics, type etc.) to the forecast costs across each of the 3D stages.</t>
  </si>
  <si>
    <t>As an estimator, spend profiles should be allocated to schemes from within a library of stored expenditure profiles, based on project characteristics. 
The spend profiles should be editable by administrator-controlled users.</t>
  </si>
  <si>
    <t>See 1190-1193 - User-friendly way to select the time and period the works will be completed (this would need to consider Region/Contractor/Time/Season)</t>
  </si>
  <si>
    <t>As an estimator, I can select apply rates from a user selected library in a user-friendly way based on 
• The region, 
• Supplier lot/sub-lots, 
• Specific supplier 
• Specific delivery/commercial details such as time of day, day of week and seasons.</t>
  </si>
  <si>
    <t>There may be multiple Asset Renewal cost estimates for any scheme (i.e. multiple options). The Estimator should be able to update any previous Asset Renewal cost estimate to reflect the latest scheme details</t>
  </si>
  <si>
    <t xml:space="preserve">As an estimator, I can create a copy of a completed estimate or revision and modify the estimate. 
As an estimator I can change the following:
• Scope - items of work and/or quantities
• Resources
• Schedule
• Risk
• Expenditure profile
• Inflation </t>
  </si>
  <si>
    <t>Compare Estimated Carbon Impact with  Carbon Reduction Targets at Scheme, Programme and Portfolio levels</t>
  </si>
  <si>
    <t>As a user I can compare carbon estimates (baseline) calculated in CCET with carbon reduction targets ingested into CCET at project, programme and portfolio levels.</t>
  </si>
  <si>
    <t xml:space="preserve">Configure PAS2080 requirements to align with the RICS 2nd edition </t>
  </si>
  <si>
    <t>The CCET carbon libraries hold data at the granularity of PAS 2080 modules / sub-modules set out in reference document "W.16 - Modules for Whole Life Carbon and alignment to latest RICS guidance.xls" provided by Circular Ecology.
The CCET reports carbon estimates at the granularity of PAS 2080 modules / sub-modules set out in reference document "W.16 - Modules for Whole Life Carbon and alignment to latest RICS guidance.xls" provided by Circular Ecology.</t>
  </si>
  <si>
    <t>As an Estimator I can filter cost and carbon estimates for any Asset Renewal cost estimate by Portfolio, Programme, Scheme, Area, Region and EIN</t>
  </si>
  <si>
    <t>As an Estimator I can browse or search in the CCET for any cost and carbon estimate for Asset Renewal by Portfolio, Programme, Scheme, Area, Region and EIN.</t>
  </si>
  <si>
    <t>As an Estimator I need the software to have the capability to tag all activities within the estimate as either B4 or B5,  for reporting purposes as per PAS 2080 requirements.</t>
  </si>
  <si>
    <t>As an Estimator I can estimate B4 and B5 separately for purposes of reporting carbon as per PAS2080 requirements.
The Items for an Asset Renewals estimate in the CCET can be tagged as PAS 2080 module B4 or B5.</t>
  </si>
  <si>
    <t xml:space="preserve">See FR 670 - Ability to overwrite the calculated top-down carbon risk allowance </t>
  </si>
  <si>
    <t>An Estimator can enter top-down Cost and Carbon Risk allowances to a Section in an Estimate, instead of importing a risk register or automatically-calculated risk allowances (see SRS Chapter 1 for details of the automatic calculation of top-down risk allowances).</t>
  </si>
  <si>
    <t>As an estimator, I want the ability to apply a cost to carbon factor for a specific resource group to a resource that does not have a carbon emission factor in the library or an item / composite item that does not have a first-principles build-up and therefore does not have a carbon emission factor in a library.  The cost to carbon factors should be stored in a dedicated library.</t>
  </si>
  <si>
    <t xml:space="preserve">The cost-to-carbon factors are stored for specified Resource Groups.  </t>
  </si>
  <si>
    <t xml:space="preserve">The Estimator can select a cost-to-carbon factor to apply to a Resource in an estimate.  </t>
  </si>
  <si>
    <t xml:space="preserve">Cost-to-carbon factors can be applied through automation to Resources without a carbon emission factor in an estimate, by mapping the cost-to-carbon factors to the Resource Groups of those Resources. </t>
  </si>
  <si>
    <t>As an estimator I am able to apply cost to carbon factors for a specific resource group from the dedicated cost to carbon library, to resources / resource groups for Resources in an estimate that do not have a carbon emission factor in the carbon Resource library.</t>
  </si>
  <si>
    <t>See FRs 570, 580, 670 - Calculate Carbon Risk and Uncertainty Allowance at the Cost Header (Cost Element) level using the Cost to Carbon Intensity Factor</t>
  </si>
  <si>
    <t xml:space="preserve">As a user, CCET needs to automatically generate a cost to carbon intensity factor for risk and uncertainty across PAS2080 modules, derived from the base estimates of cost and carbon.
These cost to carbon intensity factors for risk and uncertainty can be applied in CCET at Section cost element level to generate carbon risk/uncertainty allowance in Carbon estimates. </t>
  </si>
  <si>
    <t xml:space="preserve">See FRs 570, 580, 670 - Produce a Carbon Risk and Opportunity Allowance at the Project, Programme and Portfolio levels </t>
  </si>
  <si>
    <t>Please also refer to acceptance criteria for FR570, FR580 and FR670 for further details.
As a user I can produce carbon risk and opportunity allowances at the following levels
•  Project level
•  Programme level
•  Portfolio level</t>
  </si>
  <si>
    <t xml:space="preserve"> - Project Risk / Opportunity / Uncertainty allowance at Section and Total Project level</t>
  </si>
  <si>
    <t xml:space="preserve"> - Programme Risk / Opportunity / Uncertainty allowance at Section and Total Project level</t>
  </si>
  <si>
    <t xml:space="preserve"> - Portfolio Risk / Opportunity / Uncertainty allowance at Section and Total Project level</t>
  </si>
  <si>
    <t xml:space="preserve">See FR 1120 - View the carbon expenditure profile over time by WBS (Work Breakdown Structure) and by Resource </t>
  </si>
  <si>
    <t xml:space="preserve">As an estimator I can view the expenditure profile over time by WBS and by Resource. </t>
  </si>
  <si>
    <t>The estimated cost and carbon expenditures can be viewed by WBS / CESS structure and by Resource and show base estimate cost and carbon.  Risk and inflation allowances are visible above Section level (as risk is not allocated at Item level or Resource level).</t>
  </si>
  <si>
    <t>Resource Library setup for Asset Renewal Estimates</t>
  </si>
  <si>
    <t xml:space="preserve">As a user, subject to sufficient permissions, I can create a resource library which is paired / linked to an Item library. These  libraries are used for producing cost and PAS2080 carbon estimates. </t>
  </si>
  <si>
    <t>NH User &amp; Supply Chain User - I will need to be able to create a new Revision from a previous Revision and have some form of Revision referencing auto-populate. Creating a new Revision should be simple, such as a 'Create New Revision' button feature or similar.</t>
  </si>
  <si>
    <t>A NH Estimator or Project User can select a menu item "generate new revision" in an existing forecast and create a new forecast.</t>
  </si>
  <si>
    <t>When generated from the source forecast, the new forecast will be given the next sequential revision number for those forecasts produced for the baseline established by the given NH estimate.</t>
  </si>
  <si>
    <t>When generated from the source forecast, the new forecast revision will have the same project, estimate and assigned user as the source forecast.</t>
  </si>
  <si>
    <t>Ability to control if Section-level Cost data from a baseline Estimate assigned to a Contractor is visible to the Contractor</t>
  </si>
  <si>
    <t>An administrator can control the level of cost data from NH estimates that is visible as a baseline for supplier forecasts in the CCET. The administrator sets this control across the CCET in a table within the administration settings.</t>
  </si>
  <si>
    <t>The administrator can select one of the following whether forecast baselines' rate and cost columns are visible at the following levels:
- None (no baseline cost data is visible to Project Users) 
- Project (only baseline Project cost totals are visible to Project Users) - Section (only baseline Section and Project cost totals are visible to Project Users) 
- Item (baseline Item rates, Item costs, Section and Project cost totals are visible to Project Users) 
- Resource (all rates and costs in the baseline are visible to Project Users)</t>
  </si>
  <si>
    <t>Contractors should only be able to view Section level costs in the baseline. This is so that the Authority sectional costs act as a working sectional budget for the contractor to work towards.</t>
  </si>
  <si>
    <t>An administrator can control the level of cost data from NH estimates that is visible as a baseline for supplier forecasts in the CCET. The administrator sets this control across the CCET in a table within the administration settings.
The administrator can select one of the following whether forecast baselines' rate and cost columns are visible at the following levels: 
- None (no baseline cost data is visible to Project Users) 
- Project (only baseline Project cost totals are visible to Project Users) 
- Section (only baseline Section and Project cost totals are visible to Project Users) 
- Item (baseline Item rates, Item costs, Section and Project cost totals are visible to Project Users) 
- Resource (all rates and costs in the baseline are visible to Project Users)</t>
  </si>
  <si>
    <t>Provide controls around the cost data that the contractor can see when selecting a client estimate. The contractor will be assigned the estimate and only see the estimates that are assigned to them.</t>
  </si>
  <si>
    <t>The administrator can select one of the following whether forecast baselines' rate and cost columns are visible at the following levels: 
- None (no baseline cost data is visible to Project Users) 
- Project (only baseline Project cost totals are visible to Project Users) 
- Section (only baseline Section and Project cost totals are visible to Project Users) 
- Item (baseline Item rates, Item costs, Section and Project cost totals are visible to Project Users) 
- Resource (all rates and costs in the baseline are visible to Project Users)</t>
  </si>
  <si>
    <t>Project Users can see forecast baselines (generated by the linked NH estimate) only for forecasts that are assigned to them. ]</t>
  </si>
  <si>
    <t>For the PCF Stage 0-2 Forecast, no rates should be visible to the Forecast project team user</t>
  </si>
  <si>
    <t>An administrator can control the level of cost data from NH estimates that is visible as a baseline for supplier forecasts in the CCET. The administrator sets this control across the CCET in a table within the administration settings.
The administrator can select one of the following whether forecast baselines' rate and cost columns are visible at the following levels: 
- None (no baseline cost data is visible to Project Users) 
- Project (only baseline Project cost totals are visible to Project Users) 
- Section (only baseline Section and Project cost totals are visible to Project Users) 
- Item (baseline Item rates, Item costs, Section and Project cost totals are visible to Project Users)  
- Resource (all rates and costs in the baseline are visible to Project Users)</t>
  </si>
  <si>
    <t>Varying levels of control in the system to show the section level costs, or not show costs at all - across all estimates</t>
  </si>
  <si>
    <t>The administrator can select one of the following whether forecast baselines' rate and cost columns are visible at the following levels: 
- None (no baseline cost data is visible to Project Users) 
- Project (only baseline Project cost totals are visible to Project Users) 
- Section (only baseline Section and Project cost totals are visible to Project Users) 
- Item (baseline Item rates, Item costs, Section and Project cost totals are visible to Project Users) 
- Resource (all rates and costs in the baseline are visible to Project Users)</t>
  </si>
  <si>
    <t>As a Project User, I want to be able to export the provided Forecast (cost and carbon) to MS Excel so that I can make changes to quantities, rates, carbon factors, expenditure profile, inflation profile, risk register and then upload these changes in bulk from MS Excel to the software for Forecast submission.</t>
  </si>
  <si>
    <r>
      <t xml:space="preserve">A Project User, to which a forecast has been assigned, can export the following to MS Excel for the forecast (baseline or </t>
    </r>
    <r>
      <rPr>
        <sz val="12"/>
        <color rgb="FFFF0000"/>
        <rFont val="Arial"/>
        <family val="2"/>
      </rPr>
      <t>IFT/Forecas</t>
    </r>
    <r>
      <rPr>
        <sz val="12"/>
        <color theme="1"/>
        <rFont val="Arial"/>
        <family val="2"/>
      </rPr>
      <t xml:space="preserve">t </t>
    </r>
    <r>
      <rPr>
        <strike/>
        <sz val="12"/>
        <color theme="1"/>
        <rFont val="Arial"/>
        <family val="2"/>
      </rPr>
      <t>other</t>
    </r>
    <r>
      <rPr>
        <sz val="12"/>
        <color theme="1"/>
        <rFont val="Arial"/>
        <family val="2"/>
      </rPr>
      <t>) covering all Sections, Cost Elements and Items in the forecast's 'base estimate’</t>
    </r>
    <r>
      <rPr>
        <sz val="12"/>
        <color rgb="FFFF0000"/>
        <rFont val="Arial"/>
        <family val="2"/>
      </rPr>
      <t xml:space="preserve"> /IFT(Forecast)</t>
    </r>
    <r>
      <rPr>
        <sz val="12"/>
        <color theme="1"/>
        <rFont val="Arial"/>
        <family val="2"/>
      </rPr>
      <t>: 
- Section codes, Section Description and Section Cost (if Section cost data is visible) 
- Cost Element codes, Cost Element Description and Cost Element Costs (if Cost Element cost data is visible) 
- the Item codes, Item descriptions, Item quantities, Item units, Item cost rates and item costs (if rate / cost data is visible) 
- the forecast Resources by Item (including Resource codes, Resource descriptions, Resource quantities, Resource units, Resource cost rates and Resource costs (only if rate / cost data is visible) with carbon emissions per carbon module for each resource and Item totals per module</t>
    </r>
  </si>
  <si>
    <r>
      <t xml:space="preserve">A Project User, to which a forecast has been assigned, can export the following to MS Excel for the forecast (baseline or IFT/Forecast </t>
    </r>
    <r>
      <rPr>
        <strike/>
        <sz val="12"/>
        <color theme="1"/>
        <rFont val="Arial"/>
        <family val="2"/>
      </rPr>
      <t>other</t>
    </r>
    <r>
      <rPr>
        <sz val="12"/>
        <color theme="1"/>
        <rFont val="Arial"/>
        <family val="2"/>
      </rPr>
      <t>):
- the forecast Project Risk / Opportunity / Uncertainty register (where the Project Risk / Opportunity / Uncertainty allowance is generated 'bottom-up' from a register 
- the forecast Project Risk / Opportunity / Uncertainty allowances in £ for each Section and Cost Element (where the Project Risk / Opportunity / Uncertainty allowance is generated 'top-down' from a cost or percentage allowances at Section / Cost Element level.</t>
    </r>
  </si>
  <si>
    <r>
      <t xml:space="preserve">A Project User, to which a forecast has been assigned, can export the following to MS Excel for the forecast (baseline or IFT/Forecast </t>
    </r>
    <r>
      <rPr>
        <strike/>
        <sz val="12"/>
        <color theme="1"/>
        <rFont val="Arial"/>
        <family val="2"/>
      </rPr>
      <t>other</t>
    </r>
    <r>
      <rPr>
        <sz val="12"/>
        <color theme="1"/>
        <rFont val="Arial"/>
        <family val="2"/>
      </rPr>
      <t>): 
- forecast start and finish date for each Section / Cost Element (e.g. PCF or 3D stage start and finish dates) 
- the forecast expenditure profile for each Section / Cost Element 
- the forecast inflation profile for each Section / Cost Element</t>
    </r>
  </si>
  <si>
    <t>A Project User can edit the exported Schedule of Items from a forecast by adding Items, deleting Items, and editing Item quantities and import this to a forecast, auto-allocating the Items so that they are priced by the Project-Specific Item library.</t>
  </si>
  <si>
    <t>A Project User can edit the exported Project Risk / Opportunity / Uncertainty register by adding or deleting risks / opportunities / uncertainty allowances, and editing codes, descriptions, probabilities, impacts and allocations to Sections / Cost Elements and import this to a forecast.</t>
  </si>
  <si>
    <t>A Project User can edit the exported milestone start and finish date, expenditure profiles and inflation profiles for each cost element and import this to a forecast so that these data are incorporated in the forecast (note inflation profiles must be read from the CCET library of inflation indices applicable for the forecast).</t>
  </si>
  <si>
    <t>NH User - I want to be able to approximate cost impact at the top down using the PCF Stage 0-2 Forecast - the user can only change the scope, risk, schedule, schedule of other costs, they cannot edit Items or rates. This allows high-level scope changes to be made quickly based on pre-defined cost estimating relationships between the high-level levers and the associated items. Supply Chain User - Not applicable</t>
  </si>
  <si>
    <t>An NH Estimator can amend input variables at Project, Section, and / or Item level that make top-down changes to existing item quantities - subject to calculations for the relationships between input variable and Item quantities being set up in the forecast.</t>
  </si>
  <si>
    <t>NH User &amp; Supply Chain User - I want to see and be able to edit input fields to cover the existing "Change Key Data" worksheet in the MS Excel Forecast.</t>
  </si>
  <si>
    <t>A CCET user, to which a forecast is assigned, can amend the following subject to administration settings for their settings:
- VAT % - NRVAT Hybrid % 
- allocation of library Fee percentage for each Section / Cost Element 
- Programme Risk - Portfolio Risk</t>
  </si>
  <si>
    <t>As a Project User, when completing an Forecast PCF0-2, I want the ability to make changes only to the existing item quantities, schedule milestones, risks. Any bespoke items / items outside the existing bill can be added to the risk Revision register as an "Uncertainty" adjustment.</t>
  </si>
  <si>
    <t>A CCET administrator can disable the ability for a Project User to add items to an estimate by manual entry and load spreadsheet, i.e. restrict Project Users to adding items only from the assigned Item Library. This setting can be applied to a specific Project.
A CCET administrator can disable the ability for a Project User to add resources to an estimate by manual entry and load spreadsheet, i.e. restrict Project Users to adding resources only from the assigned Resource Library. This setting can be applied to a specific Project.</t>
  </si>
  <si>
    <t>See FR 1840 - Capture an estimate containing actual costs and actual carbon against the resources within an M&amp;R estimate representing/recording what occurred at a point in time of operations.</t>
  </si>
  <si>
    <r>
      <t>An Operation and Maintenance forecast contains "planned" and "actual" columns at Item level and above for the following fields for each year of a forecast's assessment period: 
- Item quantity - Item cost</t>
    </r>
    <r>
      <rPr>
        <sz val="12"/>
        <color rgb="FFFF0000"/>
        <rFont val="Arial"/>
        <family val="2"/>
      </rPr>
      <t xml:space="preserve"> (including resources</t>
    </r>
    <r>
      <rPr>
        <sz val="12"/>
        <color theme="1"/>
        <rFont val="Arial"/>
        <family val="2"/>
      </rPr>
      <t>-level data for planned / forecast items) 
- Item carbon (with module split): 
- Cost Element cost 
- Cost Element carbon 
- Section cost 
- Section carbon (with module split)</t>
    </r>
  </si>
  <si>
    <r>
      <t>A Project User producing a forecast for an Operation and Maintenance project can input actual Item quantities and Item costs</t>
    </r>
    <r>
      <rPr>
        <strike/>
        <sz val="12"/>
        <color rgb="FFFF0000"/>
        <rFont val="Arial"/>
        <family val="2"/>
      </rPr>
      <t>(resources)</t>
    </r>
    <r>
      <rPr>
        <sz val="12"/>
        <color theme="1"/>
        <rFont val="Arial"/>
        <family val="2"/>
      </rPr>
      <t xml:space="preserve"> in dedicated "actual" columns for each past year in the forecast's assessment period.</t>
    </r>
  </si>
  <si>
    <t>In an O&amp;M forecast, the data in the "planned" and "actual" columns can be reported to show planned vs. actual totals by year and position on screen and in reports.</t>
  </si>
  <si>
    <t>Covered by FR 1700 - Stage 0-2 there are no rate changes are to be made in the system.</t>
  </si>
  <si>
    <t>Not applicable - see FR1700.</t>
  </si>
  <si>
    <t>The system shall assess and report carbon for each PAS 2080 stage and module as set out in subject matter expert Circular Ecology's recommended module breakdown selected from RICS 2nd Edition of Whole Life Carbon Assessment. As an estimator, I want Project Users to input a forecast that follows the structure of NH estimate (for each of the estimate types set out in Scope Table A) at an appropriate level of the WBS</t>
  </si>
  <si>
    <r>
      <t xml:space="preserve">Forecasts align with the PAS 2080 modules configured in the CCET for each Estimate Type </t>
    </r>
    <r>
      <rPr>
        <sz val="12"/>
        <color rgb="FFFF0000"/>
        <rFont val="Arial"/>
        <family val="2"/>
      </rPr>
      <t>in FR10</t>
    </r>
    <r>
      <rPr>
        <sz val="12"/>
        <color theme="1"/>
        <rFont val="Arial"/>
        <family val="2"/>
      </rPr>
      <t xml:space="preserve"> </t>
    </r>
    <r>
      <rPr>
        <strike/>
        <sz val="12"/>
        <color theme="1"/>
        <rFont val="Arial"/>
        <family val="2"/>
      </rPr>
      <t>for Major Projects</t>
    </r>
    <r>
      <rPr>
        <sz val="12"/>
        <color theme="1"/>
        <rFont val="Arial"/>
        <family val="2"/>
      </rPr>
      <t xml:space="preserve">, </t>
    </r>
    <r>
      <rPr>
        <strike/>
        <sz val="12"/>
        <color theme="1"/>
        <rFont val="Arial"/>
        <family val="2"/>
      </rPr>
      <t>O&amp;M, Renewals and Long Term Appraisal</t>
    </r>
    <r>
      <rPr>
        <sz val="12"/>
        <color theme="1"/>
        <rFont val="Arial"/>
        <family val="2"/>
      </rPr>
      <t xml:space="preserve"> so that NH Estimates and Project Users' forecasts have like-for-like comparison of carbon estimates that comply with the carbon modules defined in NH file "W.16 - Modules for Whole Life Carbon and alignment to latest RICS guidance" prepared by Circular Ecology.</t>
    </r>
  </si>
  <si>
    <t>The work breakdown structure of forecasts aligns with the configured WBS for each Estimate Type so that NH Estimates and Project Users' forecasts have like-for-like comparison of cost and carbon estimates by WBS.</t>
  </si>
  <si>
    <t>Applicable to Maintenance and Response estimates - As a Project User, I want to produce an interim forecast that takes the baseline M&amp;R estimate and updates it incrementally (e.g. monthly or annually) with the actual quantities of interventions carried out, actual costs and then reforecast the intervention levels in remaining years (e.g. year 1 is updated with actuals and years 2-5 are reforecast). As a project user, I want to be able to see easily the impact of my reforecast (compare the baseline and reforecast) so that I am able to reforecast and plan intervention levels to fit with the baseline budget estimate. This approach should be consistent with the interim forecasting functionality for MP and AR.</t>
  </si>
  <si>
    <t>An Operation and Maintenance forecast contains "planned" and "actual" columns at Item level and above for the following fields for each year of a forecast's assessment period: 
- Item quantity
- Frequency and intervention quantity for planned - Item cost - Item carbon (with module split): 
- Cost Element cost 
- Cost Element carbon 
- Section cost 
- Section carbon (with module split)
A Project User producing a forecast for an Operation and Maintenance project can input actual Item quantities and Item costs in 
dedicated "actual" columns for each past month/year in the forecast's assessment period.
In an O&amp;M forecast, the data in the "planned" and "actual" columns can be reported to show planned vs. actual totals by month/year and position on screen and in reports.</t>
  </si>
  <si>
    <t>As an estimating manager, I want Project Users to submit interim forecasts for each of the estimates types set out in Scope Table A in a consistent way, similar to the Forecast approach on MP estimates. I want Project Users to input a forecast that follows the structure of NH estimate (for each of the estimate types set out in Scope Table A) at an appropriate level of the WBS, so that valid comparison reports can be produced at an appropriate level of the WBS.</t>
  </si>
  <si>
    <r>
      <rPr>
        <sz val="12"/>
        <color rgb="FFFF0000"/>
        <rFont val="Arial"/>
        <family val="2"/>
      </rPr>
      <t xml:space="preserve">Estimators can create Interim forecast Templates(Forecasts) for cost and carbon at section, segment, cost element, item and resource level in CCET for each estimate type in Scope Table A consistent to the forecast approach in MP IFT to allow Project Users to produce an interim forecast revision/revisions. The IFT versions can be used to provide change analysis between baseline estimate and interim forecast versions or between interim forecast versions.
The IFT forecast build in CCET is comprehensive and includes for each and all estimate type in Scope Table A and is consistent with a build which is a replica of base estimate.
</t>
    </r>
    <r>
      <rPr>
        <sz val="12"/>
        <color theme="1"/>
        <rFont val="Arial"/>
        <family val="2"/>
      </rPr>
      <t xml:space="preserve">
The work breakdown structure of forecasts aligns with the configured WBS for each Estimate Type so that NH Estimates and Project Users' forecasts have like-for-like comparison of cost and carbon estimates by WBS.</t>
    </r>
  </si>
  <si>
    <t>The structure of forecasts aligns with the estimate structure of base estimate, project risk/opportunity/uncertainty, and inflation so that NH Estimates and Project Users' forecasts have like-for-like comparison of cost and carbon estimates by estimate structure (forecast figures excluding Portfolio Risk).</t>
  </si>
  <si>
    <t>NH User &amp; Supply Chain User - When updating a Revision of my Forecast I want to be able to add Resources from the NH Resource Library (Code &amp; Description only - No Rate) into my Items and add my own rate. If a Resource does not exist in the NH Resource Library, I want to be able to collect these and make a request to an NH Administrator to add these into the Resource Library for use in the Forecast. - This process would sit outside of the software - e.g. Excel template the supplier completes and formally submits to NH for NH to add to library if approved.</t>
  </si>
  <si>
    <r>
      <t xml:space="preserve">CCET administrator can disable the ability for a Project User to add resources to an estimate by manual entry and load spreadsheet, i.e. restrict Project Users to adding resources only from the assigned Resource Library. This setting can be applied by CCET administrator in IFT modules to all </t>
    </r>
    <r>
      <rPr>
        <sz val="12"/>
        <color rgb="FFFF0000"/>
        <rFont val="Arial"/>
        <family val="2"/>
      </rPr>
      <t>IFT revision settings or</t>
    </r>
    <r>
      <rPr>
        <sz val="12"/>
        <color theme="1"/>
        <rFont val="Arial"/>
        <family val="2"/>
      </rPr>
      <t xml:space="preserve"> to a specific Project.
</t>
    </r>
    <r>
      <rPr>
        <sz val="12"/>
        <color rgb="FFFF0000"/>
        <rFont val="Arial"/>
        <family val="2"/>
      </rPr>
      <t>A Project User when above settings allow, can when producing an IFT revision and/or revisions</t>
    </r>
    <r>
      <rPr>
        <sz val="12"/>
        <color theme="1"/>
        <rFont val="Arial"/>
        <family val="2"/>
      </rPr>
      <t xml:space="preserve">
</t>
    </r>
    <r>
      <rPr>
        <strike/>
        <sz val="12"/>
        <color rgb="FFFF0000"/>
        <rFont val="Arial"/>
        <family val="2"/>
      </rPr>
      <t>• add resources from the CCET library(code and description only, without a rate) to their items and apply their own rates.</t>
    </r>
    <r>
      <rPr>
        <sz val="12"/>
        <color theme="1"/>
        <rFont val="Arial"/>
        <family val="2"/>
      </rPr>
      <t xml:space="preserve">
• A Project User can add resources from the assigned resource library or libraries (i.e. to which they have permission for the project) to the Items in their forecast and enter a new rate for the resource
</t>
    </r>
    <r>
      <rPr>
        <strike/>
        <sz val="12"/>
        <color rgb="FFFF0000"/>
        <rFont val="Arial"/>
        <family val="2"/>
      </rPr>
      <t xml:space="preserve">• where a required resource isn’t available in the CCET Library, they can request an NH Administrator to add them in CCET library before using the new section/cost element/item/resource. The request and approval process to add to CCET library would take place outside the software.
</t>
    </r>
    <r>
      <rPr>
        <sz val="12"/>
        <color theme="1"/>
        <rFont val="Arial"/>
        <family val="2"/>
      </rPr>
      <t>• When producing a forecast / forecasts, a Project User, when above settings allow, can request an NH Administrator to add a Resource to a Resource Library that the Project User has permission to access before using the new resource. The request and approval process to add the Resource to this library would take place outside the software.</t>
    </r>
  </si>
  <si>
    <t>NH User &amp; Supply Chain User - I want the ability to edit and change the carbon emissions factors pre-populated in the Forecast by the "Baseline" scheme and carbon library, at Resource level to a bespoke value to suit my estimate.</t>
  </si>
  <si>
    <r>
      <rPr>
        <strike/>
        <sz val="12"/>
        <color theme="1"/>
        <rFont val="Arial"/>
        <family val="2"/>
      </rPr>
      <t>A CCET user preparing a forecast</t>
    </r>
    <r>
      <rPr>
        <strike/>
        <sz val="12"/>
        <color rgb="FFFF0000"/>
        <rFont val="Arial"/>
        <family val="2"/>
      </rPr>
      <t>(called as Project User)</t>
    </r>
    <r>
      <rPr>
        <strike/>
        <sz val="12"/>
        <color theme="1"/>
        <rFont val="Arial"/>
        <family val="2"/>
      </rPr>
      <t xml:space="preserve">, can edit the carbon emissions factors of a resource in the forecast for each applicable PAS 2080 module.
</t>
    </r>
    <r>
      <rPr>
        <sz val="12"/>
        <color theme="1"/>
        <rFont val="Arial"/>
        <family val="2"/>
      </rPr>
      <t xml:space="preserve">
A Project User preparing a forecast can edit the carbon emissions factors of a resource in the forecast for each applicable PAS 2080 module.
</t>
    </r>
    <r>
      <rPr>
        <sz val="12"/>
        <color rgb="FFFF0000"/>
        <rFont val="Arial"/>
        <family val="2"/>
      </rPr>
      <t xml:space="preserve">For each IFT revision and/or revisions, Project User uses Project </t>
    </r>
    <r>
      <rPr>
        <strike/>
        <sz val="12"/>
        <color rgb="FFFF0000"/>
        <rFont val="Arial"/>
        <family val="2"/>
      </rPr>
      <t>User</t>
    </r>
    <r>
      <rPr>
        <sz val="12"/>
        <color rgb="FFFF0000"/>
        <rFont val="Arial"/>
        <family val="2"/>
      </rPr>
      <t xml:space="preserve"> Specific Library</t>
    </r>
    <r>
      <rPr>
        <strike/>
        <sz val="12"/>
        <color rgb="FFFF0000"/>
        <rFont val="Arial"/>
        <family val="2"/>
      </rPr>
      <t xml:space="preserve"> (PUSL)</t>
    </r>
    <r>
      <rPr>
        <sz val="12"/>
        <color rgb="FFFF0000"/>
        <rFont val="Arial"/>
        <family val="2"/>
      </rPr>
      <t xml:space="preserve"> (this is A user specific cost and carbon library for applicable project) to produce forecast revision/ revisions.</t>
    </r>
    <r>
      <rPr>
        <sz val="12"/>
        <color theme="1"/>
        <rFont val="Arial"/>
        <family val="2"/>
      </rPr>
      <t xml:space="preserve">
Project Users can add Resources marked as "unassured" to the Project Specific Library with unassured carbon values for each Resource.
Once approved through an assurance process outside CCET, these Resources are updated to "assured" status within the Project Specific Library.
When creating forecasts, Project Users can copy or drag low-carbon assured resources from the Dynamic Library of Low Carbon Products (DLLCP) to the Project Specific Library (PSL) for use in Forecasts
An Administrator can copy or drag low-carbon assured resources from the PSL to the DLLCP, making them available for other projects and keeping the DLLCP up to date with the lowest carbon resources
</t>
    </r>
    <r>
      <rPr>
        <strike/>
        <sz val="12"/>
        <color rgb="FFFF0000"/>
        <rFont val="Arial"/>
        <family val="2"/>
      </rPr>
      <t>Project Users can add STAR ITEMS marked as "unassured" to the Project User Specific library. Once approved through an assurance process outside CCET, these items are updated to "assured" status within the Project User Specific library.
When creating IFT revisions, Project Users can:
• Copy or drag low-carbon assured resources from the Dynamic Library of Low Carbon Products (DLLCP) to the Project User-Specific Library (PUSL) for use IFT revision and /or revisions.
• Copy or drag low-carbon assured resources from the PUSL to the DLLCP, making them available for other projects and keeping the DLLCP up to date with the lowest carbon resources.</t>
    </r>
  </si>
  <si>
    <t>As an NH reviewer of the Forecast, I want the ability to ensure that Project Users use only the item library and resource library descriptions and codes (they can change rates) so that the libraries do not get cluttered with "similar but different" items / resources. Therefore I want the system to validate Forecast submissions vs. the existing item and resource libraries and any non-conformances are declined. These can be added to the library through a business process (see FR 1550).</t>
  </si>
  <si>
    <r>
      <rPr>
        <strike/>
        <sz val="12"/>
        <color theme="1"/>
        <rFont val="Arial"/>
        <family val="2"/>
      </rPr>
      <t xml:space="preserve">A CCET administrator can disable the ability for a Project User to add </t>
    </r>
    <r>
      <rPr>
        <strike/>
        <sz val="12"/>
        <color rgb="FFFF0000"/>
        <rFont val="Arial"/>
        <family val="2"/>
      </rPr>
      <t>items to a forecast version</t>
    </r>
    <r>
      <rPr>
        <strike/>
        <sz val="12"/>
        <color theme="1"/>
        <rFont val="Arial"/>
        <family val="2"/>
      </rPr>
      <t xml:space="preserve"> an estimate by manual entry and load spreadsheet, i.e. restrict Project Users to adding items only from the assigned section/</t>
    </r>
    <r>
      <rPr>
        <strike/>
        <sz val="12"/>
        <color rgb="FFFF0000"/>
        <rFont val="Arial"/>
        <family val="2"/>
      </rPr>
      <t>cost element</t>
    </r>
    <r>
      <rPr>
        <strike/>
        <sz val="12"/>
        <color theme="1"/>
        <rFont val="Arial"/>
        <family val="2"/>
      </rPr>
      <t>/Item/</t>
    </r>
    <r>
      <rPr>
        <strike/>
        <sz val="12"/>
        <color rgb="FFFF0000"/>
        <rFont val="Arial"/>
        <family val="2"/>
      </rPr>
      <t>resource</t>
    </r>
    <r>
      <rPr>
        <strike/>
        <sz val="12"/>
        <color theme="1"/>
        <rFont val="Arial"/>
        <family val="2"/>
      </rPr>
      <t xml:space="preserve"> Library.</t>
    </r>
    <r>
      <rPr>
        <sz val="12"/>
        <color theme="1"/>
        <rFont val="Arial"/>
        <family val="2"/>
      </rPr>
      <t xml:space="preserve">
A CCET administrator can disable the ability for a Project User to add items to a forecast by manual entry and load spreadsheet, i.e. restrict Project Users to adding items only from the assigned Item Library. A CCET administrator can disable the ability for a Project User to add Resources to a forecast by manual entry and load spreadsheet, i.e. restrict Project Users to adding Resources only from the assigned Resource Library.
</t>
    </r>
    <r>
      <rPr>
        <strike/>
        <sz val="12"/>
        <color theme="1"/>
        <rFont val="Arial"/>
        <family val="2"/>
      </rPr>
      <t xml:space="preserve">These settings can be applied to a specific Project </t>
    </r>
    <r>
      <rPr>
        <strike/>
        <sz val="12"/>
        <color rgb="FFFF0000"/>
        <rFont val="Arial"/>
        <family val="2"/>
      </rPr>
      <t>or across IFT templates for project estimate types in FR10</t>
    </r>
    <r>
      <rPr>
        <sz val="12"/>
        <color theme="1"/>
        <rFont val="Arial"/>
        <family val="2"/>
      </rPr>
      <t xml:space="preserve">. These settings can be applied to specific projects or to all projects so that they apply to all forecasts across the CCET.
</t>
    </r>
    <r>
      <rPr>
        <strike/>
        <sz val="12"/>
        <color rgb="FFFF0000"/>
        <rFont val="Arial"/>
        <family val="2"/>
      </rPr>
      <t>Segments are replicated from base estimates and only after changing the base estimate the IFT version can be replicated for the required segmentation. CCET checks Project Users’ IFT revision submission and/or submissions against the CCET library (sections, cost elements, items, and resources) and the base estimate segmentation. Any non-conformances are rejected. If needed, an Estimator can re-segment the base estimate and update the IFT template, accordingly, allowing the Project User to produce IFT revision/forecast using the revised segmentation.</t>
    </r>
    <r>
      <rPr>
        <strike/>
        <sz val="12"/>
        <color theme="1"/>
        <rFont val="Arial"/>
        <family val="2"/>
      </rPr>
      <t xml:space="preserve">
A CCET administrator can disable the ability for a Project User to add resources to an estimate by manual entry and load spreadsheet, i.e. restrict Project Users to adding resources only from the assigned Resource Library. This setting can be applied to a specific Project.</t>
    </r>
  </si>
  <si>
    <t>Ability to add a segment and associated cost element from a template - FR not needed. Addressed through existing functionality (FR . (Not needed as Forecast PCF0-2 only allows high-level changes and low level changes to a fixed BoQ, plus the ability to add high-level scope - just mandate them to allocate this to a current Cost Element for forecasting purposes. For Forecast PCF3-5 the Supplier data can be exported and imported as long as it aligns to the CESS Cost Elements)</t>
  </si>
  <si>
    <r>
      <t xml:space="preserve">Not applicable - "FR not needed“ </t>
    </r>
    <r>
      <rPr>
        <sz val="12"/>
        <color rgb="FFFF0000"/>
        <rFont val="Arial"/>
        <family val="2"/>
      </rPr>
      <t>This functionality required for MP PCF 0 to 2 stage estimates, is part of both Phase 1 and 2 and CCET Phase 3 scope requirements which is to be delivered as part of CCET phase 3.
MP PCF Stage 0 to 2 and MP Stages 3 to 5 – IFT approach and process as per the excel IFTs provided to Benchmark.</t>
    </r>
  </si>
  <si>
    <t>See FR 1690 - Flexibility to add Segments to the Estimate Structure of Sections and Cost elements when working on an Estimate as a Contractor</t>
  </si>
  <si>
    <r>
      <rPr>
        <strike/>
        <sz val="12"/>
        <color theme="1"/>
        <rFont val="Arial"/>
        <family val="2"/>
      </rPr>
      <t xml:space="preserve">Not applicable - "FR not needed“
</t>
    </r>
    <r>
      <rPr>
        <strike/>
        <sz val="12"/>
        <color rgb="FFFF0000"/>
        <rFont val="Arial"/>
        <family val="2"/>
      </rPr>
      <t>If a Project User needs a different segmentation in an IFT revision in CCET,</t>
    </r>
    <r>
      <rPr>
        <strike/>
        <sz val="12"/>
        <color theme="1"/>
        <rFont val="Arial"/>
        <family val="2"/>
      </rPr>
      <t xml:space="preserve">
</t>
    </r>
    <r>
      <rPr>
        <strike/>
        <sz val="12"/>
        <color rgb="FFFF0000"/>
        <rFont val="Arial"/>
        <family val="2"/>
      </rPr>
      <t xml:space="preserve">• The Project User can request the NH Estimator to revise the baseline estimate with the desired segmentation and provide an updated IFT revision in CCET.
• The NH Estimator can create the revised re-segmented baseline estimate as requested and provide the revised IFT revision in CET to the Project User.
The communication process of requesting will take place outside of CCET
</t>
    </r>
    <r>
      <rPr>
        <sz val="12"/>
        <color theme="1"/>
        <rFont val="Arial"/>
        <family val="2"/>
      </rPr>
      <t>Segments in a Forecast are replicated from the NH baseline estimate or duplicated forecast.
Segments in a Forecast can be edited to revise the segmentation, except for the locked baseline Forecast.</t>
    </r>
  </si>
  <si>
    <t>NH User &amp; Supply Chain User - I want to see the "Scope" split in different windows for the Contractor's works and the NH's Schedule of Other Costs (SoOC). This will make it easier to review the NH SoOC and Contractor's scope.</t>
  </si>
  <si>
    <r>
      <t xml:space="preserve">When preparing or reviewing a forecast, a Project User can see a summary of costs for selected </t>
    </r>
    <r>
      <rPr>
        <sz val="12"/>
        <color rgb="FFFF0000"/>
        <rFont val="Arial"/>
        <family val="2"/>
      </rPr>
      <t>and/or all Sections and</t>
    </r>
    <r>
      <rPr>
        <sz val="12"/>
        <color theme="1"/>
        <rFont val="Arial"/>
        <family val="2"/>
      </rPr>
      <t xml:space="preserve"> cost elements (e.g. 'Schedule of Other Costs' for an MP scheme) alongside the BoQ (schedule of items) so that forecasts costs can be compared </t>
    </r>
    <r>
      <rPr>
        <sz val="12"/>
        <color rgb="FFFF0000"/>
        <rFont val="Arial"/>
        <family val="2"/>
      </rPr>
      <t>with baseline estimates.</t>
    </r>
  </si>
  <si>
    <t>See FR 1840 - M&amp;R Estimates - Ability to update the forecast quantities and estimated carbon for a given time period from the original estimate to actual quantities and actual carbon. Then, re-estimate the quantities for the remaining period.</t>
  </si>
  <si>
    <r>
      <t>An Operation and Maintenance forecast contains "planned" and "actual" columns at Item/</t>
    </r>
    <r>
      <rPr>
        <sz val="12"/>
        <color rgb="FFFF0000"/>
        <rFont val="Arial"/>
        <family val="2"/>
      </rPr>
      <t>resource</t>
    </r>
    <r>
      <rPr>
        <sz val="12"/>
        <color theme="1"/>
        <rFont val="Arial"/>
        <family val="2"/>
      </rPr>
      <t xml:space="preserve"> level and above for the following fields for each year of a forecast's assessment period: - Item/</t>
    </r>
    <r>
      <rPr>
        <sz val="12"/>
        <color rgb="FFFF0000"/>
        <rFont val="Arial"/>
        <family val="2"/>
      </rPr>
      <t>resource</t>
    </r>
    <r>
      <rPr>
        <sz val="12"/>
        <color theme="1"/>
        <rFont val="Arial"/>
        <family val="2"/>
      </rPr>
      <t xml:space="preserve"> quantity (resources for planned only, not actuals)*; - Item/</t>
    </r>
    <r>
      <rPr>
        <sz val="12"/>
        <color rgb="FFFF0000"/>
        <rFont val="Arial"/>
        <family val="2"/>
      </rPr>
      <t>resource</t>
    </r>
    <r>
      <rPr>
        <sz val="12"/>
        <color theme="1"/>
        <rFont val="Arial"/>
        <family val="2"/>
      </rPr>
      <t xml:space="preserve"> cost (resources for planned only, not actuals)*; - Item carbon (with module split); - Cost Element cost; - Cost Element carbon; - Section cost; - Section carbon (with module split)
</t>
    </r>
    <r>
      <rPr>
        <sz val="12"/>
        <color rgb="FFFF0000"/>
        <rFont val="Arial"/>
        <family val="2"/>
      </rPr>
      <t>*For actuals resource level data(quantity and rates) may not be available however for planned data will be available at resource level.</t>
    </r>
  </si>
  <si>
    <r>
      <rPr>
        <strike/>
        <sz val="12"/>
        <color theme="1"/>
        <rFont val="Arial"/>
        <family val="2"/>
      </rPr>
      <t>A Project User producing a forecast for an Operation and Maintenance project can input actual Item quantities and Item costs in dedicated "actual" columns for each past year in the forecast's assessment period.</t>
    </r>
    <r>
      <rPr>
        <sz val="12"/>
        <color theme="1"/>
        <rFont val="Arial"/>
        <family val="2"/>
      </rPr>
      <t xml:space="preserve">
</t>
    </r>
    <r>
      <rPr>
        <sz val="12"/>
        <color rgb="FFFF0000"/>
        <rFont val="Arial"/>
        <family val="2"/>
      </rPr>
      <t xml:space="preserve">IFT / forecast assessment period includes actual period and planned period. Assessment period is sum of Actual period and Planned period.
A Project User producing an Operation and Maintenance IFT / forecast, for actuals can input or import via excel upload input into IFT/forecast revision in dedicated actual columns/ fields: intervention quantities or Item quantities and frequencies; Intervention costs; Intervention carbon as per PAS 2080 modules; For noncyclical items, item quantities and item cost and Items carbon for each past month/year in the forecast's assessment period.
For the planned period of forecast assessment period in the Operation and Maintenance IFT / forecast Project User can input or import via excel upload input into IFT/forecast revision in dedicated planned columns/ fields: Item quantity; Item frequency; Intervention / resource quantity; Intervention / resource cost; Intervention / resource carbon as per PAS 20280 carbon modules; Non cyclic item quantities, resource quantities, resource rates, resource carbon as per PAS 20280 carbon modules; Cost Element Cost / Carbon as per PAS 20280 carbon modules; Section cost / Section carbon as per PAS 20280 carbon modules; Fee; Risk/opportunity/Uncertainty; Expenditure and inflation profile; Portfolio risk
The above functionality required is for three point estimate of cost and carbon. If carbon scope in scope is for single point then carbon needs to only cover carbon most likely.
</t>
    </r>
    <r>
      <rPr>
        <sz val="12"/>
        <color theme="1"/>
        <rFont val="Arial"/>
        <family val="2"/>
      </rPr>
      <t xml:space="preserve">
</t>
    </r>
    <r>
      <rPr>
        <strike/>
        <sz val="12"/>
        <color theme="1"/>
        <rFont val="Arial"/>
        <family val="2"/>
      </rPr>
      <t>A Project User producing a forecast for an Operation and Maintenance project can input planned Item quantities and Item costs in dedicated "actual" columns for each past year in the forecast's assessment period.</t>
    </r>
  </si>
  <si>
    <t>See FR 1840 - M&amp;R Estimates - Ability to update the forecast quantities and estimated costs for a given time period from the original estimate to actual quantities and actual costs. Then, re-estimate the quantities for the remaining period using the library rates.</t>
  </si>
  <si>
    <t>An Operation and Maintenance forecast contains "planned" and "actual" columns at Item level and above for the following fields for each year or month of a forecast's assessment period:
- Item quantity 
- Item cost 
- Item carbon (with module split): 
- Cost Element cost 
- Cost Element carbon
 - Section cost 
- Section carbon (with module split)
A Project User producing a forecast for an Operation and Maintenance project can input actual Item quantities and Item costs in dedicated "actual" columns for each past year or month in the forecast's assessment period.
In an O&amp;M forecast, the data in the "planned" and "actual" columns can be reported to show planned vs. actual totals by year or month and position on screen and in reports.
[Please see FR1770 for related FR and acceptance criteria]</t>
  </si>
  <si>
    <t>Mandate the selection of resources that the contractor can use to the resources currently available in the Libraries (WBS) - they will need to link any changes to the EPD to get approval.</t>
  </si>
  <si>
    <r>
      <rPr>
        <strike/>
        <sz val="12"/>
        <color theme="1"/>
        <rFont val="Arial"/>
        <family val="2"/>
      </rPr>
      <t xml:space="preserve">A CCET administrator can disable the ability for a Project User to add resources to an estimate by manual entry and load spreadsheet, i.e. restrict Project Users to adding resources only from the assigned </t>
    </r>
    <r>
      <rPr>
        <strike/>
        <sz val="12"/>
        <color rgb="FFFF0000"/>
        <rFont val="Arial"/>
        <family val="2"/>
      </rPr>
      <t xml:space="preserve">CCET NH </t>
    </r>
    <r>
      <rPr>
        <strike/>
        <sz val="12"/>
        <color theme="1"/>
        <rFont val="Arial"/>
        <family val="2"/>
      </rPr>
      <t xml:space="preserve">Resource Library. This setting can be applied to </t>
    </r>
    <r>
      <rPr>
        <strike/>
        <sz val="12"/>
        <color rgb="FFFF0000"/>
        <rFont val="Arial"/>
        <family val="2"/>
      </rPr>
      <t>all IFT templates in CCET and</t>
    </r>
    <r>
      <rPr>
        <strike/>
        <sz val="12"/>
        <color theme="1"/>
        <rFont val="Arial"/>
        <family val="2"/>
      </rPr>
      <t xml:space="preserve"> a specific Project.</t>
    </r>
    <r>
      <rPr>
        <sz val="12"/>
        <color theme="1"/>
        <rFont val="Arial"/>
        <family val="2"/>
      </rPr>
      <t xml:space="preserve">
“A CCET administrator can disable the ability for a Project User to add Resources to a forecast by manual entry and load spreadsheet, i.e. restrict Project Users to adding Resources only from the NH CCET Resource Library, where a Project User’s only access to a Resource Library is to the NH CCET Resource Library .”
</t>
    </r>
    <r>
      <rPr>
        <strike/>
        <sz val="12"/>
        <color theme="1"/>
        <rFont val="Arial"/>
        <family val="2"/>
      </rPr>
      <t>The CCET Project-Specific resource libraries contain an EPD or link to reference EPD data. When a Project User requests changes to the project-specific library (business process outside the CCET) they can provide EPD data to justify the change.</t>
    </r>
    <r>
      <rPr>
        <sz val="12"/>
        <color theme="1"/>
        <rFont val="Arial"/>
        <family val="2"/>
      </rPr>
      <t xml:space="preserve">
</t>
    </r>
    <r>
      <rPr>
        <sz val="12"/>
        <color rgb="FFFF0000"/>
        <rFont val="Arial"/>
        <family val="2"/>
      </rPr>
      <t>CCET IFT/forecast allows Project Users to add EPD data(link or PDF) to the resources in the Project User Specific library. This entry is marked as unassured. Once NH assures this resource and EPD data the resource is marked as assured. Communication and assurance process for EPD data in CCET project user specific library is business process that happens outside CCET.</t>
    </r>
  </si>
  <si>
    <t>Use specific dates over which to profile the expenditure and assign a continuous profile</t>
  </si>
  <si>
    <r>
      <rPr>
        <strike/>
        <sz val="12"/>
        <color theme="1"/>
        <rFont val="Arial"/>
        <family val="2"/>
      </rPr>
      <t>Project user preparing a forecast can enter specific start and finish dates for the Project's milestones. These input dates set the timeline for profiling expenditure.</t>
    </r>
    <r>
      <rPr>
        <sz val="12"/>
        <color theme="1"/>
        <rFont val="Arial"/>
        <family val="2"/>
      </rPr>
      <t xml:space="preserve">
A Project user preparing a forecast can enter specific start and finish dates for the Project's milestones. These input dates set the timeline for profiling expenditure.</t>
    </r>
  </si>
  <si>
    <t>NH User &amp; Supply Chain User - I want to use specific dates over which to profile the expenditure and assign a continuous profile, as long as these dates match with the Project User's entered dates for the set milestones, e.g. by PCF Stage Dates, 3D Stage Dates, O&amp;M Assessment Period etc… It will not give full freedom to the user as any non-conformity to the BES system will not allow migration back from the Forecast to BES.</t>
  </si>
  <si>
    <r>
      <rPr>
        <strike/>
        <sz val="12"/>
        <color theme="1"/>
        <rFont val="Arial"/>
        <family val="2"/>
      </rPr>
      <t>For each cost element within a forecast, the expenditure profile runs between a start and finish date for the cost element that exactly matches the project milestones' start and finish dates entered by a Project User.</t>
    </r>
    <r>
      <rPr>
        <sz val="12"/>
        <color theme="1"/>
        <rFont val="Arial"/>
        <family val="2"/>
      </rPr>
      <t xml:space="preserve">
</t>
    </r>
    <r>
      <rPr>
        <sz val="12"/>
        <color rgb="FFFF0000"/>
        <rFont val="Arial"/>
        <family val="2"/>
      </rPr>
      <t xml:space="preserve">CCET include IFT/forecast build for various forecast types in FR10 that allows Project users to input dates and / or expenditure profile or import dates and / or expenditure profile via excel.
The Project User specific dates (PCF stage, 3D stages, O&amp;M assessment periods, LTA assessment periods) gets applied to default expenditure profiles from library to produce an expenditure profile at cost element </t>
    </r>
    <r>
      <rPr>
        <strike/>
        <sz val="12"/>
        <color rgb="FFFF0000"/>
        <rFont val="Arial"/>
        <family val="2"/>
      </rPr>
      <t>and / or Section</t>
    </r>
    <r>
      <rPr>
        <sz val="12"/>
        <color rgb="FFFF0000"/>
        <rFont val="Arial"/>
        <family val="2"/>
      </rPr>
      <t xml:space="preserve"> level. Where full expenditure profile is available rather than relying on default profiles, these can be imported in CCET IFT to produce the expenditure profile.
The expenditure profile by either or both of the above approaches can be entered and produced by FY Quarters or Months (via a toggle) against section/ Cost Element levels in IFT/forecast template.</t>
    </r>
  </si>
  <si>
    <t>NH User &amp; Supply Chain User - I want to be able to enter my spend profile by FY Quarters or Months (via a toggle) against the defined Cost Elements.</t>
  </si>
  <si>
    <r>
      <rPr>
        <strike/>
        <sz val="12"/>
        <color theme="1"/>
        <rFont val="Arial"/>
        <family val="2"/>
      </rPr>
      <t>When preparing a forecast, a Project User can see profiled expenditure per month, per quarter or per annum by changing a setting to show costs by these time periods.</t>
    </r>
    <r>
      <rPr>
        <sz val="12"/>
        <color theme="1"/>
        <rFont val="Arial"/>
        <family val="2"/>
      </rPr>
      <t xml:space="preserve">
When preparing a forecast, a Project User can see profiled expenditure per month, per quarter or per annum by changing a setting to show costs by these time periods.</t>
    </r>
  </si>
  <si>
    <t>As an NH reviewer of interim forecasts / estimates submitted by a Project User, I want to be able to see which carbon emission factors in the submitted interim forecast / estimate in the system are:
- using assured NH library data- using an uploaded EPD or similar supporting evidence / certificate file
- plugged, without supporting evidence 
This is so the reviewer of the carbon estimate can easily identify the quality of data and areas to review.</t>
  </si>
  <si>
    <r>
      <rPr>
        <strike/>
        <sz val="12"/>
        <color theme="1"/>
        <rFont val="Arial"/>
        <family val="2"/>
      </rPr>
      <t xml:space="preserve">The NH reviewer of a submitted forecast can generate a report of the carbon estimate that identifies the basis of the carbon emission data for each resource as follows:
- carbon emissions factor from assigned carbon resource library 
- cost-to-carbon factor from assigned carbon resource library
- Resource delinked from resource 
- Plugged carbon factors - source evidence / EPD reference
</t>
    </r>
    <r>
      <rPr>
        <sz val="12"/>
        <color rgb="FFFF0000"/>
        <rFont val="Arial"/>
        <family val="2"/>
      </rPr>
      <t xml:space="preserve">The NH reviewer of a submitted IFT / forecast (cost and carbon) can see in CCET IFT and generate a report of the carbon estimate forecast in IFT revision that identifies the basis of the carbon emission data for each resource from the Project User Specific library.
Project User Specific Library (PUSL) used by Project user to produce IFT revision / forecast is built in CCET using the following sources.
carbon emissions factor from NH baseline CCET carbon resource library
cost-to-carbon factor from NH baseline CCET carbon resource library
assured carbon emission factor for resources including the EPD, from Dynamic Library of Low Cabon products.
assured carbon emission factor for resources including the EPD, from Project User Specific Library (PUSL)
unassured carbon emission factor for resources or cost to carbon factors, from Project User Specific Library (PUSL)*
</t>
    </r>
    <r>
      <rPr>
        <sz val="12"/>
        <color theme="1"/>
        <rFont val="Arial"/>
        <family val="2"/>
      </rPr>
      <t xml:space="preserve">
The NH reviewer can generate a report showing whether each Resource has ‘assured’ or ‘unassured’ carbon emission factors.
* see terminology amendments in Annex A</t>
    </r>
  </si>
  <si>
    <t>As a reviewer of an Interim Forecast submission, I should have the ability in the software to approve or reject an Forecast revision, and record the reasons for rejection / comments so that these can be communicated to the submitter.</t>
  </si>
  <si>
    <r>
      <t>The NH Reviewer of a submitted forecast can approve or reject the IFT revision submission. This status is visible to the Project User assigned to the</t>
    </r>
    <r>
      <rPr>
        <sz val="12"/>
        <color rgb="FFFF0000"/>
        <rFont val="Arial"/>
        <family val="2"/>
      </rPr>
      <t xml:space="preserve"> IFT revision</t>
    </r>
    <r>
      <rPr>
        <sz val="12"/>
        <color theme="1"/>
        <rFont val="Arial"/>
        <family val="2"/>
      </rPr>
      <t xml:space="preserve"> / forecast in the 'Forecast Browser'.
The NH Reviewer of a submitted</t>
    </r>
    <r>
      <rPr>
        <sz val="12"/>
        <color rgb="FFFF0000"/>
        <rFont val="Arial"/>
        <family val="2"/>
      </rPr>
      <t xml:space="preserve"> IFT revision /</t>
    </r>
    <r>
      <rPr>
        <sz val="12"/>
        <color theme="1"/>
        <rFont val="Arial"/>
        <family val="2"/>
      </rPr>
      <t xml:space="preserve"> forecast can record review comments that summarise the reasons for approval or rejection of the</t>
    </r>
    <r>
      <rPr>
        <sz val="12"/>
        <color rgb="FFFF0000"/>
        <rFont val="Arial"/>
        <family val="2"/>
      </rPr>
      <t xml:space="preserve"> IFT revision / forecast</t>
    </r>
    <r>
      <rPr>
        <sz val="12"/>
        <color theme="1"/>
        <rFont val="Arial"/>
        <family val="2"/>
      </rPr>
      <t xml:space="preserve"> submission. These comments are visible to the Project User assigned to the IFT revision / forecast.
The</t>
    </r>
    <r>
      <rPr>
        <sz val="12"/>
        <color rgb="FFFF0000"/>
        <rFont val="Arial"/>
        <family val="2"/>
      </rPr>
      <t xml:space="preserve"> submission of IFT revision / forecast</t>
    </r>
    <r>
      <rPr>
        <sz val="12"/>
        <color theme="1"/>
        <rFont val="Arial"/>
        <family val="2"/>
      </rPr>
      <t xml:space="preserve"> </t>
    </r>
    <r>
      <rPr>
        <strike/>
        <sz val="12"/>
        <color theme="1"/>
        <rFont val="Arial"/>
        <family val="2"/>
      </rPr>
      <t>submission of a forecast</t>
    </r>
    <r>
      <rPr>
        <sz val="12"/>
        <color theme="1"/>
        <rFont val="Arial"/>
        <family val="2"/>
      </rPr>
      <t xml:space="preserve"> and Reviewer's approval / rejection are time and date stamped.</t>
    </r>
  </si>
  <si>
    <t>Ability to approve or reject a Contractor's estimate and provide comments and feedback on the rejection</t>
  </si>
  <si>
    <r>
      <t xml:space="preserve">The NH Reviewer of an </t>
    </r>
    <r>
      <rPr>
        <sz val="12"/>
        <color rgb="FFFF0000"/>
        <rFont val="Arial"/>
        <family val="2"/>
      </rPr>
      <t>IFT revision /</t>
    </r>
    <r>
      <rPr>
        <sz val="12"/>
        <color theme="1"/>
        <rFont val="Arial"/>
        <family val="2"/>
      </rPr>
      <t xml:space="preserve"> submitted forecast can approve or reject the submission. This is visible to the Project User assigned to the </t>
    </r>
    <r>
      <rPr>
        <sz val="12"/>
        <color rgb="FFFF0000"/>
        <rFont val="Arial"/>
        <family val="2"/>
      </rPr>
      <t xml:space="preserve">IFT revision </t>
    </r>
    <r>
      <rPr>
        <sz val="12"/>
        <color theme="1"/>
        <rFont val="Arial"/>
        <family val="2"/>
      </rPr>
      <t>/forecast.</t>
    </r>
  </si>
  <si>
    <r>
      <t>The NH Reviewer of a</t>
    </r>
    <r>
      <rPr>
        <sz val="12"/>
        <color rgb="FFFF0000"/>
        <rFont val="Arial"/>
        <family val="2"/>
      </rPr>
      <t>n IFT revision /</t>
    </r>
    <r>
      <rPr>
        <sz val="12"/>
        <color theme="1"/>
        <rFont val="Arial"/>
        <family val="2"/>
      </rPr>
      <t xml:space="preserve"> submitted forecast can record review comments that summarise the reasons for approval or rejection of the</t>
    </r>
    <r>
      <rPr>
        <sz val="12"/>
        <color rgb="FFFF0000"/>
        <rFont val="Arial"/>
        <family val="2"/>
      </rPr>
      <t xml:space="preserve"> IFT revision /</t>
    </r>
    <r>
      <rPr>
        <sz val="12"/>
        <color theme="1"/>
        <rFont val="Arial"/>
        <family val="2"/>
      </rPr>
      <t xml:space="preserve"> forecast submission. These comments are visible to the Project User assigned to the </t>
    </r>
    <r>
      <rPr>
        <sz val="12"/>
        <color rgb="FFFF0000"/>
        <rFont val="Arial"/>
        <family val="2"/>
      </rPr>
      <t>IFT revision /</t>
    </r>
    <r>
      <rPr>
        <sz val="12"/>
        <color theme="1"/>
        <rFont val="Arial"/>
        <family val="2"/>
      </rPr>
      <t xml:space="preserve"> forecast.</t>
    </r>
  </si>
  <si>
    <r>
      <t>The submission of an</t>
    </r>
    <r>
      <rPr>
        <sz val="12"/>
        <color rgb="FFFF0000"/>
        <rFont val="Arial"/>
        <family val="2"/>
      </rPr>
      <t xml:space="preserve"> IFT revision / </t>
    </r>
    <r>
      <rPr>
        <sz val="12"/>
        <color theme="1"/>
        <rFont val="Arial"/>
        <family val="2"/>
      </rPr>
      <t>forecast and Reviewer's approval / rejection are time and date stamped.</t>
    </r>
  </si>
  <si>
    <t>A contractor will required to mark the "Contractor" estimate as "ready for review"</t>
  </si>
  <si>
    <r>
      <t>When a Project User submits a</t>
    </r>
    <r>
      <rPr>
        <sz val="12"/>
        <color rgb="FFFF0000"/>
        <rFont val="Arial"/>
        <family val="2"/>
      </rPr>
      <t>n IFT revision /</t>
    </r>
    <r>
      <rPr>
        <sz val="12"/>
        <color theme="1"/>
        <rFont val="Arial"/>
        <family val="2"/>
      </rPr>
      <t xml:space="preserve"> forecast for NH review, the status of the IFT revision / forecast is updated to "Under Review" or similar term. This status is visible in the 'Forecast Browser'.</t>
    </r>
  </si>
  <si>
    <t>Contractor should be able to add comments to the "Rejected" estimate, so when they re-submit the estimate in the software they can specify how they have rectified the estimate. Contractor should be able to add comments to the "Rejected" estimate, so when they re-submit the estimate in the software they can specify how they have rectified the estimate.</t>
  </si>
  <si>
    <r>
      <t>When a Project User submits a</t>
    </r>
    <r>
      <rPr>
        <sz val="12"/>
        <color rgb="FFFF0000"/>
        <rFont val="Arial"/>
        <family val="2"/>
      </rPr>
      <t xml:space="preserve"> revised rejected IFT revision / </t>
    </r>
    <r>
      <rPr>
        <sz val="12"/>
        <color theme="1"/>
        <rFont val="Arial"/>
        <family val="2"/>
      </rPr>
      <t>forecast for NH review, the Project User can enter comments to explain the</t>
    </r>
    <r>
      <rPr>
        <sz val="12"/>
        <color rgb="FFFF0000"/>
        <rFont val="Arial"/>
        <family val="2"/>
      </rPr>
      <t xml:space="preserve"> revised IFT revision /</t>
    </r>
    <r>
      <rPr>
        <sz val="12"/>
        <color theme="1"/>
        <rFont val="Arial"/>
        <family val="2"/>
      </rPr>
      <t xml:space="preserve"> forecast submission, including details of actions taken to rectify </t>
    </r>
    <r>
      <rPr>
        <strike/>
        <sz val="12"/>
        <color theme="1"/>
        <rFont val="Arial"/>
        <family val="2"/>
      </rPr>
      <t>previously</t>
    </r>
    <r>
      <rPr>
        <sz val="12"/>
        <color theme="1"/>
        <rFont val="Arial"/>
        <family val="2"/>
      </rPr>
      <t xml:space="preserve"> rejected submissions. These comments are visible to the NH Reviewer </t>
    </r>
    <r>
      <rPr>
        <sz val="12"/>
        <color rgb="FFFF0000"/>
        <rFont val="Arial"/>
        <family val="2"/>
      </rPr>
      <t>and Project User.</t>
    </r>
  </si>
  <si>
    <r>
      <rPr>
        <strike/>
        <sz val="12"/>
        <color theme="1"/>
        <rFont val="Arial"/>
        <family val="2"/>
      </rPr>
      <t xml:space="preserve">The Forecast reviewer should only have "read-only" access. At the same point in time, the contractor estimator should be able to edit the estimate while it is under review - this is so that changes and improvement can be done to the estimate by the contractor
</t>
    </r>
    <r>
      <rPr>
        <sz val="12"/>
        <color theme="1"/>
        <rFont val="Arial"/>
        <family val="2"/>
      </rPr>
      <t xml:space="preserve">
</t>
    </r>
    <r>
      <rPr>
        <sz val="12"/>
        <color rgb="FFFF0000"/>
        <rFont val="Arial"/>
        <family val="2"/>
      </rPr>
      <t>The IFT reviewer should only have "read-only" access. At the same point in time, the contractor estimator should be able to edit the estimate while it is under review - this is so that changes and improvement can be done to the estimate by the contractor</t>
    </r>
  </si>
  <si>
    <r>
      <t>The NH reviewer of an</t>
    </r>
    <r>
      <rPr>
        <sz val="12"/>
        <color rgb="FFFF0000"/>
        <rFont val="Arial"/>
        <family val="2"/>
      </rPr>
      <t xml:space="preserve"> IFT revision /</t>
    </r>
    <r>
      <rPr>
        <sz val="12"/>
        <color theme="1"/>
        <rFont val="Arial"/>
        <family val="2"/>
      </rPr>
      <t xml:space="preserve"> forecast </t>
    </r>
    <r>
      <rPr>
        <sz val="12"/>
        <color rgb="FFFF0000"/>
        <rFont val="Arial"/>
        <family val="2"/>
      </rPr>
      <t>submission</t>
    </r>
    <r>
      <rPr>
        <sz val="12"/>
        <color theme="1"/>
        <rFont val="Arial"/>
        <family val="2"/>
      </rPr>
      <t xml:space="preserve"> has read-only access to the</t>
    </r>
    <r>
      <rPr>
        <sz val="12"/>
        <color rgb="FFFF0000"/>
        <rFont val="Arial"/>
        <family val="2"/>
      </rPr>
      <t xml:space="preserve"> IFT revision / </t>
    </r>
    <r>
      <rPr>
        <sz val="12"/>
        <color theme="1"/>
        <rFont val="Arial"/>
        <family val="2"/>
      </rPr>
      <t>forecast and cannot edit the</t>
    </r>
    <r>
      <rPr>
        <sz val="12"/>
        <color rgb="FFFF0000"/>
        <rFont val="Arial"/>
        <family val="2"/>
      </rPr>
      <t xml:space="preserve"> IFT revision /</t>
    </r>
    <r>
      <rPr>
        <sz val="12"/>
        <color theme="1"/>
        <rFont val="Arial"/>
        <family val="2"/>
      </rPr>
      <t xml:space="preserve"> forecast with the exception of Review status and comments fields.
Once a</t>
    </r>
    <r>
      <rPr>
        <sz val="12"/>
        <color rgb="FFFF0000"/>
        <rFont val="Arial"/>
        <family val="2"/>
      </rPr>
      <t xml:space="preserve">n IFT revision / </t>
    </r>
    <r>
      <rPr>
        <sz val="12"/>
        <color theme="1"/>
        <rFont val="Arial"/>
        <family val="2"/>
      </rPr>
      <t>forecast is submitted for review, the</t>
    </r>
    <r>
      <rPr>
        <sz val="12"/>
        <color rgb="FFFF0000"/>
        <rFont val="Arial"/>
        <family val="2"/>
      </rPr>
      <t xml:space="preserve"> IFT revision</t>
    </r>
    <r>
      <rPr>
        <sz val="12"/>
        <color theme="1"/>
        <rFont val="Arial"/>
        <family val="2"/>
      </rPr>
      <t xml:space="preserve"> / forecast is locked and cannot be edited.
A Project User, who wishes to make changes to a</t>
    </r>
    <r>
      <rPr>
        <sz val="12"/>
        <color rgb="FFFF0000"/>
        <rFont val="Arial"/>
        <family val="2"/>
      </rPr>
      <t>n IFT revision /</t>
    </r>
    <r>
      <rPr>
        <sz val="12"/>
        <color theme="1"/>
        <rFont val="Arial"/>
        <family val="2"/>
      </rPr>
      <t xml:space="preserve"> submitted forecast, </t>
    </r>
    <r>
      <rPr>
        <sz val="12"/>
        <color rgb="FFFF0000"/>
        <rFont val="Arial"/>
        <family val="2"/>
      </rPr>
      <t xml:space="preserve">Project User </t>
    </r>
    <r>
      <rPr>
        <sz val="12"/>
        <color theme="1"/>
        <rFont val="Arial"/>
        <family val="2"/>
      </rPr>
      <t xml:space="preserve">can duplicate the </t>
    </r>
    <r>
      <rPr>
        <sz val="12"/>
        <color rgb="FFFF0000"/>
        <rFont val="Arial"/>
        <family val="2"/>
      </rPr>
      <t>IFT revision / submission</t>
    </r>
    <r>
      <rPr>
        <sz val="12"/>
        <color theme="1"/>
        <rFont val="Arial"/>
        <family val="2"/>
      </rPr>
      <t xml:space="preserve"> forecast, increasing the revision number (see FR 1560) and edit the new </t>
    </r>
    <r>
      <rPr>
        <sz val="12"/>
        <color rgb="FFFF0000"/>
        <rFont val="Arial"/>
        <family val="2"/>
      </rPr>
      <t>IFT</t>
    </r>
    <r>
      <rPr>
        <sz val="12"/>
        <color theme="1"/>
        <rFont val="Arial"/>
        <family val="2"/>
      </rPr>
      <t xml:space="preserve"> revision.
When a</t>
    </r>
    <r>
      <rPr>
        <sz val="12"/>
        <color rgb="FFFF0000"/>
        <rFont val="Arial"/>
        <family val="2"/>
      </rPr>
      <t>n IFT revision /</t>
    </r>
    <r>
      <rPr>
        <sz val="12"/>
        <color theme="1"/>
        <rFont val="Arial"/>
        <family val="2"/>
      </rPr>
      <t xml:space="preserve"> forecast has been rejected by a Reviewer, the IFT revision / submission forecast is no longer locked and can then be edited by the Project User.</t>
    </r>
  </si>
  <si>
    <t>The system should have relevant controls to assign authority to users to review and approve Contractor's estimate</t>
  </si>
  <si>
    <r>
      <t>A</t>
    </r>
    <r>
      <rPr>
        <strike/>
        <sz val="12"/>
        <color theme="1"/>
        <rFont val="Arial"/>
        <family val="2"/>
      </rPr>
      <t>n</t>
    </r>
    <r>
      <rPr>
        <sz val="12"/>
        <color theme="1"/>
        <rFont val="Arial"/>
        <family val="2"/>
      </rPr>
      <t xml:space="preserve"> </t>
    </r>
    <r>
      <rPr>
        <sz val="12"/>
        <color rgb="FFFF0000"/>
        <rFont val="Arial"/>
        <family val="2"/>
      </rPr>
      <t>CCET</t>
    </r>
    <r>
      <rPr>
        <sz val="12"/>
        <color theme="1"/>
        <rFont val="Arial"/>
        <family val="2"/>
      </rPr>
      <t xml:space="preserve"> Administrator sets NH User permissions </t>
    </r>
    <r>
      <rPr>
        <sz val="12"/>
        <color rgb="FFFF0000"/>
        <rFont val="Arial"/>
        <family val="2"/>
      </rPr>
      <t>for reviewers</t>
    </r>
    <r>
      <rPr>
        <sz val="12"/>
        <color theme="1"/>
        <rFont val="Arial"/>
        <family val="2"/>
      </rPr>
      <t xml:space="preserve"> to enable review and approval of</t>
    </r>
    <r>
      <rPr>
        <sz val="12"/>
        <color rgb="FFFF0000"/>
        <rFont val="Arial"/>
        <family val="2"/>
      </rPr>
      <t xml:space="preserve"> IFT revision /</t>
    </r>
    <r>
      <rPr>
        <sz val="12"/>
        <color theme="1"/>
        <rFont val="Arial"/>
        <family val="2"/>
      </rPr>
      <t xml:space="preserve"> submitted forecasts.</t>
    </r>
  </si>
  <si>
    <r>
      <rPr>
        <strike/>
        <sz val="12"/>
        <color theme="1"/>
        <rFont val="Arial"/>
        <family val="2"/>
      </rPr>
      <t>NH Estimators</t>
    </r>
    <r>
      <rPr>
        <sz val="12"/>
        <color theme="1"/>
        <rFont val="Arial"/>
        <family val="2"/>
      </rPr>
      <t xml:space="preserve"> </t>
    </r>
    <r>
      <rPr>
        <sz val="12"/>
        <color rgb="FFFF0000"/>
        <rFont val="Arial"/>
        <family val="2"/>
      </rPr>
      <t>Reviewers</t>
    </r>
    <r>
      <rPr>
        <sz val="12"/>
        <color theme="1"/>
        <rFont val="Arial"/>
        <family val="2"/>
      </rPr>
      <t xml:space="preserve"> can only review and approve</t>
    </r>
    <r>
      <rPr>
        <sz val="12"/>
        <color rgb="FFFF0000"/>
        <rFont val="Arial"/>
        <family val="2"/>
      </rPr>
      <t xml:space="preserve"> IFT revision / submission</t>
    </r>
    <r>
      <rPr>
        <sz val="12"/>
        <color theme="1"/>
        <rFont val="Arial"/>
        <family val="2"/>
      </rPr>
      <t xml:space="preserve"> forecasts for projects that they have permissions to access.</t>
    </r>
  </si>
  <si>
    <t>Generate Economic assessment report with each Forecast. This needs to be updated in real time.</t>
  </si>
  <si>
    <r>
      <rPr>
        <strike/>
        <sz val="12"/>
        <color theme="1"/>
        <rFont val="Arial"/>
        <family val="2"/>
      </rPr>
      <t>A CCET user can generate a report of the net present value of the forecast's costs by deflating the forecast's outturn costs for each year by a GDP deflator index stored in a library (administrator controlled). The report shall be consistent with the existing "Adjusted Economic Output" worksheet layout in NH file Interim Forecasting Tool v1.7 and exclude costs denoted as historic / sunk costs and taxation.</t>
    </r>
    <r>
      <rPr>
        <sz val="12"/>
        <color theme="1"/>
        <rFont val="Arial"/>
        <family val="2"/>
      </rPr>
      <t xml:space="preserve">
</t>
    </r>
    <r>
      <rPr>
        <sz val="12"/>
        <color rgb="FFFF0000"/>
        <rFont val="Arial"/>
        <family val="2"/>
      </rPr>
      <t xml:space="preserve">IFT revision and/ or revisions in CCET for all FR10 estimate types include an Economic Output(EO) calculation within the IFT revision screen, using the same format and principles as the MP CAPEX IFT revision. This EO screen in CCET is updated in real time in IFT revision.
The Economic Output report shows the net present value of forecast costs, adjusting each year's outturn costs using a GDP deflator index managed in an admin-controlled library. It matches the layout of the "Adjusted Economic Output" worksheet in NH’s Interim Forecasting Tool v1.7 and excludes historic/sunk costs and taxation.
</t>
    </r>
    <r>
      <rPr>
        <sz val="12"/>
        <color theme="1"/>
        <rFont val="Arial"/>
        <family val="2"/>
      </rPr>
      <t xml:space="preserve">
The Economic Assessment Output can be exported to a report in Excel and PDF format</t>
    </r>
  </si>
  <si>
    <t>An expenditure output report ("SAS") should be produced, similar to the existing Forecast format, for each interim forecast produced from an estimate (for all estimate types as per Scope Table A).</t>
  </si>
  <si>
    <r>
      <rPr>
        <strike/>
        <sz val="12"/>
        <color theme="1"/>
        <rFont val="Arial"/>
        <family val="2"/>
      </rPr>
      <t xml:space="preserve">A CCET user can generate a report of historic costs and forecast costs by year by Section and Cost Element, similar to the existing "Adjusted SAS Output" worksheet layout in NH file Interim Forecasting Tool v1.7 .
</t>
    </r>
    <r>
      <rPr>
        <sz val="12"/>
        <color theme="1"/>
        <rFont val="Arial"/>
        <family val="2"/>
      </rPr>
      <t xml:space="preserve">
</t>
    </r>
    <r>
      <rPr>
        <sz val="12"/>
        <color rgb="FFFF0000"/>
        <rFont val="Arial"/>
        <family val="2"/>
      </rPr>
      <t>IFT revision and/ or revisions in CCET for all FR10 estimate types includes a SAS Output screen and output report similar to the existing "Adjusted SAS Output" worksheet layout in NH file Interim Forecasting Tool v1.7. The generated IFT revision screen / report includes historic costs and forecast costs by year/months by Section and Cost Element. Sections and Cost elements vary differ for each estimate type in FR10 and includes, forecast of fee, risks / opportunities / uncertainties, inflation, portfolio risks, etc</t>
    </r>
  </si>
  <si>
    <t>NH User - I want to be able to see one Revision alongside another Revision for the same scheme and compare the build up with tracked changes. Supply Chain User - As NH User but limited to supplier's allocated schemes only</t>
  </si>
  <si>
    <t>A CCET User can produce a comparison report showing side-by-side comparison of two selected forecasts (either baseline forecast and revision or two other revisions).</t>
  </si>
  <si>
    <t>A CCET User can produce a comparison report showing side-by-side comparison of two selected forecasts and the report identify changes from one forecast to the other as follows: 
- Total forecast Project costs and carbon 
- Total forecast Section costs and carbon 
- Total forecast Cost Element costs and carbon 
- Item quantities 
- Item cost rates and carbon rates 
- Item costs and carbon</t>
  </si>
  <si>
    <t>A CCET User can only produce reports for those projects that the user has permissions to access.</t>
  </si>
  <si>
    <r>
      <t xml:space="preserve">In CCET a NH User (Estimator / IFT Reviewer/ Estimating manager / HOCE) can see one IFT revision buildup alongside any other IFT revision/revisions or and baseline estimate in a project along with tracked changes. The comparison is seen of on IFT screens and can be exported as excel and PDF reports from CCET.
In CCET IFT revision screen Project User (Supply Chain User) can see one IFT revision buildup alongside any other IFT revision/revisions and baseline estimate to their allocated/assigned project along with tracked changes. The comparison is seen of IFT screen and can be exported as excel and PDF reports from CCET.
The comparison report for IFT revision FR10 estimate shows side-by-side comparison of two selected forecasts and baseline show details as follows, but not limited to:
• Total forecast Project costs and carbon by PAS 20280 modules
• Total forecast Section costs and carbon by PAS 20280 modules
• Total forecast Cost Element costs and carbon by PAS 20280 modules
• Item and resources quantities*
• Item cost rates and carbon rates by PAS 20280 modules
• Item costs and carbon by PAS 20280 modules
• Resource costs and carbon by PAS 20280 modules*
• Fee
• Risk/Opportunity/Uncertainty – cost and carbon by PAS 20280 modules
• Cost expenditure and carbon profile by PAS 20280 modules
• Inflation
• Portfolio risk – cost and carbon by PAS 20280 modules
The above is required by each Life cycle stage and Whole Life cycle for cost and carbon for all estimate types in FR10.
</t>
    </r>
    <r>
      <rPr>
        <sz val="12"/>
        <rFont val="Arial"/>
        <family val="2"/>
      </rPr>
      <t>*Full Resource-by-Item reports to be generated for export to Excel and PDF but may not be practical to show on screen within the CCET Phase 3 scope.</t>
    </r>
  </si>
  <si>
    <t>NH User - At a summary level, I want to be able to compare the "Baseline" total cost and carbon against the Supplier's forecast at Scheme Level &gt; Region &gt; Programme &gt; Portfolio Default is to use the latest Revision(s) versus the Baseline(s), but the user is able to select an alternate supplier Revision if required. Supply Chain User - As NH User but limited to supplier's allocated schemes only</t>
  </si>
  <si>
    <r>
      <rPr>
        <strike/>
        <sz val="12"/>
        <color theme="1"/>
        <rFont val="Arial"/>
        <family val="2"/>
      </rPr>
      <t>A CCET User can produce a comparison report showing side-by-side comparison of two selected forecasts (either baseline forecast and revision or two other revisions).</t>
    </r>
    <r>
      <rPr>
        <sz val="12"/>
        <color theme="1"/>
        <rFont val="Arial"/>
        <family val="2"/>
      </rPr>
      <t xml:space="preserve">
</t>
    </r>
    <r>
      <rPr>
        <sz val="12"/>
        <color rgb="FFFF0000"/>
        <rFont val="Arial"/>
        <family val="2"/>
      </rPr>
      <t>In CCET a NH User (Estimator / IFT Reviewer/ Estimating manager / HOCE) can compare the "Baseline" total cost and carbon against IFT revision forecast at Project Level &gt; Region &gt; Programme &gt; Portfolio in a project along with tracked changes for any project in CCET. Comparison uses the latest Revision(s) versus the Baseline(s) as default, but the user is able to select any alternate project IFT Revision if required. The comparison is seen of on IFT screens and can be exported as excel and PDF reports from CCET.</t>
    </r>
    <r>
      <rPr>
        <sz val="12"/>
        <color theme="1"/>
        <rFont val="Arial"/>
        <family val="2"/>
      </rPr>
      <t xml:space="preserve">
</t>
    </r>
    <r>
      <rPr>
        <sz val="12"/>
        <color rgb="FFFF0000"/>
        <rFont val="Arial"/>
        <family val="2"/>
      </rPr>
      <t>The above is required by each Life cycle stage and Whole Life cycle for cost and carbon for all estimate types in FR10.</t>
    </r>
    <r>
      <rPr>
        <sz val="12"/>
        <color theme="1"/>
        <rFont val="Arial"/>
        <family val="2"/>
      </rPr>
      <t xml:space="preserve">
</t>
    </r>
    <r>
      <rPr>
        <strike/>
        <sz val="12"/>
        <color theme="1"/>
        <rFont val="Arial"/>
        <family val="2"/>
      </rPr>
      <t xml:space="preserve">A CCET User can only produce reports for those projects that the user has permissions to access.
</t>
    </r>
    <r>
      <rPr>
        <sz val="12"/>
        <color rgb="FFFF0000"/>
        <rFont val="Arial"/>
        <family val="2"/>
      </rPr>
      <t>In CCET IFT revision screen Project User (Supply Chain User) can compare the "Baseline" total cost and carbon against IFT revision forecast at Project Level &gt; Region &gt; Programme &gt; Portfolio in a project along with tracked changes only for their allocated/assigned project along with tracked changes. The comparison is seen of on IFT screens and can be exported as excel and PDF reports from CCET.</t>
    </r>
    <r>
      <rPr>
        <sz val="12"/>
        <color theme="1"/>
        <rFont val="Arial"/>
        <family val="2"/>
      </rPr>
      <t xml:space="preserve">
</t>
    </r>
    <r>
      <rPr>
        <sz val="12"/>
        <color rgb="FFFF0000"/>
        <rFont val="Arial"/>
        <family val="2"/>
      </rPr>
      <t>The above is required by each Life cycle stage and Whole Life cycle for cost and carbon for all estimate types in FR10.</t>
    </r>
  </si>
  <si>
    <t>NH User &amp; Supply Chain User - I want to be able to track changes made in the latest Revision against the immediate Forecast Revision it preceded. This is to allow a user/reviewer to see where alterations have been made.</t>
  </si>
  <si>
    <r>
      <rPr>
        <sz val="12"/>
        <color rgb="FFFF0000"/>
        <rFont val="Arial"/>
        <family val="2"/>
      </rPr>
      <t xml:space="preserve">In CCET a NH User (Estimator / IFT Reviewer/ Estimating manager / HOCE) for any project can track changes in the latest IFT revision alongside immediate IFT revision forecast that preceded it including baseline estimate. The comparison shows tracked change comments in comparison. This allows NH users/reviewers to see what and when changes have happened on projects.
In CCET a Project User only for the assigned / allocated project can track changes in the latest IFT revision alongside immediate IFT revision forecast that preceded it including baseline estimate. The comparison shows tracked change comments in comparison. This allows Project User to see what and when changes have happened on projects.
</t>
    </r>
    <r>
      <rPr>
        <sz val="12"/>
        <color theme="1"/>
        <rFont val="Arial"/>
        <family val="2"/>
      </rPr>
      <t xml:space="preserve">
</t>
    </r>
    <r>
      <rPr>
        <sz val="12"/>
        <color rgb="FFFF0000"/>
        <rFont val="Arial"/>
        <family val="2"/>
      </rPr>
      <t xml:space="preserve">The above comparison report for IFT revision FR10 estimate shows side-by-side comparison of, but not limited to:
• Total forecast Project costs and carbon by PAS 20280 modules
• Total forecast Section costs and carbon by PAS 20280 modules
• Total forecast Cost Element costs and carbon by PAS 20280 modules
• Item and resources quantities*
• Item cost rates and carbon rates by PAS 20280 modules
• Item costs and carbon by PAS 20280 modules
• Resource costs and carbon by PAS 20280 modules*
• Fee
• Risk/Opportunity/Uncertainty – cost and carbon by PAS 20280 modules
• Cost expenditure and carbon profile by PAS 20280 modules
• Inflation
• Portfolio risk – cost and carbon by PAS 20280 modules
</t>
    </r>
    <r>
      <rPr>
        <sz val="12"/>
        <color theme="1"/>
        <rFont val="Arial"/>
        <family val="2"/>
      </rPr>
      <t xml:space="preserve">
</t>
    </r>
    <r>
      <rPr>
        <sz val="12"/>
        <color rgb="FFFF0000"/>
        <rFont val="Arial"/>
        <family val="2"/>
      </rPr>
      <t xml:space="preserve">The above is required by each Life cycle stage and Whole Life cycle for cost and carbon for all estimate types in FR10.
</t>
    </r>
    <r>
      <rPr>
        <sz val="12"/>
        <color theme="1"/>
        <rFont val="Arial"/>
        <family val="2"/>
      </rPr>
      <t xml:space="preserve">
*Full Resource-by-Item reports to be generated for export to Excel and PDF but may not be practical to show on screen within the CCET Phase 3 scope.
</t>
    </r>
    <r>
      <rPr>
        <strike/>
        <sz val="12"/>
        <color theme="1"/>
        <rFont val="Arial"/>
        <family val="2"/>
      </rPr>
      <t>A CCET User can produce a comparison report showing side-by-side comparison of two selected forecasts (including latest revision vs. pervious revision).</t>
    </r>
  </si>
  <si>
    <t>NH User &amp; Supply Chain User - I want to be able to view the "Baseline" alongside any Revision (including the latest) with the tracked changes made against the "Baseline" in Realtime</t>
  </si>
  <si>
    <r>
      <rPr>
        <sz val="12"/>
        <color rgb="FFFF0000"/>
        <rFont val="Arial"/>
        <family val="2"/>
      </rPr>
      <t xml:space="preserve">In CCET a NH User (Estimator / IFT Reviewer/ Estimating manager / HOCE) for any project can see tracked changes between current or any previous IFT revisions alongside baseline estimate along with change comments in real time. The comparison shows tracked change comments in comparison including side-by-side comparison of, but not limited to:
• Total forecast Project costs and carbon by PAS 20280 modules
• Total forecast Section costs and carbon by PAS 20280 modules
• Total forecast Cost Element costs and carbon by PAS 20280 modules
• Item and resources quantities*
• Item cost rates and carbon rates by PAS 20280 modules
• Item costs and carbon by PAS 20280 modules
• Resource costs and carbon by PAS 20280 modules*
• Fee
• Risk/Opportunity/Uncertainty – cost and carbon by PAS 20280 modules
• Cost expenditure and carbon profile by PAS 20280 modules
• Inflation
• Portfolio risk – cost and carbon by PAS 20280 modules
The above is required by each Life cycle stage and Whole Life cycle for cost and carbon for all estimate types in FR10.
</t>
    </r>
    <r>
      <rPr>
        <sz val="12"/>
        <color theme="1"/>
        <rFont val="Arial"/>
        <family val="2"/>
      </rPr>
      <t xml:space="preserve">
*Full Resource-by-Item reports to be generated for export to Excel and PDF but may not be practical to show on screen within the CCET Phase 3 scope.
</t>
    </r>
    <r>
      <rPr>
        <strike/>
        <sz val="12"/>
        <color theme="1"/>
        <rFont val="Arial"/>
        <family val="2"/>
      </rPr>
      <t xml:space="preserve">When working in a forecast, A Project User can view a screen that shows, in real-time, the baseline forecast alongside the current forecast and shows the following: 
- Total forecast Project costs and carbon
- Total forecast Section costs and carbon 
- Total forecast Cost Element costs and carbon 
- Item quantities 
- Item cost rates and carbon rates 
- Item costs and carbon
</t>
    </r>
  </si>
  <si>
    <t>NH User - When the user selects a scheme and a "Baseline" estimate, there should be a summary table shown with all the associated revisions, displaying the Cost and Carbon estimate values for the baseline and Forecasts with the percentage Increase or Decrease Supply Chain User - As NH User but limited to supplier's allocated schemes only</t>
  </si>
  <si>
    <t>An NH Estimator can select a project in the 'Forecast Browser' and see all forecasts for that project as long as the user has permissions to access that project.</t>
  </si>
  <si>
    <r>
      <t xml:space="preserve">An NH Estimator can select a project in the 'Forecast Browser' (as long as the user has permissions to access that project) and generate / </t>
    </r>
    <r>
      <rPr>
        <sz val="12"/>
        <color rgb="FFFF0000"/>
        <rFont val="Arial"/>
        <family val="2"/>
      </rPr>
      <t>see on screen</t>
    </r>
    <r>
      <rPr>
        <sz val="12"/>
        <color theme="1"/>
        <rFont val="Arial"/>
        <family val="2"/>
      </rPr>
      <t xml:space="preserve"> a summary of all forecasts for that project, showing the summary cost and carbon for each forecast revision, the percentage variance vs. baseline, and the trend of total forecast costs.</t>
    </r>
  </si>
  <si>
    <t>A Project User can select a project in the 'Forecast Browser' and see all forecasts for that project as long as the user has permissions to access that project.</t>
  </si>
  <si>
    <r>
      <t xml:space="preserve">A Project User can select a project in the 'Forecast Browser' (as long as the user has permissions to access that project) and generate / </t>
    </r>
    <r>
      <rPr>
        <sz val="12"/>
        <color rgb="FFFF0000"/>
        <rFont val="Arial"/>
        <family val="2"/>
      </rPr>
      <t>see on screen</t>
    </r>
    <r>
      <rPr>
        <sz val="12"/>
        <color theme="1"/>
        <rFont val="Arial"/>
        <family val="2"/>
      </rPr>
      <t xml:space="preserve"> a summary of all forecasts for that project, showing the summary cost and carbon for each forecast revision, the percentage variance vs. baseline, and the trend of total forecast costs.</t>
    </r>
  </si>
  <si>
    <t>As an NH or Project User for M&amp;R estimates, I want to have revision reporting , so I can update baseline with actuals / reforecasts and compare the changes baseline v Revision (for example, intervention quantities, costs, reforecast quantities, risk allowances). This will be for a rolling period with a c. 60 month period for viewing actual vs. predicted.</t>
  </si>
  <si>
    <t>For an O&amp;M forecast, a CCET User with permissions to access the project can produce a detailed comparison report showing side-by-side comparison of baseline O&amp;M forecast and a revision. The report shall show the following data for baseline vs. revision for each selected year:
- Total forecast Project costs 
- Total forecast Section costs 
- Total forecast Cost Element costs 
- Item Asset quantities 
- Item Intervention frequencies 
- Item cost rates 
- Item costs A CCET user can generate a similar report for carbon forecast data.</t>
  </si>
  <si>
    <t>A Project User producing a forecast for an Operation and Maintenance project can input actual Item quantities and Item costs in dedicated "actual" columns for each past year in the forecast's assessment period.</t>
  </si>
  <si>
    <t>See FR 1920 - Identify which projects have submitted an Forecast</t>
  </si>
  <si>
    <t>Not applicable - see FR 1920.</t>
  </si>
  <si>
    <t>Distinguish between Resources with carbon factors coming from the Base Carbon Library and those with carbon factors plugged in by the Contractor but not yet assured</t>
  </si>
  <si>
    <r>
      <rPr>
        <strike/>
        <sz val="12"/>
        <color theme="1"/>
        <rFont val="Arial"/>
        <family val="2"/>
      </rPr>
      <t xml:space="preserve">The NH reviewer of a submitted forecast can generate a report of the carbon estimate that identifies the basis of the carbon emission data for each resource as follows:
- carbon emissions factor from assigned carbon resource library 
- cost-to-carbon factor from assigned carbon resource library
- Resource delinked from resource 
- Plugged carbon factors 
- source evidence / EPD reference
</t>
    </r>
    <r>
      <rPr>
        <sz val="12"/>
        <color theme="1"/>
        <rFont val="Arial"/>
        <family val="2"/>
      </rPr>
      <t xml:space="preserve">
</t>
    </r>
    <r>
      <rPr>
        <sz val="12"/>
        <color rgb="FFFF0000"/>
        <rFont val="Arial"/>
        <family val="2"/>
      </rPr>
      <t xml:space="preserve">The NH reviewer of a submitted IFT / forecast (cost and carbon) can see in CCET IFT and generate a report of the carbon estimate forecast in IFT revision that identifies the basis of the carbon emission data for each resource from the Project User Specific library.
Project User Specific Library (PUSL) used by Project user to produce IFT revision / forecast is built in CCET using the following sources.
carbon emissions factor from NH baseline CCET carbon resource library
cost-to-carbon factor from NH baseline CCET carbon resource library
assured carbon emission factor for resources including the EPD, from Dynamic Library of Low Cabon products.
assured carbon emission factor for resources including the EPD, from Project User Specific Library (PUSL)
unassured carbon emission factor for resources or cost to carbon factors, from Project User Specific Library (PUSL)
</t>
    </r>
    <r>
      <rPr>
        <sz val="12"/>
        <color theme="1"/>
        <rFont val="Arial"/>
        <family val="2"/>
      </rPr>
      <t xml:space="preserve">
The NH reviewer can generate a report showing whether each Resource has ‘assured’ or ‘unassured’ carbon emission factors.
[Please see terminology amendments in Annex A]</t>
    </r>
  </si>
  <si>
    <t>View compliance against a set of data quality requirements and evidence, submitted with contractor's estimate</t>
  </si>
  <si>
    <r>
      <t>The NH reviewer of a submitted</t>
    </r>
    <r>
      <rPr>
        <sz val="12"/>
        <color rgb="FFFF0000"/>
        <rFont val="Arial"/>
        <family val="2"/>
      </rPr>
      <t xml:space="preserve"> IFT revision</t>
    </r>
    <r>
      <rPr>
        <sz val="12"/>
        <color theme="1"/>
        <rFont val="Arial"/>
        <family val="2"/>
      </rPr>
      <t xml:space="preserve"> / forecast can see o</t>
    </r>
    <r>
      <rPr>
        <sz val="12"/>
        <color rgb="FFFF0000"/>
        <rFont val="Arial"/>
        <family val="2"/>
      </rPr>
      <t>n screen and</t>
    </r>
    <r>
      <rPr>
        <sz val="12"/>
        <color theme="1"/>
        <rFont val="Arial"/>
        <family val="2"/>
      </rPr>
      <t xml:space="preserve"> generate a report of the carbon estimate that identifies the basis of the carbon emission data for each resource as follows:
</t>
    </r>
    <r>
      <rPr>
        <strike/>
        <sz val="12"/>
        <color theme="1"/>
        <rFont val="Arial"/>
        <family val="2"/>
      </rPr>
      <t xml:space="preserve">- carbon emissions factor from assigned carbon resource library 
- cost-to-carbon factor from assigned carbon resource library
- Resource delinked from resource 
- Plugged carbon factors 
- source evidence / EPD reference
</t>
    </r>
    <r>
      <rPr>
        <sz val="12"/>
        <color rgb="FFFF0000"/>
        <rFont val="Arial"/>
        <family val="2"/>
      </rPr>
      <t xml:space="preserve">• carbon emissions factor from NH baseline CCET carbon resource library
• cost-to-carbon factor from NH baseline CCET carbon resource library
• assured carbon emission factor for resources including the EPD, from Dynamic Library of Low Cabon products.
• assured carbon emission factor for resources including the EPD, from Project User Specific Library (PUSL)
• unassured carbon emission factor for resources or cost to carbon factors, from Project User Specific Library (PUSL)
</t>
    </r>
    <r>
      <rPr>
        <sz val="12"/>
        <color theme="1"/>
        <rFont val="Arial"/>
        <family val="2"/>
      </rPr>
      <t xml:space="preserve">
The NH reviewer can generate a report showing whether each Resource has ‘assured’ or ‘unassured’ carbon emission factors.
[Please see terminology amendments in Annex A]</t>
    </r>
  </si>
  <si>
    <t>Client estimator should be able to take the contractor's estimate and convert this to a range estimate
 Applies to all estimate types in FR 10 Client Estimators use the Interim cost and carbon estimate revisions(preferred nominated by project users) produced by project users(Designers, PM, Contractors, etc)</t>
  </si>
  <si>
    <r>
      <rPr>
        <sz val="12"/>
        <color rgb="FFFF0000"/>
        <rFont val="Arial"/>
        <family val="2"/>
      </rPr>
      <t>For all estimate types in FR10, a</t>
    </r>
    <r>
      <rPr>
        <sz val="12"/>
        <color theme="1"/>
        <rFont val="Arial"/>
        <family val="2"/>
      </rPr>
      <t xml:space="preserve">n NH Estimator, with permissions to access a given Project </t>
    </r>
    <r>
      <rPr>
        <sz val="12"/>
        <color rgb="FFFF0000"/>
        <rFont val="Arial"/>
        <family val="2"/>
      </rPr>
      <t>and/or Projects</t>
    </r>
    <r>
      <rPr>
        <sz val="12"/>
        <color theme="1"/>
        <rFont val="Arial"/>
        <family val="2"/>
      </rPr>
      <t xml:space="preserve">, can export a </t>
    </r>
    <r>
      <rPr>
        <sz val="12"/>
        <color rgb="FFFF0000"/>
        <rFont val="Arial"/>
        <family val="2"/>
      </rPr>
      <t>nominated</t>
    </r>
    <r>
      <rPr>
        <sz val="12"/>
        <color theme="1"/>
        <rFont val="Arial"/>
        <family val="2"/>
      </rPr>
      <t xml:space="preserve"> Project User's forecast BoQ to MS Excel and import this to a NH Estimate to form the basis of a formal NH range estimate.
</t>
    </r>
    <r>
      <rPr>
        <sz val="12"/>
        <color rgb="FFFF0000"/>
        <rFont val="Arial"/>
        <family val="2"/>
      </rPr>
      <t>For all estimate types in FR10, a</t>
    </r>
    <r>
      <rPr>
        <sz val="12"/>
        <color theme="1"/>
        <rFont val="Arial"/>
        <family val="2"/>
      </rPr>
      <t xml:space="preserve">n NH Estimator, with permissions to access a given Project </t>
    </r>
    <r>
      <rPr>
        <sz val="12"/>
        <color rgb="FFFF0000"/>
        <rFont val="Arial"/>
        <family val="2"/>
      </rPr>
      <t>and/or Projects</t>
    </r>
    <r>
      <rPr>
        <sz val="12"/>
        <color theme="1"/>
        <rFont val="Arial"/>
        <family val="2"/>
      </rPr>
      <t xml:space="preserve">, can export a </t>
    </r>
    <r>
      <rPr>
        <sz val="12"/>
        <color rgb="FFFF0000"/>
        <rFont val="Arial"/>
        <family val="2"/>
      </rPr>
      <t>nominated</t>
    </r>
    <r>
      <rPr>
        <sz val="12"/>
        <color theme="1"/>
        <rFont val="Arial"/>
        <family val="2"/>
      </rPr>
      <t xml:space="preserve"> Project User's forecast risk register to MS Excel and import this to a NH Estimate to form the basis of a formal NH range estimate.
</t>
    </r>
    <r>
      <rPr>
        <sz val="12"/>
        <color rgb="FFFF0000"/>
        <rFont val="Arial"/>
        <family val="2"/>
      </rPr>
      <t>For all estimate types in FR10, a</t>
    </r>
    <r>
      <rPr>
        <sz val="12"/>
        <color theme="1"/>
        <rFont val="Arial"/>
        <family val="2"/>
      </rPr>
      <t>n NH Estimator, with permissions to access a given Project</t>
    </r>
    <r>
      <rPr>
        <sz val="12"/>
        <color rgb="FFFF0000"/>
        <rFont val="Arial"/>
        <family val="2"/>
      </rPr>
      <t xml:space="preserve"> and/or Projects</t>
    </r>
    <r>
      <rPr>
        <sz val="12"/>
        <color theme="1"/>
        <rFont val="Arial"/>
        <family val="2"/>
      </rPr>
      <t xml:space="preserve">, can export a </t>
    </r>
    <r>
      <rPr>
        <sz val="12"/>
        <color rgb="FFFF0000"/>
        <rFont val="Arial"/>
        <family val="2"/>
      </rPr>
      <t>nominated</t>
    </r>
    <r>
      <rPr>
        <sz val="12"/>
        <color theme="1"/>
        <rFont val="Arial"/>
        <family val="2"/>
      </rPr>
      <t xml:space="preserve"> Project User's forecast milestone dates and expenditure profile to MS Excel and import this to a NH Estimate to form the basis of a formal NH range estimate.</t>
    </r>
  </si>
  <si>
    <t>When there is an Forecast revision which is saved and approved with a set revision number, the user should be able to create a new estimate from that Forecast (even though several revisions will not evolve to an estimate)</t>
  </si>
  <si>
    <t>An NH Estimator, with permissions to access a given Project, can export a Project User's forecast BoQ to MS Excel and import this to a NH Estimate to form the basis of a formal NH range estimate.</t>
  </si>
  <si>
    <t>An NH Estimator, with permissions to access a given Project, can export a Project User's forecast risk register to MS Excel and import this to a NH Estimate to form the basis of a formal NH range estimate.</t>
  </si>
  <si>
    <t>An NH Estimator, with permissions to access a given Project, can export a Project User's forecast milestone dates and expenditure profile to MS Excel and import this to a NH Estimate to form the basis of a formal NH range estimate.</t>
  </si>
  <si>
    <t>NH User - Have the ability to Browse/Find an Forecast from top-level drill down Portfolio &gt; Programme &gt; Scheme &gt; Estimates with Option description and associated EIN reference. Ability to navigate to the Forecast from this window. I should also be able to Search the Browser with Search feature by Description or MP Number etc..
Supply Chain User - As NH User but limited to supplier's allocated schemes only</t>
  </si>
  <si>
    <r>
      <t>An NH Estimator can select a project in the 'Forecast Browser' and see all forecasts for that project as long as the user has permissions to access that project.</t>
    </r>
    <r>
      <rPr>
        <sz val="12"/>
        <color rgb="FFFF0000"/>
        <rFont val="Arial"/>
        <family val="2"/>
      </rPr>
      <t xml:space="preserve"> NH Estimator / NH estimating manager / HoCE can have access to all project estimates, IFT revisions for all portfolio and programmes under the Enterprise.</t>
    </r>
  </si>
  <si>
    <r>
      <t xml:space="preserve">An NH Estimator can filter forecasts in the 'Forecast Browser' using the following fields: 
- Portfolio 
- Programme
- Project 
- Linked Estimate ID Number 
- Linked Estimate Title
</t>
    </r>
    <r>
      <rPr>
        <sz val="12"/>
        <color rgb="FFFF0000"/>
        <rFont val="Arial"/>
        <family val="2"/>
      </rPr>
      <t>IFT revision / forecast browser allows from the browser window to open the IFT revision/forecast for selected project.</t>
    </r>
  </si>
  <si>
    <t>A CCET User can only see forecasts for those projects to which the user has permission to access.</t>
  </si>
  <si>
    <t>See FR 1590 - On each Forecast screen, add a toggle to view cost and carbon data or both for the baseline and live Forecast</t>
  </si>
  <si>
    <r>
      <t xml:space="preserve">A </t>
    </r>
    <r>
      <rPr>
        <strike/>
        <sz val="12"/>
        <color theme="1"/>
        <rFont val="Arial"/>
        <family val="2"/>
      </rPr>
      <t>CCET User</t>
    </r>
    <r>
      <rPr>
        <sz val="12"/>
        <color theme="1"/>
        <rFont val="Arial"/>
        <family val="2"/>
      </rPr>
      <t xml:space="preserve"> </t>
    </r>
    <r>
      <rPr>
        <sz val="12"/>
        <color rgb="FFFF0000"/>
        <rFont val="Arial"/>
        <family val="2"/>
      </rPr>
      <t>Project User</t>
    </r>
    <r>
      <rPr>
        <sz val="12"/>
        <color theme="1"/>
        <rFont val="Arial"/>
        <family val="2"/>
      </rPr>
      <t xml:space="preserve"> can select whether to view carbon data alongside cost data or only cost data live when working in /</t>
    </r>
    <r>
      <rPr>
        <sz val="12"/>
        <color rgb="FFFF0000"/>
        <rFont val="Arial"/>
        <family val="2"/>
      </rPr>
      <t xml:space="preserve"> IFT revision / forecast</t>
    </r>
    <r>
      <rPr>
        <sz val="12"/>
        <color theme="1"/>
        <rFont val="Arial"/>
        <family val="2"/>
      </rPr>
      <t xml:space="preserve"> </t>
    </r>
    <r>
      <rPr>
        <strike/>
        <sz val="12"/>
        <color theme="1"/>
        <rFont val="Arial"/>
        <family val="2"/>
      </rPr>
      <t>viewing a forecast</t>
    </r>
    <r>
      <rPr>
        <sz val="12"/>
        <color theme="1"/>
        <rFont val="Arial"/>
        <family val="2"/>
      </rPr>
      <t xml:space="preserve"> </t>
    </r>
    <r>
      <rPr>
        <sz val="12"/>
        <color rgb="FFFF0000"/>
        <rFont val="Arial"/>
        <family val="2"/>
      </rPr>
      <t>for baseline or IFT revision / forecast</t>
    </r>
  </si>
  <si>
    <t>NH User &amp;Supply Chain User - On each Forecast screen, add a toggle to view cost and carbon data or both for the baseline and latest / any Forecast Revision</t>
  </si>
  <si>
    <r>
      <t xml:space="preserve">A </t>
    </r>
    <r>
      <rPr>
        <strike/>
        <sz val="12"/>
        <color theme="1"/>
        <rFont val="Arial"/>
        <family val="2"/>
      </rPr>
      <t>CCET</t>
    </r>
    <r>
      <rPr>
        <sz val="12"/>
        <color theme="1"/>
        <rFont val="Arial"/>
        <family val="2"/>
      </rPr>
      <t xml:space="preserve"> </t>
    </r>
    <r>
      <rPr>
        <sz val="12"/>
        <color rgb="FFFF0000"/>
        <rFont val="Arial"/>
        <family val="2"/>
      </rPr>
      <t>Project</t>
    </r>
    <r>
      <rPr>
        <sz val="12"/>
        <color theme="1"/>
        <rFont val="Arial"/>
        <family val="2"/>
      </rPr>
      <t xml:space="preserve"> User and </t>
    </r>
    <r>
      <rPr>
        <sz val="12"/>
        <color rgb="FFFF0000"/>
        <rFont val="Arial"/>
        <family val="2"/>
      </rPr>
      <t>Estimator</t>
    </r>
    <r>
      <rPr>
        <sz val="12"/>
        <color theme="1"/>
        <rFont val="Arial"/>
        <family val="2"/>
      </rPr>
      <t xml:space="preserve"> can select whether to view carbon data alongside cost data when working in /</t>
    </r>
    <r>
      <rPr>
        <sz val="12"/>
        <color rgb="FFFF0000"/>
        <rFont val="Arial"/>
        <family val="2"/>
      </rPr>
      <t xml:space="preserve"> IFT revision / forecast</t>
    </r>
    <r>
      <rPr>
        <sz val="12"/>
        <color theme="1"/>
        <rFont val="Arial"/>
        <family val="2"/>
      </rPr>
      <t xml:space="preserve"> </t>
    </r>
    <r>
      <rPr>
        <strike/>
        <sz val="12"/>
        <color theme="1"/>
        <rFont val="Arial"/>
        <family val="2"/>
      </rPr>
      <t>viewing a forecast</t>
    </r>
    <r>
      <rPr>
        <sz val="12"/>
        <color theme="1"/>
        <rFont val="Arial"/>
        <family val="2"/>
      </rPr>
      <t xml:space="preserve"> </t>
    </r>
    <r>
      <rPr>
        <sz val="12"/>
        <color rgb="FFFF0000"/>
        <rFont val="Arial"/>
        <family val="2"/>
      </rPr>
      <t>for baseline or latest or any IFT revision / forecast</t>
    </r>
  </si>
  <si>
    <t>As and Estimating Manager, I want to see easily which schemes and interim forecasts are assigned to each Project User. I also want to be able to see a live view of when Forecasts have been updated.</t>
  </si>
  <si>
    <r>
      <t xml:space="preserve">An NH Estimator with permissions to access all projects (e.g. an Estimating Manager) can view a comprehensive </t>
    </r>
    <r>
      <rPr>
        <sz val="12"/>
        <color rgb="FFFF0000"/>
        <rFont val="Arial"/>
        <family val="2"/>
      </rPr>
      <t xml:space="preserve">‘IFT revision </t>
    </r>
    <r>
      <rPr>
        <sz val="12"/>
        <color theme="1"/>
        <rFont val="Arial"/>
        <family val="2"/>
      </rPr>
      <t xml:space="preserve">/ Forecast Browser' that shows the following data: 
- </t>
    </r>
    <r>
      <rPr>
        <strike/>
        <sz val="12"/>
        <color theme="1"/>
        <rFont val="Arial"/>
        <family val="2"/>
      </rPr>
      <t>Forecast</t>
    </r>
    <r>
      <rPr>
        <sz val="12"/>
        <color theme="1"/>
        <rFont val="Arial"/>
        <family val="2"/>
      </rPr>
      <t xml:space="preserve"> Project </t>
    </r>
    <r>
      <rPr>
        <sz val="12"/>
        <color rgb="FFFF0000"/>
        <rFont val="Arial"/>
        <family val="2"/>
      </rPr>
      <t>names and other details</t>
    </r>
    <r>
      <rPr>
        <sz val="12"/>
        <color theme="1"/>
        <rFont val="Arial"/>
        <family val="2"/>
      </rPr>
      <t xml:space="preserve">
</t>
    </r>
    <r>
      <rPr>
        <sz val="12"/>
        <color rgb="FFFF0000"/>
        <rFont val="Arial"/>
        <family val="2"/>
      </rPr>
      <t xml:space="preserve">- Number of IFT revisions / Forecasts </t>
    </r>
    <r>
      <rPr>
        <sz val="12"/>
        <color theme="1"/>
        <rFont val="Arial"/>
        <family val="2"/>
      </rPr>
      <t xml:space="preserve">
- User to which Forecast is assigned 
- Linked NH Estimate 
- NH Estimator Reviewer 
</t>
    </r>
    <r>
      <rPr>
        <sz val="12"/>
        <color rgb="FFFF0000"/>
        <rFont val="Arial"/>
        <family val="2"/>
      </rPr>
      <t>- Current IFT/</t>
    </r>
    <r>
      <rPr>
        <sz val="12"/>
        <color theme="1"/>
        <rFont val="Arial"/>
        <family val="2"/>
      </rPr>
      <t xml:space="preserve"> Forecast Status 
</t>
    </r>
    <r>
      <rPr>
        <sz val="12"/>
        <color rgb="FFFF0000"/>
        <rFont val="Arial"/>
        <family val="2"/>
      </rPr>
      <t xml:space="preserve">- Current IFT/ </t>
    </r>
    <r>
      <rPr>
        <sz val="12"/>
        <color theme="1"/>
        <rFont val="Arial"/>
        <family val="2"/>
      </rPr>
      <t xml:space="preserve">Forecast Due Date 
</t>
    </r>
    <r>
      <rPr>
        <sz val="12"/>
        <color rgb="FFFF0000"/>
        <rFont val="Arial"/>
        <family val="2"/>
      </rPr>
      <t xml:space="preserve">- Current IFT/ </t>
    </r>
    <r>
      <rPr>
        <sz val="12"/>
        <color theme="1"/>
        <rFont val="Arial"/>
        <family val="2"/>
      </rPr>
      <t>Forecast Submission Date</t>
    </r>
  </si>
  <si>
    <t>Ability to lock down an Forecast Revision from further changes, unless approved by admin</t>
  </si>
  <si>
    <r>
      <t>Once an</t>
    </r>
    <r>
      <rPr>
        <sz val="12"/>
        <color rgb="FFFF0000"/>
        <rFont val="Arial"/>
        <family val="2"/>
      </rPr>
      <t xml:space="preserve"> IFT revision</t>
    </r>
    <r>
      <rPr>
        <sz val="12"/>
        <color theme="1"/>
        <rFont val="Arial"/>
        <family val="2"/>
      </rPr>
      <t xml:space="preserve"> / forecast is submitted for review, the forecast is locked and cannot be edited.
Only an Administrator can change the status of an approved, locked</t>
    </r>
    <r>
      <rPr>
        <sz val="12"/>
        <color rgb="FFFF0000"/>
        <rFont val="Arial"/>
        <family val="2"/>
      </rPr>
      <t xml:space="preserve"> IFT revision</t>
    </r>
    <r>
      <rPr>
        <sz val="12"/>
        <color theme="1"/>
        <rFont val="Arial"/>
        <family val="2"/>
      </rPr>
      <t xml:space="preserve"> / forecast so that it can be edited.
When a</t>
    </r>
    <r>
      <rPr>
        <sz val="12"/>
        <color rgb="FFFF0000"/>
        <rFont val="Arial"/>
        <family val="2"/>
      </rPr>
      <t xml:space="preserve">n IFT revision </t>
    </r>
    <r>
      <rPr>
        <sz val="12"/>
        <color theme="1"/>
        <rFont val="Arial"/>
        <family val="2"/>
      </rPr>
      <t>/ forecast has been rejected by a Reviewer, the forecast is no longer locked and can then be edited by the Project User.</t>
    </r>
  </si>
  <si>
    <t>Access controls so that Contractors can only see relevant dashboards</t>
  </si>
  <si>
    <t>An Administrator can configure administration settings that control Project User access to CCET dashboards and reports.</t>
  </si>
  <si>
    <t>Contractors should be able to select a scheme and the appropriate lifecycle stage and select the client carbon estimate to view</t>
  </si>
  <si>
    <r>
      <t xml:space="preserve">An administrator can control the level of carbon data from NH estimates that is visible as a baseline for supplier forecasts in the CCET. A Project User can see this level of carbon data for the projects </t>
    </r>
    <r>
      <rPr>
        <sz val="12"/>
        <color rgb="FFFF0000"/>
        <rFont val="Arial"/>
        <family val="2"/>
      </rPr>
      <t>and life cycle stage</t>
    </r>
    <r>
      <rPr>
        <sz val="12"/>
        <color theme="1"/>
        <rFont val="Arial"/>
        <family val="2"/>
      </rPr>
      <t xml:space="preserve"> to which they have access permissions. (It is anticipated that carbon rates and totals for all Resources and Items will be visible in the baseline.)</t>
    </r>
  </si>
  <si>
    <t>For all estimate types, each Estimate contains a field in the Estimate Details section that is named “Scenario” and can be populated with a free-text title of a scenario.
The “Scenario” of an Estimate is shown in the Estimate Browser.
A CCET User can filter and sort estimates in the Estimate Browser by “Scenario”.
A CCET User can search estimates in the Estimate Browser by “Scenario”.</t>
  </si>
  <si>
    <t>As an NH Estimator, I can populate the “Scenario” field in whole lifecycle estimate to denote that the estimate is for a “With Scheme” (Do-Something) or a “Without Scheme” scenario.
As an NH Estimator, I can produce a whole lifecycle cost and carbon estimate for a specific scenario and project.
Please see SRS Chapter 2, Long Term Appraisal for TOTEX estimates for “With Scheme” and “Without Scheme” scenarios.</t>
  </si>
  <si>
    <t>Generate Estimate Reports for each of the following - Do-Minimum, Do-Something, Incremental difference</t>
  </si>
  <si>
    <t>As an NH Estimator, I can produce the following reports for a selected scenario by lifecycle stage:
▪ Cost by WBS for the estimates in the selected scenario
▪ Carbon by WBS for the estimates in the selected scenario
▪ Incremental difference in cost between a selected scenario estimate(s) and the corresponding reference estimate(s)
▪ Incremental difference in carbon between a selected scenario estimate(s) and the corresponding reference estimate(s)
▪ Estimated cost by expenditure period for the estimates in the selected scenario
▪ Estimated carbon by expenditure period for the estimates in the selected scenario
▪ Incremental difference in cost over time between a selected scenario estimate(s) and the corresponding reference estimate(s)
▪Incremental difference in carbon over time between a selected scenario estimate(s) and the corresponding reference estimate(s)
Please see SRS Chapter 2, Long Term Appraisal for TOTEX estimates for “With Scheme” and “Without Scheme” scenarios.</t>
  </si>
  <si>
    <t>"As an estimating manager, I want to be able to tag a single, fully approved estimate to identify it as the ""Reference Estimate"" for that MP, M&amp;R or AR scheme. This will be the estimate that is carried forward for data and reports at programme and portfolio level and is tagged as the ""Reference Estimate"" against which comparisons can be made. The ""Reference Estimate"" data for cost and carbon are to be from the estimate. Similarly, for Project Users interim forecasting functionality, a ""Preferred Revision"" is to be identified for each scheme where there is a interim forecast. "</t>
  </si>
  <si>
    <t>As an NH Estimator carrying out scenario analysis, I can select and tag the ‘reference estimate’ for each project within the scope of the scenario analysis.
The selected reference estimate is duplicated for each project to produce a Scenario Estimate.
The Scenario Estimate is an exact copy of the Reference Estimate but does not have ‘Complete’ or ‘Authorised’ status and can be edited.
When carrying out scenario analysis, the identified reference estimate for a project, is static and unchanged by the scenario analysis work. Only an estimate with ‘Completed’ or ‘Authorised’ status can be a reference estimate and duplicated to produce a ‘Scenario Estimate’.</t>
  </si>
  <si>
    <t>As a user, I want to have a comprehensive "landing page" when opening the system, which contains links to all parts of the system functionality in one place, e.g. components and process flows for producing estimates, scenario analysis, accessing PowerBI reports, etc.</t>
  </si>
  <si>
    <t>There is a dedicated “tile” menu item for “Scenario Analysis” on the CCET landing page.</t>
  </si>
  <si>
    <t>An NH Estimator clicks the “Scenario Analysis” menu item on the CCET landing page and accesses the Scenario Analysis Functionality.</t>
  </si>
  <si>
    <t>FR 01
Opex 18</t>
  </si>
  <si>
    <t xml:space="preserve">Enable "What if" analysis to be carried out at project, programme and portfolio level; enables calculation of the impact of project execution alternatives on estimates without changing the actual estimates.
The system should support the ability to interrogate at Project, Programme or Portfolio level any manner of 'what if' tests, these should be for example:
- impact of change to total cost of a resource rate change
- impact of change of spend profile
- impact of change of price base
- Impact of change of elements or section - i.e. removing landscaping
- determination of quantities of materials i.e. m3 of tarmac across programme
- determination of work person hours
This function is required by Estimate and by Programme.
Allowing existing change control (estimate comparison and evolution) and “what if” scenario testing functionality to be applied to O&amp;M estimating.
</t>
  </si>
  <si>
    <t>The CCET has a Scenario Analysis functionality where ad hoc estimates ("Scenario Estimates") can be created by NH Estimators to assess the impact of a potential scenario on a project, multiple projects, programme and / or, portfolio.</t>
  </si>
  <si>
    <t>An NH Estimator can create a Scenario Estimate without going through the Request for Estimate process.</t>
  </si>
  <si>
    <t>A 'Scenario Estimate' is distinguished from a standard estimate by a suffix added to the Estimate ID (e.g. "- SE")</t>
  </si>
  <si>
    <t>A Scenario Estimate is created by selecting and duplicating a reference estimate for a project. The Scenario Estimate will only be created if the selected reference estimate has 'Completed' or 'Authorised' status.</t>
  </si>
  <si>
    <t>A Scenario Estimate can be created for each of the following: 
- Major projects capex estimate 
- Detailed Operations and Maintenance estimate (e.g. for a Maintenance &amp; Response term contract) 
- Assert Renewals capex scheme estimate 
- Long term appraisal estimate (for a full lifecycle cost estimate)</t>
  </si>
  <si>
    <t>When a Scenario Estimate is created, it is an exact copy of the duplicated reference estimate, except that the Scenario Estimate does not have a 'Completed' or 'Authorised' status and can be edited.</t>
  </si>
  <si>
    <t>Multiple reference estimates can be selected and duplicated to produce multiple scenario estimates in the same operation (only one reference estimate can be selected per estimate type and project).</t>
  </si>
  <si>
    <t>When a Scenario Estimate is created, a name for the scenario is entered in a "Scenario" data field within the Estimate Details.</t>
  </si>
  <si>
    <t>When a Scenario Estimate is created, the Estimate ID of the reference estimate (the estimate duplicated to produce the Scenario Estimate) is entered in a data field within the Estimate Details.</t>
  </si>
  <si>
    <t>FR 01
 (cont.)
Opex 18 (cont.)</t>
  </si>
  <si>
    <t>Enable "What if" analysis to be carried out at project, programme and portfolio level; enables calculation of the impact of project execution alternatives on estimates without changing the actual estimates.
The system should support the ability to interrogate at Project, Programme or Portfolio level any manner of 'what if' tests, these should be for example:
- impact of change to total cost of a resource rate change
- impact of change of spend profile
- impact of change of price base
- Impact of change of elements or section - i.e. removing landscaping
- determination of quantities of materials i.e. m3 of tarmac across programme
- determination of work person hours
This function is required by Estimate and by Programme.
Allowing existing change control (estimate comparison and evolution) and “what if” scenario testing functionality to be applied to O&amp;M estimating.</t>
  </si>
  <si>
    <t>NH Estimators can edit a 'Scenario Estimate' and compare the 'Scenario Estimate' versus the corresponding 'Reference Estimate' to identify the impact of the edits made. NH Estimators can edit the Scenario Estimate as per standard functionality for the following:</t>
  </si>
  <si>
    <t>Scope - Add Sections and Items</t>
  </si>
  <si>
    <t>Scope - Delete Sections and Items</t>
  </si>
  <si>
    <t>Scope - Amend Items quantities</t>
  </si>
  <si>
    <t>Scope - Use alternative Items</t>
  </si>
  <si>
    <t>Methodology - Amend Resource build-ups</t>
  </si>
  <si>
    <t>Methodology - Amend Productivity rates</t>
  </si>
  <si>
    <t>Methodology - Use alternative Resources</t>
  </si>
  <si>
    <t>Rates - Amend Resource Rates globally across the estimate</t>
  </si>
  <si>
    <t>Rates - Amend selected Labour / Plant / Material / Subcontractors Resource Rates to change selected Resource and Item Rates globally across the estimate</t>
  </si>
  <si>
    <t>Rates - Amend a selected individual instance of a Labour / Plant / Material / Subcontractor Resource Rates to change the rate of a single Resource and Item.</t>
  </si>
  <si>
    <t>Schedule - Amend delivery milestone dates for start and finish dates of cost elements</t>
  </si>
  <si>
    <t>Schedule - Amend intervention frequencies for Operation and Maintenance Items / activities (O&amp;M estimates and long term appraisal estimates)</t>
  </si>
  <si>
    <t>Schedule - Amend asset renewals frequencies for long term appraisal estimates</t>
  </si>
  <si>
    <t>Schedule - Amend expenditure profile assumptions</t>
  </si>
  <si>
    <t>Risk - Amend bottom-up risk / opportunity / uncertainty assessment by editing the project risk register</t>
  </si>
  <si>
    <t>Risk - Amend top-down risk / opportunity / uncertainty assessment by editing the percentage allowances or the directly entered risk allowances</t>
  </si>
  <si>
    <t>Inflation - Edit the selection of inflation forecasts applied to the estimate</t>
  </si>
  <si>
    <t>Discounting - Edit the discount rates applied to long term appraisal estimates</t>
  </si>
  <si>
    <t>FR 01 (cont.)
Opex 18 (cont.)</t>
  </si>
  <si>
    <t>Enable "What if" analysis to be carried out at project, programme and portfolio level; enables calculation of the impact of project execution alternatives on estimates without changing the actual estimates.
The system should support the ability to interrogate at Project, Programme or Portfolio level any manner of 'what if' tests, these should be for example:
- impact of change to total cost of a resource rate change
- impact of change of spend profile
- impact of change of price base
- Impact of change of elements or section - i.e. removing landscaping
- determination of quantities of materials i.e. m3 of tarmac across programme
- determination of work person hours
This function is required by Estimate and by Programme.
Allowing existing change control (estimate comparison and evolution) and “what if” scenario testing functionality to be applied to O&amp;M estimating.</t>
  </si>
  <si>
    <t>NH Estimators can produce side-by-side comparison reports of the Scenario Estimate and corresponding Reference Estimate as per FR 1490 to show the impact of the Scenario on:
▪ Estimated cost by WBS and over time
▪ Estimated carbon by WBS and over time
▪ Item quantities by WBS and over time
▪ Resource quantities by WBS and over time</t>
  </si>
  <si>
    <t>NH Estimators can produce side by side comparison reports for a single project or multiple projects, a programme or a portfolio</t>
  </si>
  <si>
    <t>General</t>
  </si>
  <si>
    <t>• Reports will be exportable as MS Excel and PDF
• Reports will contain a title or description
• Basic project details are visible within the report to identify which scheme it is from
• Reporting data will be formatted in a way that is easy to follow
• Costs figures should be reported in the format £1,000,000 and not 1000000.0000
• User can select how many decimals points are required for reporting
• Carbon figures reported in the format 1,000,000 and not 1000000.0000
• User I should be able to choose what unit to display my data in the reports e.g. full cost £1,284,456.65 or in £millions £1.28, E.g. kgCO2e or tCO2e</t>
  </si>
  <si>
    <t>• An approval form is visible within the software
• I can export the Estimate Approval Form for Costs to pdf/MS Excel.
• The form displays:
  • Portfolio, programme, Asset Class, region, area, route name, location reference, as applicable.
  • The project name, estimate title, estimate type, estimator and estimate ID reference
  • The summary of the (Three Point Estimate) range estimate covering base estimate cost, project and portfolio risk/opportunity/ uncertainty allowances, and the price base of the estimate prior to inflation allowances
  • The inflation allowance and estimated outturn costs
  • The most-likely dates for the project’s key schedule milestones on which the estimate is based
  • A summary of the cost estimate showing range minimum, most-likely, maximum and each 10th percentile interval for probabilistic estimates
  • Chronological history of estimates, showing minimum, most likely and maximum.
  • Expenditure forecast with and without project risks, inflation and portfolio risk.
  • The name and role of each reviewer and approver of the estimate, confirmation of their approval and the date of approval
  • A free-text section which can contain Estimate Notes, such as caveats / estimate limitations and descriptions of the basis of estimate</t>
  </si>
  <si>
    <t>Software should produce, a CESS, RET , SAS, Form 300,ect for Asset renewal estimates in FR 10 along with the Dashboards at resource, project, Asset Class, Region and Area level, portfolio level, etc</t>
  </si>
  <si>
    <t>• The software produces fixed estimate outputs for each lifecycle cost stage and Whole Life cycle estimate for Asset renewals in FR 10, which include the below:
• A cost estimate summary at Section level, showing base estimate at Section level, project and portfolio risk/opportunity/uncertainty allowances and inflation.
• A summary of the estimated costs over time, broken down by Section level, base estimate, project risk, portfolio risk and inflation allowances for each financial year
• A summary of estimated costs for net present value calculations at an administrator-controlled price base, which:
• can be configured to exclude spend to date and taxation
• presents costs with and without portfolio risk allowances
For Form 300 see Acceptance Criteria 170.</t>
  </si>
  <si>
    <t>230
(cont.)</t>
  </si>
  <si>
    <t>• An interactive ‘dashboard’ or dashboards can be displayed on screen for the cost estimate, able to display estimated costs and carbon as follows:
   • By Resource
   • By Item
   • By Section
   • By Asset class
   • By Location
   • By Time period
• Dashboards can be displayed on screen for a collection of selected cost estimates comprising a programme, with aggregated costs and carbon for each selected estimate displaying:
   • Key Resources by value
   • Key Items by value
   • By Section
   • By Project
   • By Asset class
   • By Location
   • By Time period
• Dashboards can be displayed on screen for a collection of selected programmes comprising a portfolio, with aggregated costs and carbon for each selected programme displaying:
   • Key Resources by value
   • Key Items by value
   • By Section
   • By Project
   • By Programme
   • By Asset class
   • By Location
   • By Time period
• Dashboards can be exported / printed to PDF with a time and date of the export / print
• Dashboards can display estimated carbon by PAS 2080 Module
• The data displays identical numbers to the estimate database</t>
  </si>
  <si>
    <t>Software should produce a CDF/PDF for cost estimates rather than the mathematically calculated and produced graph in RET. It should do for all types of estimate in FR 10.</t>
  </si>
  <si>
    <t>• The software displays a cumulative distribution function (CDF) chart on screen for a probabilistic cost estimate output
• The CDF chart can be exported as a PDF or Excel report with the chart and data table of percentile values
• The software produces a probability distribution function (PDF) chart on screen for a probabilistic cost estimate output
• The PDF chart can be exported as a PDF or Excel report with the chart and data table of percentile values
• The graphs generated should be fed directly from the cached simulation data for that project where a full Monte Carlo simulation has been run
• Users can identify the project name(s), estimates name(s) and estimate ID(s) within the reports
• The data displays identical numbers to the estimate database
• The data should be shown on one single page</t>
  </si>
  <si>
    <t>The software should produce carbon reports at each level of the WBS (for all estimates types as per Scope Table A) from resource to portfolio level, across PAS2080 modules and by expenditure period.</t>
  </si>
  <si>
    <t>• A report of estimated carbon can be produced for each estimate type, displaying estimated carbon impact:
   • By PAS 2080 module
   • By Resource
   • By Item
   • By Section
   • By Time period
• A report of estimated carbon can be produced for a programme, displaying estimated carbon impact:
   • By PAS 2080 module
   •  By Project
   • By Time period
• A report of estimated carbon can be produced for a portfolio, displaying estimated carbon impact:
   • By PAS 2080 module
   • By Programme
   • By Time period
• The reports can be export to PDF and Excel format
• Users can identify the project name(s), estimates name(s) and estimate ID(s) within the reports
• The data displays identical numbers to the estimate database</t>
  </si>
  <si>
    <t>Generate Cost and Carbon reports by Resource Group, Resource Category, etc.</t>
  </si>
  <si>
    <t>• A report of estimated carbon can be produced for each estimate type, displaying estimated carbon impact:
   • By Resource Group
   • By Resource Category
• A report of estimated carbon can be produced at programme level, displaying estimated carbon impact:
   • By Resource Group
   • By Resource Category
• A report of estimated carbon can be produced at portfolio level, displaying estimated carbon impact:
   • By Resource Group
   • By Resource Category
• The reports can be export to PDF and Excel format
• Users can identify the project name(s), estimates name(s) and estimate ID(s) within the reports
• The data displays identical numbers to the estimate database</t>
  </si>
  <si>
    <t>As an estimator, I want to be able to see the cost and carbon outputs for an estimate easily using the same User interface as for estimate production, i.e. not have to leave the estimate production module in order to view the outputs. For example, PowerBI dashboards or PDF reports are not a replacement for user interface / screens presenting this information in the estimating module itself.</t>
  </si>
  <si>
    <t>• The outputs(report &amp; dashboards) for an approved estimate are visible on screen within the same user interface screens as the estimate production.</t>
  </si>
  <si>
    <t>Generate Cost and Carbon reports inclusive and exclusive of Programme and Portfolio Risk</t>
  </si>
  <si>
    <t>• For all reports that include programme / portfolio risk allowances, the user can generate a report with or without programme / portfolio risk allowances
• All relevant reports should clearly state whether programme / portfolio risk allowances are included or excluded from the reported values</t>
  </si>
  <si>
    <t>• The outputs for an approved estimate are visible on screen within the estimating software system.</t>
  </si>
  <si>
    <t>Dashboards and PDF reports should be configurable to select, resource, scheme, package, asset class, region, area or portfolio.</t>
  </si>
  <si>
    <t>• An interactive ‘dashboard’ or dashboards can be displayed on screen for a cost estimate, able to display estimated costs and carbon as follows:
   • By Resource
   • By Item
   • By Section
   • By Asset class
   • By Location
   • By Time period
• Dashboards can be displayed on screen for a collection of selected cost estimates comprising a programme, with aggregated costs and carbon for each selected estimate displaying:
   • Key Resources by value
   • Key Items by value
   • By Section
   • By Project
   • By Asset class
   • By Location
   • By Time period</t>
  </si>
  <si>
    <t>310
(cont.)</t>
  </si>
  <si>
    <t>• Dashboards can be displayed on screen for a collection of selected programmes comprising a portfolio, with aggregated costs and carbon for each selected programme displaying:
   • Key Resources by value
   • Key Items by value
   • By Section
   • By Project
   • By Programme
   • By Asset class
   • By Location
   • By Time period
• The dashboards can be export to PDF and Excel format
• Users can identify the project name(s), estimates name(s) and estimate ID(s) within the dashboards
• The data displays identical numbers to the estimate database</t>
  </si>
  <si>
    <t>View the estimated expenditure profile and dashboards and PDF reports by cost element, by time period and see costs inclusive and exclusive of risk for each time period, similar to the existing "SAS" report.</t>
  </si>
  <si>
    <t>• For each estimate type, a user can generate a report of estimated cost and carbon expenditure over the duration of expenditure displaying the following for each year within the expenditure duration:
   • Base estimate for each Section (at the base estimate price base)
   • Project Risk for each Section (at the base estimate price base)
   • Programme / Portfolio Risk (at the base estimate price base)
   • Inflation (at the base estimate price base)
• A user can generate reports including and excluding programme / portfolio risk
• The reports can be displayed on screen
• The reports can be exported to PDF.</t>
  </si>
  <si>
    <t>The software shall produce cost and carbon reports for all estimates to ICMS, with granularity aligned with PAS 2080.</t>
  </si>
  <si>
    <t>• A user can generate a cost estimate report with item costs aggregated and reported by the ICMS category assigned to the Items with the cost estimate
• A user can generate a carbon estimate report with item carbon aggregated and reported by the ICMS category assigned to the Items with the carbon estimate
    • The carbon estimate displays PAS 2080 module totals by ICMS category
• A user can generate reports including and excluding programme / portfolio risk
• The reports can be displayed on screen
• The reports can be exported to PDF and Excel format.</t>
  </si>
  <si>
    <t>Software should a) allow Carbon Reduction Targets (CAP) to be ingested into the system, it should than be used by the software to show in reports and Dashboards comparison between. Baseline and CAP, from IFT revision carbon against CAP and Baseline. This should apply for all estimate types in FR 10. Reports shall be produced for aggregated estimates /caps for Programme and Portfolio level reports.</t>
  </si>
  <si>
    <t>• An authorised user can enter a Carbon Reduction Targets for a project in the software
• A user can see a report or dashboard that compares the Carbon Reduction Targets with an estimate for the project
• I should also be able to see a reports showing the aggregated latest estimate data versus the aggregated carbon reduction targets at Programme or Portfolio Level
• The data is based on approved estimates only and informed by either the preferred estimates or reference estimates (tbc by the client)
• As a user I can see how a forecast submitted by a Project User compares to the Carbon Reduction Target (CAP) for that project</t>
  </si>
  <si>
    <t>Software should allow actual cost data to be incrementally ingested into the software at the estimates granularity level and allow comparison to be made between any estimate and the Actual cost(Final cost compare with all estimates on the scheme). Applies to all estimates in FR 10.</t>
  </si>
  <si>
    <t>• A user can upload actual cost data for a completed project, to a ‘Final Cost’ shell for the project
• The ‘Final Cost’ shell structure will align with the levels of the WBS at which the estimate is produced for the corresponding estimate type in FR10.
• A user can generate a comparison between the ‘Final Cost’ and an earlier estimate for the project, on screen in the software
• The dashboards can be export to PDF and Excel format
• Users can identify the project name, estimates names and estimate IDs within the comparison report
• The data displays identical numbers to the estimate database</t>
  </si>
  <si>
    <t>The interim forecasting for all estimate types as per Scope table A, should produce a report for export to cost management software at Cost Element level.</t>
  </si>
  <si>
    <t>• A user can select a forecast submitted by a Project User and generate a report to MS Excel format of aggregated estimated costs for the project structured by assigned cost management codes at Cost element level.
• This report will be a fixed report, controller by a system Administrator, to prevent uncontrolled change of format</t>
  </si>
  <si>
    <t>Software should have functionality within the estimating/IFT screens to show to the estimator/project user which resource/item/section is driving cost and/or carbon. As an estimator, I want to be able to see what is driving the cost and carbon estimate easily using the same User interface as for estimate production, i.e. not have to leave the estimate production module in order to view this information. For example, PowerBI dashboards or PDF reports are not a replacement for user interface / screens presenting this information in the estimating module itself.</t>
  </si>
  <si>
    <t xml:space="preserve">• A user can open insight reporting data for an estimate directly from within the estimate production software module
• A user can see a report displayed on screen for a cost estimate showing estimated costs and carbon:
   • By Resource in order of value
   • By Item in order of value
   • By Section in order of value  </t>
  </si>
  <si>
    <t>Estimator and project user must be able to see the item and resource quantity by monthly/annually across the estimate schedule when producing the estimate as well as ability to export in excel and report in PDF and Dashboard.</t>
  </si>
  <si>
    <t>• A user can generate a report on screen of the estimated total Item quantity profiled over the estimate expenditure duration
• The Item quantity profile shall be available by month for Major Projects, Operation and Maintenance and Renewals estimates
• The Item quantity profile shall be available by year for long term appraisal estimates
• The Item quantity profile report can be exported to MS Excel
• A user can export a total Resource profile by month to MS Excel</t>
  </si>
  <si>
    <t>When producing an estimate; estimator should be able to see comparison of last approved estimate with current estimate within the screens of the estimating module which are used by estimator to produce estimate. Additionally, software should have a Comparator which provides comparison of current or last approved with any historic estimate on scheme.
Software should also show comparison of range (min,ml,max) for estimate from start i.e. estimate 0 to current estimate and when project is delivered Actual cost. The above applies to all estimate types in FR 10</t>
  </si>
  <si>
    <t>• A user can generate a comparison report of the estimate in production and the last approved estimate for that scheme, on screen in the software while producing the estimate
• A user can generate a comparison report of any estimate for a scheme vs another estimate for the same scheme, on screen in the software
• A user can generate a report showing the evolution of the estimated cost for a scheme, by selecting the approved estimates to include in the report. The report will display:
   • The estimates in chronological order
   • The estimate ID and date
   • The estimate classification
   • The estimated total minimum, most-likely, and maximum cost
• The report shall be able to include the ‘Final Cost’ where this has been uploaded for a completed scheme</t>
  </si>
  <si>
    <t>Identify resources where carbon has been manually entered by the user</t>
  </si>
  <si>
    <t>• From within the Carbon module, a user can see which Resources have the status of ‘de-linked’ from a library, i.e. are not linked to a library carbon emission factor or library cost-to-carbon factor</t>
  </si>
  <si>
    <t>Software should include a Benchmark template for each estimate type as per FR 10 and allow benchmark figures to be inserted into the template to allow the comparison to be made and reported for each estimate output. Nb. CERT/CESS/RET already includes this.</t>
  </si>
  <si>
    <t>• An administrator has the ability to enter a configure custom metric or benchmark ‘yardstick’ for an estimate type, specifying:
   • The benchmark metric name
   • The benchmark metric unit
• An Administrator is able to enter benchmark values for each metric or ‘yardstick’ in a controlled table for an estimate type
• A user is able to enter a value in an estimate-specific field for the benchmark metric name and unit and the estimated cost value to be divided by the metric
• A user can generate a report on screen showing the estimate-specific values populated for the benchmark metrics, and the corresponding benchmark metric values maintained in the administrator-controlled table for that estimate type
• The report can be exported to PDF and Excel format
• The report states the price base of the values
• The report states the project name, estimate name and estimate ID</t>
  </si>
  <si>
    <t>View the carbon expenditure profile over time by WBS (Work Breakdown Structure) and by Resource in embedded screens within the estimate</t>
  </si>
  <si>
    <t>• A user can generate a report on screen within the estimating module displays estimated carbon over time periods, e.g. Financial Year, by WBS</t>
  </si>
  <si>
    <t>• A user can assign an ‘asset class’ to each Item in an estimate
• There will be a general asset classification status for items of work that are not asset-specific
• A user can generate a Schedule of Items report (BoQ) ordered by asset class code, then by Item code
• The report will show subtotals by asset class
• A user can generate this report for multiple lifecycle costing stages for the same project estimate
• The report can be exported to PDF and Excel format
• A user can assign a code for an alternative breakdown structure’s classification (such as ICMS category or CESMM class) to an Item in an estimate
• A user can generate a Schedule of Items report (BoQ) ordered by this alternative breakdown structure code, then by Item code
• The report will show cost and carbon subtotals grouped by alternative breakdown structure code
• The reports can be displayed on screen
• The reports can be exported to PDF and Excel format.
• Items in Item libraries can have a default code entered in the library fields for asset class and alternative breakdown structures to enable this feature</t>
  </si>
  <si>
    <t>• A user can view a dashboard of an Operations and Maintenance cost estimate displaying multiple data for the estimate, including:
   • The estimate in real terms excluding inflation
   • The estimate in nominal terms including inflation
   • The period covered by the estimate
   • Costs by month and by year</t>
  </si>
  <si>
    <t>• A user can select what data he/she wants to see in a report via some dynamic fields, which act as user queries, including:
   • The WBS level of the report
   • The period covered by the report
• A user can generate a report comparing a submitted cost or carbon forecast vs. a reference baseline cost or carbon estimate for a scheme
• A user can generate a report comparing selected submitted cost or carbon forecasts comprising a programme vs. a reference baseline cost or carbon estimate for the programme
• A user can generate a report comparing selected submitted cost or carbon forecasts comprising a portfolio vs. a reference baseline cost or carbon estimate for that portfolio</t>
  </si>
  <si>
    <t>See 1120 - View the carbon expenditure profile over time by WBS (Work Breakdown Structure) and by Resource</t>
  </si>
  <si>
    <t>• A user can generate a report of carbon expenditure over time by WBS and by resources
• The user can select the WBS level of the report so that carbon expenditure is shown in a logical format</t>
  </si>
  <si>
    <t>• An authorised user can enter a Carbon Reduction Target (CAP) for a project in the software
• A user can see a report or dashboard that compares the Carbon Reduction Target(CAP) with an estimate for the project
• I should also be able to see a reports showing the aggregated latest estimate data versus the aggregated carbon reduction targets at Programme or Portfolio Level
• The data is based on approved estimates only and informed by either the preferred estimates or reference estimates
• As a user I can see how a forecast submitted by a Project User compares to the Carbon Reduction Target (CAP) for that project</t>
  </si>
  <si>
    <t>Compare Estimated Carbon Impact with Carbon Reduction Targets at Scheme, Programme and Portfolio levels</t>
  </si>
  <si>
    <t>• For long-term appraisal TotEx estimates, A user can assign a configurable ‘scenario’ tag to an estimate
• A user can generate estimate reports for a scenario
• A user can generate reports of the incremental difference between two like-for-like estimates for different scenarios for the same scheme</t>
  </si>
  <si>
    <t>TOTEX reporting - will require the whole life cycle reporting of the Cost and Carbon stage A-C</t>
  </si>
  <si>
    <t>• A user can generate a TotEx carbon report showing the estimated carbon for each module within PAS 2080 Stages A, B and C
• A user can generate a summary report that provides sub-totals by PAS 2080 Stage
• The reports can be generated on screen in the software carbon module
• The reports can be exported to PDF and Excel format.</t>
  </si>
  <si>
    <t>TOTEX reporting adhering to the ICMS3 standard</t>
  </si>
  <si>
    <t>• A user can generate a report showing estimated carbon emissions for each PAS 2080 module, by each ICMS category
• A user can generate a report showing total annual operational energy usage for module B6 in KWh/yr
• A user can generate a report showing total estimated operational water consumption for module B7 in litres</t>
  </si>
  <si>
    <t>NH User &amp; Supply Chain User - Cost and Carbon Estimates - As a Project User, I want to be able to view a dashboard / report with the estimated / actual cost and carbon expenditure (driven by resource profiles) over the assessment period.</t>
  </si>
  <si>
    <t>• A user can generate a report or dashboard for an Operation and Maintenance estimate that shows the estimated and actual cost and carbon expenditure over the assessment period
• The estimated and actual cost and carbon expenditure can be shown on the same dashboard
• The estimated and actual cost and carbon expenditure can be shown by month with annual totals
• Cost and carbon expenditure profile reports can be generated by Project Users for scheme forecasts
• The estimated cost and carbon profile in the dashboard are linked to resource profiles used to produce forecast cost and carbon expenditure</t>
  </si>
  <si>
    <t>"As an estimating manager, I want to be able to tag a single, fully approved estimate to identify it as the "Reference Estimate" for that MP, M&amp;R or AR scheme. This will be the estimate that is carried forward for data and reports at programme and portfolio level and is tagged as the ""Reference Estimate"" against which comparisons can be made. The ""Reference Estimate"" data for cost and carbon are to be from the estimate. Similarly, for Project Users interim forecasting functionality, a ""Preferred Revision"" is to be identified for each scheme where there is a interim forecast. "</t>
  </si>
  <si>
    <t>• A user can generate a comparison report of any estimate for a scheme vs another estimate for the same scheme, on screen in the software
• The estimate being compared against will be identified as the ‘reference estimate’ for the specific comparison for the scheme
• The estimate(s) compared against the ‘reference estimate’ will be identified as the ‘comparator estimate(s)’ for the specific comparison
• A user can generate a report for a scheme with multiple ‘comparator estimate(s)’ but only one ‘reference estimate’
• An estimate for each scheme in a programme can be tagged as the ‘reference estimate’ to create a reference estimate for the programme
• An estimate for each of the schemes in the programme can be tagged as the ‘comparator estimate’ to create a comparator estimate for the programme
• Reference and comparator estimates for programmes can be aggregated to provide portfolio reference and comparator estimates
• A Project User can tag a submitted forecast to NH as the ‘Preferred Forecast’ for a scheme, which can be used to generate reports for the scheme
• and aggregated preferred forecasts at programme and portfolio level</t>
  </si>
  <si>
    <t>As an Estimator, I want to be able to compare an IFT with a "Preferred Revision" and the last approved estimate / "Reference Estimate". I want the comparison to be similar to the CERT file "Presentation Data" worksheet, with a free text field to record changes from the last submission.</t>
  </si>
  <si>
    <t>• A user can generate a comparison report of any IFT “Preferred Revision” submitted by a Project User for a scheme vs the last approved NH estimate / “Reference Estimate” for that scheme
• A user can generate a comparison report of any IFT Preferred Revision forecast submitted by a Project User for a scheme vs the NH estimate tagged as a ‘reference estimate’ for that specific comparison
• Costs/Carbon can will be compared at Section, cost element, resource level, on screen in the software
• Free-text fields can be populated at Project level to provide explanation of the delta between the forecast and estimate
• The comparison report can be exported to PDF and Excel format, Including the comments on explanation of the delta between the forecast and estimate</t>
  </si>
  <si>
    <t>As an Estimating Manager, I want to be able to see easily a progress tag and reports for the progress of all estimates that are in production. This should be consistent with workflow milestones across all estimate types.</t>
  </si>
  <si>
    <t>• An Administrator can configure progress status categories applicable consistently across all estimate types
• The progress status of an estimate will be automatically assigned by configurable workflow triggers, e.g. the approval of an estimate request form, the submission of an estimate for review
• An Estimating Manager can view the progress status of all estimates in the Browser
• An Estimating Manager can filter estimates in the Browser by their progress status</t>
  </si>
  <si>
    <t>Develop Estimate sign off form</t>
  </si>
  <si>
    <t>• When an Approver authorises an estimate, the Estimator can access an ‘Issue Estimate’ screen
• The Estimator can generate the Estimate Approval Form for issue to the recipients of the estimate
• The Estimate Approval Form documents the sign-off by the Estimator, each designated reviewer and the Approver.
• A user with permissions to access the estimate can see the generated approval form from within the estimating software.</t>
  </si>
  <si>
    <t>Need separate Cost and Carbon sign offs (CE300 forms)</t>
  </si>
  <si>
    <t>• The system will produce a separate Estimate Approval Form for cost and for carbon estimates.</t>
  </si>
  <si>
    <t>Estimating Manager view - Ability to easily access graphs/visuals of an estimate to understand and review the proposed estimate. Minimum are below:
- CESS
- CERT
- RET
- other estimate outputs / reports</t>
  </si>
  <si>
    <t>• ‘Dashboards’ or graphical reports displayed on screen for the cost &amp; carbon estimate to show the following for each estimate type:
  • A cost / carbon estimate summary at Section, Cost element and resource level , showing base estimate at Section level, project and portfolio risk/opportunity/uncertainty allowances and inflation covering individual or all lifecycle stages. For carbon information is displayed compliant to PAS 2080 Modules
  • A summary of the estimated costs /carbon over time, broken down by Cost element and resource level , base estimate, project risk, portfolio risk and inflation allowances for each financial year
  • A summary of estimated costs for net present value calculations at an administrator-controlled price base, which:
      • can be configured to exclude spend to date and taxation
      • presents costs with and without portfolio risk allowances
   • A summary of the cost estimate showing range minimum, most-likely, maximum and each 10th percentile interval for probabilistic estimates
• Dashboards shows the project name, estimate title, estimate type, and estimate ID reference
• Dashboards displays the price base of the cost data prior to application of inflation allowances
• Dashboards can be exported to MS Excel and PDF
• The data displays identical numbers to the estimate database</t>
  </si>
  <si>
    <t>Estimator view - Ability to easily access graphs/visuals of an estimate to prepare the final estimate outputs:
- CESS
- CERT
- RET
- other estimate outputs / reports</t>
  </si>
  <si>
    <t>• As per FR 2660 acceptance criteria.</t>
  </si>
  <si>
    <t>As an estimator and estimating manager, I want to easily view all the estimates produced for a scheme in chronological order to see the evolution of the estimated costs, and carbon. I also want to be able to select and deselect individual estimates from this chart / table, for all estimate types as set out in Scope Table A.</t>
  </si>
  <si>
    <t>• A user can generate a report showing the evolution of the estimated cost and carbon for a scheme, by selecting the selective or all approved estimates to include in the report. The report will display:
   • The estimates in chronological order
   • The estimate ID and date
   • The estimate classification</t>
  </si>
  <si>
    <t>40 / 50</t>
  </si>
  <si>
    <t>Request for Estimate for MP and Ops should allow the ability to select and set the shells in the software to cover estimate types in FR 10.</t>
  </si>
  <si>
    <r>
      <t>• As a CCET user, I can access the Estimate Request interface so that I can request any estimate type covered in scope. See Table A for definition of users and estimates.
• As a CCET user, I can request multiple estimates from one request so that I can accelerate the process of estimate requests.
• As a CCET user, I can submit estimate requests to relevant users with permissions to access, review and approve submitted requests so that they can be reviewed and approved.
• When an estimate request is approved for a given estimate type, an estimate shell will be created with a configurable template structure for that estimate type
• As a CCET user, I can edit that Request for Estimate for</t>
    </r>
    <r>
      <rPr>
        <sz val="12"/>
        <color rgb="FFFF0000"/>
        <rFont val="Arial"/>
        <family val="2"/>
      </rPr>
      <t>m</t>
    </r>
    <r>
      <rPr>
        <sz val="12"/>
        <color theme="1"/>
        <rFont val="Arial"/>
        <family val="2"/>
      </rPr>
      <t xml:space="preserve"> so that I can enter, modify and save data in the form.</t>
    </r>
  </si>
  <si>
    <t>Request for estimate should include field for users to type in purpose of estimate.</t>
  </si>
  <si>
    <t>• As a CCET user, I can access the Estimate Request interface so that I can submit estimate requests.
• As a CCET user, I can enter the Purpose of Estimate in a free-text field so that the reviewer knows the purpose of request.</t>
  </si>
  <si>
    <t>Software to allow an estimate to be requested (submit a request) via RFE for estimate types in FR 10, which is then reviewed and confirmed by Estimating manager, similar to MP.</t>
  </si>
  <si>
    <t>• As a CCET user, I can access the Estimate Request interface so that I can request any estimate type covered in scope, see Table A for definition of users and estimates.
• As a CCET user, I can submit requests so that they are stored in a central repository (portal).
• As an Estimating Manager / Estimating Administrator with relevant permission, I can access a repository / request portal so that I can review submitted estimate requests.
• As an Estimating Manager / Estimating Administrator with relevant permission, I can ask for changes so that the requestor can action changes and re-submit the request.
• As an Estimating Manager / Estimating Administrator with relevant permission, I can provide justification and reject requests so that the requestor understands the reason for rejection.
• As an Estimating Manager / Estimating Administrator with relevant permission, I can approve requests so that estimates are initiated in the software.
• As an Estimating Manager / Estimating Administrator with relevant permission, I can assign estimators / reviewers to approved requests so that the estimate initiation can proceed.
• As an Estimating Manager / Estimating Administrator with relevant permission, I can add comments while approving requests so that the assigned estimator can view my comments/notes.</t>
  </si>
  <si>
    <t>Software should allow estimators to assign "Project Users" to any type of the estimates identified in FR 10 (see Scope Table A for definition of users and estimates).</t>
  </si>
  <si>
    <t>• As an Estimating Manager / Estimating Administrator with relevant permission, I can approve requests so that estimates are initiated in the software.
• As an Estimating Manager / Estimating Administrator with relevant permission, I can assign estimators / reviewers to approved requests so that the estimate can be worked on and progressed.
• Software notifies assigned estimator and requestor when a request is approved, and estimate is initiated.</t>
  </si>
  <si>
    <t>As a user I want to be able to identify an estimate as belonging to the "do-something" or the "do-minimum" scenario.</t>
  </si>
  <si>
    <t>• As a CCET user, I can select a ‘Scenario’ when submitting estimate requests so that I can specify if the request is for a ‘with scheme’ or ‘without scheme’ type estimate.
• As a CCET user, I can see the ‘Scenario’ of the estimate after the estimate is initiated</t>
  </si>
  <si>
    <t>Linked to FR 160, the software should create standard folder structure in the database/cloud where respective data is stored.
EMs rather than sending attachment can send links to the files stored in database/cloud specific to the estimate.</t>
  </si>
  <si>
    <r>
      <t xml:space="preserve">• Software creates a standard documentation folder after an estimate request is approved and the estimate is initiated.
</t>
    </r>
    <r>
      <rPr>
        <sz val="12"/>
        <color rgb="FFFF0000"/>
        <rFont val="Arial"/>
        <family val="2"/>
      </rPr>
      <t>• As an Estimating Manager / Estimating Administrator with relevant permission, I can include links to documents in the folders stored in software database/cloud specific to the estimate.
• As an Estimating Manager / Estimating Administrator with relevant permission, I can send links to documents in the folders stored in software database/cloud to project specific users.</t>
    </r>
  </si>
  <si>
    <t>As an estimating manager, I want to be able to enter estimate specific reviewers and approvers for an estimate, but also control the final approver of an estimate (e.g. through an administrator setting) so that this is limited to staff of appropriate authority to authorize the estimate for issue.</t>
  </si>
  <si>
    <t>• As an Estimating Manager / Estimating Administrator with relevant permission, I can assign reviewers so that estimates initiated from approved requests are reviewed by relevant users.
• As an Estimating Administrator, I can set up and manage the list of final approvers for an estimate so that only the relevant users have the authority to provide final approval.</t>
  </si>
  <si>
    <t>The system is to allow estimate reviewers and approvers to be configured for all estimates (note carbon reviewers and approvers may be different staff than cost estimates).</t>
  </si>
  <si>
    <t>• As an Estimating Manager / Estimating Administrator with relevant permission, I can assign multiple reviewers so cost and carbon specifics of the estimate can be reviewed separately by the right reviewers.</t>
  </si>
  <si>
    <t>See 1860 and additional FR entered under that FR. Need to be able to see by who and when each individual estimate has been reviewed / approved. This will allow an Estimating manager to review progress and status of the estimate.</t>
  </si>
  <si>
    <t>• As a CCET user, I can view the status of estimate requests and estimate reviews so that I can track the progress of estimates.
• As a CCET user, I can view the name of each reviewer and approver who has approved an estimate with the date of each approval.</t>
  </si>
  <si>
    <r>
      <t>• As a CCET user, I can view reports / dashboards by estimate status so that I can track the progress of estimates a</t>
    </r>
    <r>
      <rPr>
        <sz val="12"/>
        <color rgb="FFFF0000"/>
        <rFont val="Arial"/>
        <family val="2"/>
      </rPr>
      <t>cross estimate workflow milestones.</t>
    </r>
    <r>
      <rPr>
        <sz val="12"/>
        <color theme="1"/>
        <rFont val="Arial"/>
        <family val="2"/>
      </rPr>
      <t xml:space="preserve">
• As a CCET user, I can see the status of each estimate in the estimate browser</t>
    </r>
  </si>
  <si>
    <t>Assign approvers and reviewers to an estimate (cost and carbon).</t>
  </si>
  <si>
    <t>• As an Estimating Manager / Estimating Administrator with relevant permission, I can assign multiple reviewers so cost and carbon specifics of the estimate can be reviewed separately by the right reviewers.
• As an Estimating Administrator, I can setup and maintain the list of users authorised to approve estimates so that estimators can assign estimates to authorised users only for approval.</t>
  </si>
  <si>
    <t>Estimating managers should be able to see a summary description alongside previous v/s proposed estimate comparisons to explain the cost movement for each cost heading and this data needs to be stored.</t>
  </si>
  <si>
    <r>
      <t xml:space="preserve">• As </t>
    </r>
    <r>
      <rPr>
        <strike/>
        <sz val="12"/>
        <color theme="1"/>
        <rFont val="Arial"/>
        <family val="2"/>
      </rPr>
      <t>a CCET user</t>
    </r>
    <r>
      <rPr>
        <sz val="12"/>
        <color theme="1"/>
        <rFont val="Arial"/>
        <family val="2"/>
      </rPr>
      <t xml:space="preserve">, I can generate a summary estimate comparison report of a selected estimate versus the last approved estimate for that project
• As a CCET user, I can enter Comments to estimates </t>
    </r>
    <r>
      <rPr>
        <sz val="12"/>
        <color rgb="FFFF0000"/>
        <rFont val="Arial"/>
        <family val="2"/>
      </rPr>
      <t>Cost element level</t>
    </r>
    <r>
      <rPr>
        <sz val="12"/>
        <color theme="1"/>
        <rFont val="Arial"/>
        <family val="2"/>
      </rPr>
      <t xml:space="preserve"> available to me so that I can provide more information such as summary descriptions.
• As a CCET user, I can view estimate comments</t>
    </r>
    <r>
      <rPr>
        <sz val="12"/>
        <color rgb="FFFF0000"/>
        <rFont val="Arial"/>
        <family val="2"/>
      </rPr>
      <t xml:space="preserve"> at Cost element level</t>
    </r>
    <r>
      <rPr>
        <sz val="12"/>
        <color theme="1"/>
        <rFont val="Arial"/>
        <family val="2"/>
      </rPr>
      <t xml:space="preserve"> in a Comparator interface so that I can view and compare explanations for cost / carbon movements.</t>
    </r>
  </si>
  <si>
    <t>• As an Estimating Administrator, I can setup and maintain a release email template so that relevant email content is sent out with issued estimates.
• As an Estimating Administrator, I can setup and maintain separate ‘mandatory’ and ‘optional’ checklists for deliverables/outputs for each estimate type so that the complete release pack is available for issued estimates.
• As an estimator, I can provide custom deliverables so that issued estimates can have additional information.
• As an estimator, I can modify the auto-generated release email text so that I have the required flexibility.
• Release email contains SharePoint links to the documentation folder that contains the estimate outputs.</t>
  </si>
  <si>
    <t>• Software generates estimate approval form (CE300) automatically on estimate approval for estimate types in FR10.
• CE300 form will be specific to estimate types in FR10.
• CE300 forms can be exported to PDF.</t>
  </si>
  <si>
    <t>This is not created in the software, it is produced outside the software, however the AAS document needs to be included with the automated release email from software and stored in estimate database/cloud.</t>
  </si>
  <si>
    <r>
      <t xml:space="preserve">• As an Estimating Administrator, I can setup and maintain separate ‘mandatory’ and ‘optional’ checklists for deliverables/outputs for each estimate type so that the complete release pack is available for issued estimates </t>
    </r>
    <r>
      <rPr>
        <sz val="12"/>
        <color rgb="FFFF0000"/>
        <rFont val="Arial"/>
        <family val="2"/>
      </rPr>
      <t>to release with the estimate.</t>
    </r>
    <r>
      <rPr>
        <sz val="12"/>
        <color theme="1"/>
        <rFont val="Arial"/>
        <family val="2"/>
      </rPr>
      <t xml:space="preserve">
• As an estimator, I can provide custom deliverables such as AAS documents </t>
    </r>
    <r>
      <rPr>
        <sz val="12"/>
        <color rgb="FFFF0000"/>
        <rFont val="Arial"/>
        <family val="2"/>
      </rPr>
      <t>to be stored in the estimate database / cloud, which are included in the release email for release of approved estimates to requestors.</t>
    </r>
    <r>
      <rPr>
        <sz val="12"/>
        <color theme="1"/>
        <rFont val="Arial"/>
        <family val="2"/>
      </rPr>
      <t xml:space="preserve"> </t>
    </r>
    <r>
      <rPr>
        <strike/>
        <sz val="12"/>
        <color theme="1"/>
        <rFont val="Arial"/>
        <family val="2"/>
      </rPr>
      <t>so that rating information is available for issued estimates.</t>
    </r>
  </si>
  <si>
    <t>• Software generates release forms (CE300) automatically on estimate approval for estimate types in FR10.
• CE300 form will be specific to estimate types in FR10 and will include the lifecycle stage - New Construction, M&amp;R, AR.
• CE300 form includes images, graphs and tables.
• CE300 forms can be exported to PDF.</t>
  </si>
  <si>
    <t>Estimate submissions need to be time stamped.</t>
  </si>
  <si>
    <t>• As a CCET user, I can view timestamps on estimates so that I know when the estimate was submitted for review.</t>
  </si>
  <si>
    <t>As a system user, I want to be able to quickly see just the approved estimates within the "Estimate Browser" so I can quickly select and open the approved estimate for a scheme.</t>
  </si>
  <si>
    <t>• As a CCET user, I can filter estimates by status in the Estimate Browser so that I can find approved estimates quickly.
• As a CCET user, I can select which fields/columns are displayed in the Estimate Browser so that I can use the screen space to view relevant data.
• As a CCET user, I can open any estimate available/accessible to me in the Estimate Browser so that I can see the estimate details.</t>
  </si>
  <si>
    <t>Develop Estimate sign off form.</t>
  </si>
  <si>
    <t>• Software generates release forms (CE300) automatically on estimate approval.
• CE300 form will be specific to the lifecycle stage - New Construction, M&amp;R, AR.
• CE300 forms can be exported to PDF.
• See FRs 210, 170 and any other related to this FR.</t>
  </si>
  <si>
    <t>• Software generates a separate Carbon estimate approval form (Carbon CE300) automatically on estimate approval for estimates types included in FR10.
• Carbon CE300 form will be specific to estimates types included in FR10 and to the lifecycle stage - New Construction, M&amp;R, AR.
• Carbon CE300 form will contain only Carbon data from the estimate, not Cost.
• Carbon CE300 form can include images, graphs and tables.
• Carbon CE300 form can be exported to PDF.</t>
  </si>
  <si>
    <t>On the approval form, a user would be required to assign approvers, e.g. Approver 1,2,3 and the associated user. Except for PM's</t>
  </si>
  <si>
    <t>• As an Estimating Administrator, I can set up and manage the list of final approvers for an estimate so that only the relevant users have the authority to provide final approval.
• As an CCET user / Estimator, I can assign an estimate to an authorised approver so that the estimate can be approved after it passes all the required reviews.</t>
  </si>
  <si>
    <t>Record the role and name of the estimate reviewer and approver.</t>
  </si>
  <si>
    <t>• As a CCET user, I can see the status of estimate reviews in the Estimate Browser so that I can track my estimates.
• As a CCET user, I can see the reviewers / approvers assigned to an estimate so that I have the required information.</t>
  </si>
  <si>
    <t>Enable results from a controlled asphalt calculator to be used in the software to produce carbon emission factors for specific design mixes to satisfy quality requirements (using existing ASPECT model and similar build to existing concrete calculator on Circular Ecology web-enabled system).</t>
  </si>
  <si>
    <t>• As an estimator I can download the latest version of the calculator from the landing page.
• As an estimator I can open the calculator and launch the Excel Add-in to connect to CCET.
• As an estimator I can change values in the calculator and with one-click get the Cost and Carbon values for the calculated BOQ Item/Resource quantities.</t>
  </si>
  <si>
    <t>Enable results from a controlled concrete calculator to be used in the software to produce carbon emission factors for specific design mixes to satisfy quality requirements (using similar build to existing concrete calculator on Circular Ecology web-enabled system).</t>
  </si>
  <si>
    <t>• As an estimator I can import the BOQ from the calculator into CCET via the Excel Add-in.
• As an estimator I can also upload the calculator as a document to the estimate.
• As an estimator or model administrator I can configure any model which produces a BOQ with Items and Quantities to work with the Excel Add-in.</t>
  </si>
  <si>
    <t>Enable results from a steel calculator to be used in the software to produce carbon emission factors for specific design mixes to satisfy quality requirements (using similar build to existing concrete calculator on Circular Ecology web-enabled system).</t>
  </si>
  <si>
    <t>• As a calculator/model administrator I can output just Items or Items with alternative Resource build-ups in the BOQ to support resource variations for multiple mix variations.</t>
  </si>
  <si>
    <t>NFR_SEC.04</t>
  </si>
  <si>
    <t>NFR_SEC.04 - The allocation and use of privileged access rights shall be restricted and controlled.</t>
  </si>
  <si>
    <t>• The System must ensure access to all electronic records and functionality are restricted to authorised personnel only via an Active Directory Federation aware application, supporting distributed authentication and authorisation of services.
• Addin for excel will required NH administrator approvals to install. This is managed by National Highways.</t>
  </si>
  <si>
    <t>NFR_SEC.23</t>
  </si>
  <si>
    <t>NFR_SEC.23 - Administration roles and amendment of configuration as well as password expiry</t>
  </si>
  <si>
    <t>• The System must provide administration rights and usernames with the expiry of passwords.
• The Customer will have the facility to create amend or deactivate predetermined configuration items within the system. Deletion of configuration items should not be possible so that referential integrity is maintained.
• Administration roles will be assigned to named individuals and the Supplier will be responsible for the maintenance of any accounts issued to administrators up to and including their deletion when they are no longer required.</t>
  </si>
  <si>
    <t>NFR_SEC.24</t>
  </si>
  <si>
    <t>NFR_SEC.24 - Compliance with CESG guidelines regarding erasure of data</t>
  </si>
  <si>
    <t>• The Supplier must ensure that Customer data is erased when resources are moved or re-provisioned, when they leave the Service or when requested by the Customer, using a secure erasure process. This must be in accordance with the CESG's Guidelines on Destruction and Disposal of Sensitive Data, assured by independent validation of assertion.</t>
  </si>
  <si>
    <t>NFR_SEC.25</t>
  </si>
  <si>
    <t>NFR_SEC.25 - Notification of the Customer of security event and recovery of Customer information.</t>
  </si>
  <si>
    <t>• In the event of a Security Incident on the System, resulting in the loss of Customer data, the Supplier must notify the Customer immediately and if requested, restore the data from a known recovery point.
• The solution must allow for a contingency back up of data to avoid loss/damage in the event of unexpected system problems.</t>
  </si>
  <si>
    <t>Administrators can edit a library of ‘Estimate Output Types’ that states the lifecycle stages which the Estimate Shell covers for a selected Estimate Output Type.</t>
  </si>
  <si>
    <t>Administrators can edit a library of ‘Estimate Output Types’ containing the configurable estimate template to be used to set the estimate’s work breakdown structure for each lifecycle stage for a selected Estimate Output Type.</t>
  </si>
  <si>
    <t xml:space="preserve">When a Request for Estimate is approved for a selected type of estimate, the Estimate Shell is populated with the WBS exactly as per the Estimate Template(s) for the lifecycle stages covered by that Estimate Type </t>
  </si>
  <si>
    <t>For estimates that are for standalone schemes / M&amp;R contracts (over shorter timescales, e.g. less than 10 years) expenditure profiles should be available by month.  For longer term estimates required for whole life cost over longer assessment periods (e.g. 60 years) expenditure data should be available by year.</t>
  </si>
  <si>
    <t xml:space="preserve">Administrators can store and edit default expenditure profiles for Operation and Maintenance works in an Expenditure Profile library. </t>
  </si>
  <si>
    <t xml:space="preserve">Each default expenditure profile in the Operation and Maintenance works' Expenditure Profile library will have a unique reference or name. </t>
  </si>
  <si>
    <t>The library expenditure profiles for standalone Operation and Maintenance works / contracts store an editable percentage value for each month of a calendar year: January, February, March,…. December.  The software shall validate that the percentages for the calendar year sum to 100% before a default expenditure profile can be saved in the library.</t>
  </si>
  <si>
    <t>When Estimators select a default expenditure profile to be applied to Operation and Maintenance works items in an estimate, the cost and carbon expenditure of that item for each month will exactly match the percentages stored in the default expenditure profile in the library.</t>
  </si>
  <si>
    <t>The Estimator can edit a data field for each Item in an estimate and enter an ICMS code reference in this field.</t>
  </si>
  <si>
    <t>Each item in an item library has a data field that can be used to hold the default ICMS category code for that Item.</t>
  </si>
  <si>
    <t>A user can select an estimate and run a report that reports the estimated cost by ICMS category and carbon by ICMS Category and PAS2080 module.  The report of estimated costs is ordered by ICMS category order.</t>
  </si>
  <si>
    <t>Default carbon emission factors for standard Labour, plant, materials, and subcontractor resources are stored in Resource Library / Libraries, with editable fields holding carbon emission factors aligned to PAS 2080:2023 Carbon Management in Infrastructure.</t>
  </si>
  <si>
    <t>An Estimator can create an Item in an estimate, and produce a build-up of Resources for that Item.  The Resource build-up can be a full first-principles build up of labour, plant and materials resources, or it can be a unit rate with a single Resource linked to the Item description to create an Item rate.</t>
  </si>
  <si>
    <t>Whole life Carbon calculated in software in accordance with PAS2080 with necessary sub modules as discussed and provided by Circular Ecology.</t>
  </si>
  <si>
    <t>The CCET carbon libraries hold data at the granularity of PAS 2080 modules / sub-modules set out in reference document "W.16 - Modules for Whole Life Carbon and alignment to latest RICS guidance.xls" provided by Circular Ecology</t>
  </si>
  <si>
    <t xml:space="preserve">Software should allow library / user input of negative carbon factors in the modules suggested by Circular Ecology, e.g. landscaping, lands, 3rd Party income, Module D(if being delivered in scope) </t>
  </si>
  <si>
    <t>The carbon libraries can hold negative carbon emission factors for each module and sub-module.</t>
  </si>
  <si>
    <t>The CCET identifies whether a Resource in an estimate is linked to a library or delinked.</t>
  </si>
  <si>
    <t>As a user, I want the ability to plug carbon factor at an item rate level manually, which is delinked from the resource build-up for that item.</t>
  </si>
  <si>
    <t>An Estimator can "delink" the resources in an Item from the Resource Library, so that the Resource Rate is not updated by any change in the library value and can be edited by the Estimator.</t>
  </si>
  <si>
    <t>An Estimator can create an Item and create a unit rate with a single Resource that a carbon factor can be manually entered (or "plugged") by the Estimator to create an Item rate.</t>
  </si>
  <si>
    <t>For an Item/Resource, if the carbon data is not found in the carbon library then use the cost to carbon factor to  generate the impacts for all PAS2080 modules.  Software should allow this to be done in two ways - 1) allow cost to carbon factors to be included in library(baseline/project specific) for auto allocation 2) Allow plugged in resource or item level cost to carbon factors to be plugged in the estimate.</t>
  </si>
  <si>
    <t xml:space="preserve">The CCET holds cost-to-carbon factors in carbon data libraries at Resource level with an assigned Resource Group.  </t>
  </si>
  <si>
    <t>The cost-to-carbon factors in libraries can assign data for each of the PAS 2080 modules set out in FR 470.</t>
  </si>
  <si>
    <t>Record C1 at the project level using a placeholder and a configurable calculation to generate C2</t>
  </si>
  <si>
    <t>An Estimator can manually enter the estimated total carbon impact for PAS 2080 Module C1 for the whole project.</t>
  </si>
  <si>
    <t>An Estimator can generate an estimated total carbon impact for PAS 2080 Module C2 for the whole project by setting up an Item with configurable calculation and project variables.</t>
  </si>
  <si>
    <t>Record C1 emission factors at the Resource level, and generate calculations</t>
  </si>
  <si>
    <t>Carbon Libraries for New Construction lifecycle Stage (PAS 2080 Before Use) can store data for module C1, as well as the PAS 2080 Stage A modules.</t>
  </si>
  <si>
    <t>When producing a Capex PAS2080 stage A, the library will need to populate the Stage C2-C4 emission factors</t>
  </si>
  <si>
    <t>Carbon Libraries for New Construction lifecycle Stage (PAS 2080 Before Use) store data for modules C2, C3, C4 as well as the PAS 2080 Stage A modules.</t>
  </si>
  <si>
    <t>As an Estimator I need to be able to apply the latest contractual Routine Maintenance activity unit rate for the relevant Area. This unit rate library will be stored for each Area and updated on an annual basis.</t>
  </si>
  <si>
    <t>The CCET can hold Item rate libraries for Operation and Maintenance lifecycle works.</t>
  </si>
  <si>
    <t>The CCET 's Item libraries for O&amp;M works can hold current contractual Item rates.</t>
  </si>
  <si>
    <t>The CCET can hold Area-Specific libraries for O&amp;M works.</t>
  </si>
  <si>
    <t> 751</t>
  </si>
  <si>
    <t>As an Estimator I need a "generic - NH level" first principles resource build-up for each Routine Maintenance activity unit rate, which is decoupled from the contractual Routine Maintenance activity unit rate. This "generic" resource build-up will be used for carbon and resource forecasting.
The software will have the capability to replace these "generic" unit build-ups with Area specific build-ups over time and link to the Item unit rate.</t>
  </si>
  <si>
    <t>The Items in an item library may have a detailed resource build-up of labour, plant, materials, and / or subcontractor resources, or an item may be a simple unit cost/carbon rate with  only a subcontractor resource in the Item.</t>
  </si>
  <si>
    <t>Administrators can edit an Item library and replace a generic Item rate build-up with a build-up that is specific to an O&amp;M Area</t>
  </si>
  <si>
    <t xml:space="preserve">As an Estimator, I want to be able to associate items of work (and their underlying resources and the costs and carbon impact) with an asset class so that I can report the capex and Opex and renewals works (individually and combined) by asset class.
Similarly, I want to be able to associate items of work (and underlying resources / costs / carbon) with alternative breakdown structures' coding so that I can report the estimate by these breakdown structures, e.g. ICMS, CESMM </t>
  </si>
  <si>
    <t>The CCET Item libraries (for all lifecycle stages) include a field to hold the default asset for that Item of works</t>
  </si>
  <si>
    <t>When a library Item is selected to allocate that library Item to the Item in an estimate, the default asset held in the library is allocated to the Item in the estimate.</t>
  </si>
  <si>
    <t>The CCET Item libraries (for all lifecycle stages) include fields to hold the default ID or code for an alternative breakdown structure for that Item of works</t>
  </si>
  <si>
    <t>When a library Item is selected to allocate that library Item to an Item in an estimate, the default ID or code for each alternative breakdown structure held in the library for the item are allocated to the Item in the estimate.</t>
  </si>
  <si>
    <t>The Item libraries in the CCET for O&amp;M works have a field to store the default annual intervention frequency for that Item (O&amp;M activity).</t>
  </si>
  <si>
    <t>When a library Item is selected to allocate a rate to an Item (O&amp;M activity) in an estimate, the default annual intervention frequency held in the library for the item is allocated to the Item in the estimate.</t>
  </si>
  <si>
    <t xml:space="preserve">As an estimator, I need to produce an estimate for M&amp;R in accordance with the NH WBS for Routine Operation and Maintenance, covering:_x000B_dedicated Cost Elements for O&amp;M - the library would require to store the WBS for the M&amp;R estimate to cover the below.
- Cyclical Duties
- Non - Cyclical Duties 
- Cost Reimbursable Services </t>
  </si>
  <si>
    <t>The CCET holds a configurable 'Estimate Output Type' library that contains the following data for each Estimate Type:</t>
  </si>
  <si>
    <t>- the lifecycle stages covered by that Estimate Output Type</t>
  </si>
  <si>
    <t>- for each applicable lifecycle stage, the ID of the ‘estimate template’ that is to populate the estimate shell for that Estimate Output Type</t>
  </si>
  <si>
    <t>The CCET libraries hold configurable ‘estimate templates’ that hold the template WBS for each lifecycle stage for each Estimate Type.</t>
  </si>
  <si>
    <t>The CCET libraries’ estimate templates can be configured to NH standard WBS for a given lifecycle stage</t>
  </si>
  <si>
    <t>When a user selects an Estimate Output Type at estimate initiation, estimate shells are created for the correct lifecycle stages and are populated with the selected estimate template’s WBS.</t>
  </si>
  <si>
    <t>Dedicated Cost Elements for O&amp;M - the library would require to store the WBS for the M&amp;R estimate to cover the below.
- Cyclical Duties
- Non - Cyclical Duties 
- Cost Reimbursable Services 
- Task Orders  
See FR 820</t>
  </si>
  <si>
    <t>- for each applicable lifecycle stage, the ID of the ‘estimate template’ that is to populate the estimate shell for that Estimate Type</t>
  </si>
  <si>
    <t>The CCET libraries hold configurable ‘estimate templates’ that hold the template WBS for each lifecycle stage for each Estimate Output Type.</t>
  </si>
  <si>
    <t>When a user selects an Estimate Output Type at Estimate Initiation, Estimate Shells are created for the correct lifecycle stages and are populated with the selected estimate template’s WBS.</t>
  </si>
  <si>
    <t>The CCET has an administrator-controlled library of default expenditure profiles for O&amp;M estimates</t>
  </si>
  <si>
    <t>The CCET expenditure profiles library contains expenditure profiles with a default percentage of works for each calendar month.  The aggregate percentages must be 100% or the CCET will not allow the expenditure profile to be saved in the library.</t>
  </si>
  <si>
    <t xml:space="preserve">When a user selects and applies a library expenditure profile in an O&amp;M estimate, the library expenditure profile is applied to the relevant O&amp;M Items (activities) in the estimate and the total quantity in a given month is equal to the annual number of interventions multiplied by the that month's percentage of total expenditure stored in the library profile.  </t>
  </si>
  <si>
    <t>For long-term appraisal estimates, quantities and expenditure are shown for each year.</t>
  </si>
  <si>
    <t>An administrator can upload expenditure profiles to the library using a template in MS Excel for ease of upload.4</t>
  </si>
  <si>
    <t>An administrator can download the expenditure profile library to MS Excel.</t>
  </si>
  <si>
    <t>Inflation - Apply monthly inflation indices to Item rates in base estimate to generate inflated estimates for each year across the assessment period (where assessment period is 5 years or less) - then summarise at a yearly level (for longer assessment periods)_x000B_See FR 870</t>
  </si>
  <si>
    <t>The CCET has an administrator-controlled library of default inflation indices</t>
  </si>
  <si>
    <t xml:space="preserve">The CCET inflation indices' library contains indices with an index value for each month.  </t>
  </si>
  <si>
    <t xml:space="preserve">When a user selects and applies an inflation index from the library to apply to an O&amp;M estimate, the software calculate the correct inflation factor for the selected index from the estimate base date is the estimated expenditure date.  This factor is applied to the relevant O&amp;M Items (activities) in the estimate and the inflation allowance for each month is calculated from the estimate base date to the relevant month.  </t>
  </si>
  <si>
    <t>For long-term appraisal estimates, inflation factors are shown for each year.</t>
  </si>
  <si>
    <t>An administrator can upload inflation indices to the library using a template in MS Excel for ease of upload.</t>
  </si>
  <si>
    <t>An administrator can download the inflation indices' library to MS Excel.</t>
  </si>
  <si>
    <t>The O&amp;M Item library contains a field for each Operation and Maintenance Item ("activity") that stores a default PAS 2080 module for the Item.</t>
  </si>
  <si>
    <t xml:space="preserve">The system should be able to store Cost to Carbon factors at a base date and apply these factors to resources in an estimate in order to plug gaps - i.e. resources with no carbon emission factor in the library </t>
  </si>
  <si>
    <t>Cost-to-carbon factors are adjusted for inflation, at the point where they are brought into an estimate from the carbon library, to match the base date of the estimate.</t>
  </si>
  <si>
    <t>For assessment of Asset Renewal costs associated with the CAPEX scheme (1), as an Estimator I need the software to apply relevant renewal unit rates to the asset quantities input by the Estimator within the long term OPEX assessment .  In addition to these unit rates, there will be a top down inclusion for Prelims, TTM, Design, SU and Other costs.
For assessment of Asset Renewal costs associated with the CAPEX scheme, as an Estimator I need to be able to tag Asset Renewal quantities and associated activities as either New, Remove or Renewed within the software
The all-in composite rates shall be stored and maintained in a dedicated library.</t>
  </si>
  <si>
    <t>The Items within the CCET Item libraries are configurable by an administrator.  The administrator can store Item rates in the library that are composite rates (for example including allowances for indirect costs such as traffic management, utilities or other costs).</t>
  </si>
  <si>
    <t>The administrator can create a dedicated library for composite rates.</t>
  </si>
  <si>
    <t>Composite rates can be created for any lifecycle stage.</t>
  </si>
  <si>
    <t xml:space="preserve">The identification of asset renewals quantities as new assets / removed assets / renewed assets / existing assets is explained in SRS Chapter 5, Asset Renewals Estimating and is outside the scope of SRS Chapter 11, Data Libraries. </t>
  </si>
  <si>
    <t>* Please refer to FR10 for related functional requirements and acceptance criteria for the application of the Item for the correct quantity band for Asset Renewals works.</t>
  </si>
  <si>
    <t>As an Estimator I need to be able to produce a new first principal resource level build-up for an activity not included within the NH Asset Renewal Item library. The software should allow the user to build the new item using the NH Asset Renewal resource library. Each new Item should be able to be assigned to a specific Supplier engaged within the cost estimate.
Following a separate NH review/approval process the software  should allow the update of the Item library with approved "Star rates" for use in other Asset Renewal estimates_x000B_</t>
  </si>
  <si>
    <t>As an estimator, I want to make sure that the rate used from the library is correct where contractual rates vary with quantity bandings.   This can be addressed through correct configuration of the item library, where item descriptions identify the quantity band and library rates for that band can be auto-allocated to the item.  Each quantity banding is a separate item within the SDF Schedule of Rates , so a correctly produced SoI will account for quantity bandings.</t>
  </si>
  <si>
    <t>See acceptance criteria for FR1192.</t>
  </si>
  <si>
    <t xml:space="preserve">Items in an estimate can be tagged as "Star Rates", i.e. not part of an original set of Items for the project /  contract. </t>
  </si>
  <si>
    <t>Once “Star Rates” are approved these can added/duplicated into the specific library</t>
  </si>
  <si>
    <t>The CCET has an administrator-controlled library of default expenditure profiles for Asset Renewals estimates</t>
  </si>
  <si>
    <t>The CCET expenditure profiles library contains expenditure profiles with administrator-configurable descriptions.  Expenditure profiles can be created for specific scheme types or other characteristics.</t>
  </si>
  <si>
    <t xml:space="preserve">When a user selects and applies a library expenditure profile in an Asset Renewals estimate, the library expenditure profile is applied to the relevant Asset Renewals Items in the estimate.  </t>
  </si>
  <si>
    <t xml:space="preserve">Library expenditure profiles can be selected for each of the Asset Renewals project delivery lifecycle ("3D") stages </t>
  </si>
  <si>
    <t>An administrator can upload expenditure profiles to the library using a template in MS Excel for ease of upload.</t>
  </si>
  <si>
    <t xml:space="preserve">The Items within the CCET Item libraries are configurable by an administrator.  </t>
  </si>
  <si>
    <t>The administrator can store Item rates in the library that are top-down composite rates (for example including allowances for indirect costs such as traffic management, utilities or other costs).</t>
  </si>
  <si>
    <t>The administrator can store Item rates in the library that are first-principes bottom-up resource build-ups .</t>
  </si>
  <si>
    <t>See FR 1450 - Setup a "Long term AR" Item Library with "all in rates" (Periodic Items) with the internal Resource buildup and carbon, but without the variables (uplifts)</t>
  </si>
  <si>
    <t>The Items in the CCET Item libraries can contain variables and calculations that change the Item rate depending on an estimator's input for the variables.  Variables can cover scheme-specific details such as working time, working day and season.</t>
  </si>
  <si>
    <t xml:space="preserve">The Items in CCET Item libraries can contain Resource build-ups without variables and calculations, i.e. that do not need an estimator's input for a Variable.  </t>
  </si>
  <si>
    <t>See FR 1450 - Assumed renewal periods need to apply to the spend profile levels</t>
  </si>
  <si>
    <t>The CCET can store a library of asset renewal frequencies for long-term appraisal estimates.</t>
  </si>
  <si>
    <t>An estimator can apply a library's default asset renewal frequency to an Item or multiple Items in along-term appraisal estimate and the spend profile will automatically populate the Item quaintly in the years matching the library asset renewal frequency</t>
  </si>
  <si>
    <t>As an estimator, I need to produce TOTEX cost estimates that show estimated costs with and without discounting, and with / without relative price growth and the option to apply market adjustment factors or not.  The discount factors and relative price growth factors applied in the estimate should be clearly presented to users and in reports.</t>
  </si>
  <si>
    <t>The CCET stores a library of default discount rates for application to estimates and calculation of net present value.</t>
  </si>
  <si>
    <t>Discount rates are stored on an annual basis.</t>
  </si>
  <si>
    <t>An estimator selects a set of discount rates for application to an estimate and costs are presented with and without discounting.</t>
  </si>
  <si>
    <t>The CCET stores default deflation indices in a library for application to estimates and calculation of net present value.</t>
  </si>
  <si>
    <t>An Estimator selects a deflation index from the CCET library and the deflation factors is calculated for the index from the estimated time of expenditure to a base date for NPV assessment specified by the estimator, and factors automatically applied to the estimated outturn costs.</t>
  </si>
  <si>
    <t>The inflation, deflation and discount factors used in an estimate are clearly stated in a report for the estimate.</t>
  </si>
  <si>
    <t xml:space="preserve">Ability to apply the existing library resources and cost to carbon factors in a quick and efficient way </t>
  </si>
  <si>
    <t xml:space="preserve">Cost-to-carbon factors can be applied through automation to Resources without a carbon emission factor in an estimate, by applying the cost-to-carbon factors to the Resource Groups of those Resources. </t>
  </si>
  <si>
    <t>This feature is already available, the contractor will then load an EPD, and once the authority validates the new resource carbon value, the updated resource will become available in the Dynamic Carbon Library</t>
  </si>
  <si>
    <t>The CCET contains a Dynamic Carbon Library of carbon emission factors for NH-assured low carbon products supported by evidence such like EPDs or similar documentation.</t>
  </si>
  <si>
    <t>The Dynamic Carbon Library can be applied to an estimate to produce an assessment of the carbon impact at current carbon emission factors, i.e., carbon impact for the delivery using current practice (rather than at the Carbon Baseline Library Date)</t>
  </si>
  <si>
    <t>A Project User can access the Dynamic Carbon Library when preparing a forecast for submission and copy a Resource and carbon data to the project-specific library for use in the forecast.</t>
  </si>
  <si>
    <t>A carbon emission factor proposed for a Resource by a supplier in a specific estimate can be copied to the Dynamic Library by a CCET Administrator if approved by National Highways.</t>
  </si>
  <si>
    <t>Ability to set the Base Carbon library date for 2020 for cost to carbon factors. When a user enters cost to carbon factors, the library must calculate off the 2020 date (otherwise inflation will skew the carbon numbers)</t>
  </si>
  <si>
    <t>The CCET contains a Baseline Carbon Library of carbon emission factors for Resources at a specified base date.</t>
  </si>
  <si>
    <t>The Baseline Carbon Library can be applied to an estimate to produce an assessment of the carbon impact at the specified baseline carbon emission factors, i.e. the carbon impact for the delivery at the Baseline Library Date</t>
  </si>
  <si>
    <t xml:space="preserve">The CCET stores Baseline Cost-to-Carbon factors at the baseline date.  When these are applied to an estimate, they are adjusted for inflation to the cost estimates base date. </t>
  </si>
  <si>
    <t>An Administrator can set and edit the base date for the baseline carbon libraries to a month and year of their choosing.</t>
  </si>
  <si>
    <t>Ability to display an estimate-specific Resource Library, with cost and carbon factors</t>
  </si>
  <si>
    <t>The CCET contains an estimate-specific dataset of the Resources in a specific estimate and their cost and carbon rates.</t>
  </si>
  <si>
    <t>An Estimator can produce a report and export of the Resources in a specific estimate and their cost and carbon rates.</t>
  </si>
  <si>
    <t>Ability to bulk upload of assured carbon factors, cost to carbon factors and EPDs to project-specific library and Dynamic Carbon Library</t>
  </si>
  <si>
    <t>An Administrator can upload Dynamic Carbon Library carbon factors and supporting data in bulk using an Excel template to upload the data efficiently.</t>
  </si>
  <si>
    <t>An Administrator can upload Dynamic Carbon Library cost-to-carbon factors and supporting data in bulk using an Excel template to upload the data efficiently.</t>
  </si>
  <si>
    <t>A CCET user can upload estimate specific carbon factors and supporting data in bulk using an Excel template to upload the data efficiently.</t>
  </si>
  <si>
    <t>A CCET user can upload estimate specific cost-to-carbon factors and supporting data in bulk using an Excel template to upload the data efficiently.</t>
  </si>
  <si>
    <t>An efficient process to add resources to the Project specific library - if a resource is not available within the library and the contractor requires a new resource, the request will be sent through to NH as a new resource request to be update in the WBS e.g. Bulk Upload functionality</t>
  </si>
  <si>
    <t>A CCET user can request National Highways add project-specific Resources in bulk to a library for use in estimates by populating a template and issuing this request to a National Highways Administrator.</t>
  </si>
  <si>
    <t>A National Highways Administrator can receive a request from a Project User to add multiple Resources to a CCET library and can approve / reject Resources and add the approved Resources to the respective library.</t>
  </si>
  <si>
    <t>Bulk approve EPD / emission factors for Resources within the dynamic library</t>
  </si>
  <si>
    <t>A National Highways Administrator receives a request from CCET users to add Resources, carbon emission factors and supporting data to the Dynamic Carbon Library in the CCET library and can select Resources from the list that are approved and are added to the library.</t>
  </si>
  <si>
    <t>Develop a controlled process to migrate / re-use Carbon emission factors for resources / items from one library to another</t>
  </si>
  <si>
    <t>Carbon Emission Factors can be transferred from one Carbon Resource Library to another by an Administrator.</t>
  </si>
  <si>
    <t>Library to record decarbonisation factors per year, till 2050 (TBC, depending on definition of process)</t>
  </si>
  <si>
    <t>The CCET stores decarbonisation factors for each year from 2020 to 2050 in a dedicated library.</t>
  </si>
  <si>
    <t>Maintain internal (assumed) Resource Library to derive carbon data (this must be separate from the Item Cost driven by the regionalised, contractual Item rate)</t>
  </si>
  <si>
    <t>The CCET stores multiple Resource libraries.</t>
  </si>
  <si>
    <t xml:space="preserve">An Estimator can select different Item and Resource libraries for the production of the carbon estimate from the libraries used to produce the cost estimate. </t>
  </si>
  <si>
    <t>The Item carbon library can contain generic national Item rate build ups and associated Resource rates.</t>
  </si>
  <si>
    <t>Search across all the EPDs in the Dynamic Library for best cost and carbon to make the optimal decision</t>
  </si>
  <si>
    <t>A CCET user with access to the Dynamic Library can search for Resources, carbon emission factors and supporting data using key words, Resource categories, Resource Groups and other data fields in the Dynamic Carbon Library.</t>
  </si>
  <si>
    <t xml:space="preserve">Dynamic library carbon Resources returned from a search can be sorted by carbon emission factor and / or cost rate in order to help identify lowest carbon/cost Resources. </t>
  </si>
  <si>
    <t>Establish a precedence process automatically using a stored Cost to Carbon factor when no carbon emission factor is found</t>
  </si>
  <si>
    <t>When the estimator selects a Resource carbon library to apply to an estimate, that library will assign carbon emission factors to each resource in the estimate that has a matching resource description in the library.</t>
  </si>
  <si>
    <t>The CCET will return a list of all the estimate's resources which have not been assigned a carbon emission factor from the selected Resource carbon library</t>
  </si>
  <si>
    <t>The CCET will prompt the Estimator with an option to assign cost to carbon factors for the Resources which have not been assigned a carbon emission factor from the selected Resource carbon library.  These will be applied using the Resource Group of those resources.</t>
  </si>
  <si>
    <t xml:space="preserve">Software to be configured to allow production of star items by area/regions per asset class with an identifier by supplier name and be available to be used on future estimates by applying automatically library or bottom up estimating. These star items should be made available from one region/area to other nationally. </t>
  </si>
  <si>
    <t>An Estimator can create an Item in an estimate using Resources from the relevant Resource library for that estimate, Item, Region and supplier.</t>
  </si>
  <si>
    <t>A new Items created in an estimate can be assigned to a Supplier and a region or all regions if the start item is to be made available nationally.</t>
  </si>
  <si>
    <t>Dedicated Cost and Carbon Resource Library</t>
  </si>
  <si>
    <t>The CCET contains dedicated Resource cost and carbon Libraries for each lifecycle costing stage</t>
  </si>
  <si>
    <t>Dedicated Item Library with Regionalised rates per Area, Contractor and with Uplifts plus Fees</t>
  </si>
  <si>
    <t>The Resource rates held in libraries, and Item rates resulting from the sum of Resources' costs, can vary by the Region</t>
  </si>
  <si>
    <t>The CCET stores multiple fees within either a dedicated library of fees, or within the individual supplier-specific rate libraries.</t>
  </si>
  <si>
    <t>Flag existing Items as Star Items</t>
  </si>
  <si>
    <t>Items in an Estimate can be tagged as "Star Rates", i.e. not part of an original set of Items for a supplier /  contract.</t>
  </si>
  <si>
    <t>Item Library for MR (with Regionalised rates per Area and Contractor)</t>
  </si>
  <si>
    <t>The CCET has dedicated Item and Resource Libraries of cost rates for the Operation and Maintenance lifecycle costing stages.</t>
  </si>
  <si>
    <t>The CCET has dedicated Resource Libraries of carbon emission factors and cost-to-carbon factors for the Operation and Maintenance lifecycle costing stages.</t>
  </si>
  <si>
    <t>Resource libraries (and resulting rates in Item Libraries) can be regionalised.</t>
  </si>
  <si>
    <t xml:space="preserve">Resource rates, and Item rates resulting from the sum of Resources' costs, can vary by the Region of the estimate. </t>
  </si>
  <si>
    <t>Need an efficient process to add resources to the baseline library</t>
  </si>
  <si>
    <t>An Administrator can upload Resources, their carbon factors and supporting data to the Baseline Carbon Library in bulk using an Excel template to upload the data efficiently.</t>
  </si>
  <si>
    <t>An Administrator can upload cost-to-carbon factors and supporting data to the Baseline Carbon Library in bulk using an Excel template to upload the data efficiently.</t>
  </si>
  <si>
    <t xml:space="preserve">Regionalised Library - Rates are awarded at a region (Item level) </t>
  </si>
  <si>
    <t>The CCET can store dedicated Resource Libraries for the Asset Renewal lifecycle stage.</t>
  </si>
  <si>
    <t>Record the required data/evidence that a contractor submits to add resources and emission factors to the library</t>
  </si>
  <si>
    <t>The CCET Resource libraries contain dedicated fields to store supporting evidence and audit trail data for each Resource  within the library, it's cost rate and carbon emissions factor.</t>
  </si>
  <si>
    <t>View additional evidence to see an audit trail on key carbon emissions</t>
  </si>
  <si>
    <t>Software should show all estimates and IFT revisions for FR 10 above to administrators, only the estimates and IFT assigned to estimators and only IFT(Cost and Carbon) / IFT(Cost and Carbon) revisions assigned to the project user(Designer/PM/Contractor). This will reduce the list to navigate and will only show what is available in the system for estimator and project user(Designer/PM/Contractor).</t>
  </si>
  <si>
    <t>The CCET will have an Estimate Browser that shows all National Highways estimates in the system for all lifecycle stages, subject to a user's permissions.</t>
  </si>
  <si>
    <t>All estimates in the CCET are visible to Administrators in the Estimate Browser.</t>
  </si>
  <si>
    <t>NH Estimators will only see those estimates in the Estimate Browser to which they have been granted permissions by an Administrator.</t>
  </si>
  <si>
    <t>Administrators can assign permissions for estimators to view estimates by the following: 
- by Region 
- by Portfolio 
- by Programme 
- by Project 
- by Estimator (only those estimates that are assigned to that Estimator)</t>
  </si>
  <si>
    <t>The CCET will have an Browser that shows all Project Users' forecasts in the system for all lifecycle stages, subject to a user's permissions.</t>
  </si>
  <si>
    <t>All Project Users' forecasts in the CCET are visible to Administrators in the Browser.</t>
  </si>
  <si>
    <t>Project Users and NH Estimators will only see those forecasts to which they have been granted permissions by an Administrator.</t>
  </si>
  <si>
    <t>Administrators can assign permissions for Project Users and NH Estimators to view forecasts by the following: 
- by Region 
- by Portfolio 
- by Programme 
- by Project 
- by Project User (only those forecasts that are assigned to that Project User or NH Estimator)</t>
  </si>
  <si>
    <t>Access Controls to lock the WBS of the carbon estimate down to cost element level</t>
  </si>
  <si>
    <t>The WBS, Items and Item quantities of a NH carbon estimate are identical to that of the corresponding NH cost estimate.</t>
  </si>
  <si>
    <t>Administrators can apply a setting so that Project User's submitting a carbon forecast, against a selected NH carbon estimate, cannot edit the WBS forecast from cost element upwards, i.e. project users can only edit / add / delete Items, edit Item quantities, Resources and Resource Quantities from the selected NH carbon estimate.</t>
  </si>
  <si>
    <t>Estimator-level Access Controls for B2-B5 carbon assumptions</t>
  </si>
  <si>
    <t>The CCET contains an administrator setting that controls whether estimators may edit library default carbon values or calculations for nested modules for PAS 2080 Stage B modules</t>
  </si>
  <si>
    <t>System should have permissions to control which Estimators can manually enter carbon factors</t>
  </si>
  <si>
    <t>The CCET contains an administrator setting that controls whether estimators may delink resources and edit carbon values from the carbon library used for the NH carbon estimate.</t>
  </si>
  <si>
    <t>Ability to compare the estimated cost with the outturn cost data for similar schemes at a section and cost element level. This is to ensure greater cost accuracy.</t>
  </si>
  <si>
    <t>Actual outturn costs for a project are entered to the CCET in a designated estimate, classified as an 'Actual Outturn Cost' or similar (configurable estimate classification).</t>
  </si>
  <si>
    <r>
      <t>The Estimator generates an estimate comparison report in the CCET, selecting the Actual Outturn Cost and another estimate, that presents estimated and actual outturn cost at Section, Cost Element</t>
    </r>
    <r>
      <rPr>
        <sz val="12"/>
        <color rgb="FFFF0000"/>
        <rFont val="Arial"/>
        <family val="2"/>
      </rPr>
      <t>,</t>
    </r>
    <r>
      <rPr>
        <strike/>
        <sz val="12"/>
        <color theme="1"/>
        <rFont val="Arial"/>
        <family val="2"/>
      </rPr>
      <t xml:space="preserve"> and</t>
    </r>
    <r>
      <rPr>
        <sz val="12"/>
        <color theme="1"/>
        <rFont val="Arial"/>
        <family val="2"/>
      </rPr>
      <t xml:space="preserve"> Item level </t>
    </r>
    <r>
      <rPr>
        <sz val="12"/>
        <color rgb="FFFF0000"/>
        <rFont val="Arial"/>
        <family val="2"/>
      </rPr>
      <t>and resource level</t>
    </r>
  </si>
  <si>
    <t>Library of common metrics specific to scheme type and characteristics that enable the user to review the estimate v/s the metrics</t>
  </si>
  <si>
    <t>The CCET contains an administrator-controlled library of configurable metrics holding benchmark values for each metric that are entered by the administrator.</t>
  </si>
  <si>
    <t>The benchmarking metrics library stores metrics for each scheme type that an Estimator can use to help review a cost estimate.</t>
  </si>
  <si>
    <t>The benchmarking metrics library stores the following data, directly entered by an administrator, for each metric: 
- Metric ID number 
- Metric description 
- Dividend cost 
- Divisor characteristic 
- Metric unit 
- Metric value 
- Metric price base 
- Lifecycle Stage 
- Scheme type</t>
  </si>
  <si>
    <t xml:space="preserve">When reviewing a cost estimate, an Estimator can generate a table on screen to compare the following for an estimate vs. the library values for stored benchmarking metrics: 
- Metric ID number 
- Metric description 
- Estimated dividend cost (entered by the Estimator) 
- Divisor characteristic value (entered by the Estimator) 
- Price base of the estimated dividend cost (entered by the Estimator) 
- Metric unit 
- Stored library value for metric 
- Price base of the library's value for the metric
</t>
  </si>
  <si>
    <t>The table of comparisons vs. benchmarking metrics can be saved and reported with a time and date stamp of the report's generation.</t>
  </si>
  <si>
    <t>Ability to ensure that the external data being used is the current data</t>
  </si>
  <si>
    <t>The CCET libraries of cost and carbon resource rates / carbon emission factors include audit trail records of the following for each resource: 
- Source data reference (e.g. hyperlink to external data source) 
- Date of last update 
- Evidence source
These records can be used to check whether library data matches the current external data.</t>
  </si>
  <si>
    <t>Set up validation checks for EPDs</t>
  </si>
  <si>
    <t>When an EPD is uploaded as the supporting evidence of a carbon emission factor for a resource, the following data fields are stored to record the validation of the EPD data for that resource: 
- EPD Validation Date 
- Reviewer 
- Data Source 
- Notes / Limitations 
- Next review date</t>
  </si>
  <si>
    <t>The CCET produces a report of data quality and validation status for all resources in a library, reporting the following fields for each resource: - Resource Code - Resource Description 
- Data Source 
- Validation Date 
- Notes / Limitations 
- Next Review Date 
- Data Quality Index Score</t>
  </si>
  <si>
    <t>Estimate Reviewers should see the provenance of the carbon factors against each resource in the BOQ. This is so that the reviewer can identify carbon factors from library, cost to carbon factors, and manually entered factors.</t>
  </si>
  <si>
    <t>When in a CCET carbon estimate, the NH Estimator, Estimating Managers and Administrators can see the carbon library used to produce the estimated carbon for each Item in a BoQ. Where cost-to-carbon factors and / or manually entered emission factors have been used in the build-up of estimated carbon for an Item, the report will identify the Items where "cost-to-carbon factors" and Items where rates have been "delinked" from a carbon library.</t>
  </si>
  <si>
    <t>The CCET generates a Resources by Item report for an estimate that includes the provenance of the carbon data used to calculate the estimated carbon value for that resource as follows: 
- Carbon emissions library 
- Cost-to-carbon factor 
- Delinked / manually entered</t>
  </si>
  <si>
    <t>The inflation index should be estimate-specific and the inflation indices used in the estimate must be stored with an Authorised and Completed estimate so that the user can identify which inflation profile was used</t>
  </si>
  <si>
    <t>When an estimate is 'Authorised', the inflation factors (from estimate base date to estimated time of expenditure) for each cost element will be 'locked' and will not be editable.</t>
  </si>
  <si>
    <t>The CCET generates a report of forecast expenditure for an Authorised estimate that includes the following for each cost element time period: 
- Estimated cost at estimate base date (excluding inflation) 
- Inflation factor 
- Inflation allowance 
- Estimated cost including inflation</t>
  </si>
  <si>
    <t>Use a decarbonisation deflation profile against different Cost element/resource groupings. This is so that the user can forecast the decarbonisation of an asset for e.g. 2030, 2040, 2050. (TBC, depending on definition of process)</t>
  </si>
  <si>
    <t>The CCET contains carbon deflation profile in an administrator-controlled library with the profile stored as an index value.</t>
  </si>
  <si>
    <t>The carbon deflation profile covers an overall time period of 200 years (the maximum assessment period for a estimate in the CCET)</t>
  </si>
  <si>
    <t>The Estimator can select a carbon deflation profile to apply to the total estimated carbon value for each cost element (base estimate and project, programme and portfolio risk) for a given time period.</t>
  </si>
  <si>
    <t>The carbon estimate summary report includes a sub-total for carbon deflation allowance.</t>
  </si>
  <si>
    <t>The report of estimated carbon expenditure over time includes a sub-total for carbon deflation allowance for each year of the assessment period.</t>
  </si>
  <si>
    <t>Use a decarbonisation deflation profile against different Cost element. This is so that the user can forecast the decarbonisation of an asset for e.g. 2030, 2040, 2050. Software to be configured to allow carbon inflation calculations to be applied initially set at 0%</t>
  </si>
  <si>
    <t>The CCET contains carbon deflation profile in a library with the profile stored as an index value.</t>
  </si>
  <si>
    <t>The carbon deflation profile will initially be set at 0% per annum in the administrator-controlled library in the CCET.</t>
  </si>
  <si>
    <t>Ability for the project manager to review and approve and estimate, without a requirement for a separate license</t>
  </si>
  <si>
    <t>Where a designated Reviewer of an NH Estimate does not hold a CCET licence, the Estimator can select an option to send a time-limited hyperlink to that designated reviewer when the Estimate is ready for review.</t>
  </si>
  <si>
    <t>The time-limited link allows temporary, view-only access to only the Estimate to be reviewed. The Reviewer cannot access any other Estimates / functionality and cannot edit any CCET data except to update Review status and add Review comments.</t>
  </si>
  <si>
    <t>The time-limited hyperlink can only be sent to the designated Reviewer with a National Highways email address.</t>
  </si>
  <si>
    <t>The time-limited link will only function when the Estimate Reviewer is included in the administrator-controlled SSO group for BES.</t>
  </si>
  <si>
    <t>Ability to update the name of the delegated reviewer and provide digital approval</t>
  </si>
  <si>
    <t>An Estimating Manager can edit the name of an Estimate Reviewer at any time during production of the estimate until the estimate is approved and status changed to ‘Authorised’.</t>
  </si>
  <si>
    <t>An Estimating Manager can add a Review (and assign this to an Estimate Reviewer) at any time during production of the estimate until the estimate is approved and status changed to ‘Authorised’.</t>
  </si>
  <si>
    <t>Ability to approve and timestamp the approval of the estimate. Project managers will not have access to system and will still need to approve the estimate.</t>
  </si>
  <si>
    <t>Estimate Reviewers will click a command button to complete a Review of the Estimate.</t>
  </si>
  <si>
    <t>The time and date of clicking the command button to complete a Review will be recorded with the Reviewer's name and role. These will be stored and visible in the Estimate's data fields.</t>
  </si>
  <si>
    <t>Estimate Approvers will click a command button to 'Authorise' the Estimate.</t>
  </si>
  <si>
    <t>The time and date of clicking the 'Authorise' command button will be recorded with the Approver's name and role. These will be stored and visible in the Estimate's data fields.</t>
  </si>
  <si>
    <t>Reviewers should be able to assign and record the analytical assurance rating for the estimate. This will include the ability to review the plugged-in items.</t>
  </si>
  <si>
    <t>The Estimator can upload an Analytical Assurance Statement to the Estimate Documents Folder. (Note the Analytical Assurance Statement is produced outside the software.)</t>
  </si>
  <si>
    <t>An Analytical Assurance Statement can be uploaded to and included in the Estimate Pack for issue of the Estimate.</t>
  </si>
  <si>
    <t>The CCET generates a Resources by Item report for an Estimate BoQ that identifies resources for which cost rates have been delinked from a library and 'plugged'.</t>
  </si>
  <si>
    <t>The CCET generates a Resources by Item report for an Estimate BoQ that identifies resources for which carbon rates have been delinked from a library and 'plugged'.</t>
  </si>
  <si>
    <t>As an Estimator I need the software to be able to produce a TPE Routine Maintenance output at Cost Element level.
Probabilistic estimating / TPE for Long-Term Appraisal cost estimated is not included in the CCET Phase 3 functional requirements. We propose to apply the Acceptance Criteria for FR860 and FR1260 and Feature Design for these functional requirements to NH Long-Term Appraisal cost estimates to provide this coverage.
Please see the following related Functional Requirements:
▪ FR140 (SS Chapter 6, Supplier Forecasting) refers to converting a supplier forecast to a NH range estimate. (This is produced through existing CCET Phase 1 functionality for Major Projects, FR860 for Routine O&amp;M and FR1260 for Asset Renewals.)
▪FR430 (SRS Chapter 8, Reporting) refers to comparison reports of the current estimate vs. the last approved estimate / other previous estimates for a project to include showing the range of an estimate where this is in place
▪ CCET Phase 1 FR30 (Delivered)
▪ CCET Phase 1 FR10 (Delivered)
▪ CCET Phase 1 FR21 (Partially Delivered – remaining items are PDF and CDF charts covered in FR860 and FR1260 acceptance criteria)
▪CCET Phase 2 FRs bullet point 6, “Configure and upload a ‘baseline’ carbon resource library… in three-point estimating format….. – addressed by SRS Chapter 11, Data Libraries, FR410, Acceptance Criterion 8 inter alia.</t>
  </si>
  <si>
    <t>The CCET produces a probabilistic estimate of an Operation and Maintenance cost estimate as well as a single-point deterministic cost estimate. The probabilistic cost estimate is produced using Monte Carlo simulation of input three-point estimates for the total cost of the following: 
- Each cost element in the estimate build-up in real terms prior to inflation 
- The estimated delivery schedule for the project / contract, i.e. the estimated start and finish dates of the cost element's scope (there will no range for an O&amp;M estimate of annual cost) 
- The estimated inflation forecast</t>
  </si>
  <si>
    <t>NH Estimators can enter a minimum and maximum estimated cost for a cost element either side of the CCET calculated value for an Operation and Maintenance estimated cost (which forms the most-likely input value of the three-point estimate for the cost element). The three-point estimates for each cost element are input at the estimate base date, prior to inflation.</t>
  </si>
  <si>
    <t>NH Estimators can enter a minimum and maximum estimated duration for the project delivery schedule, either side of the deterministic duration (which forms the most-likely input value of the three-point estimate for the duration).</t>
  </si>
  <si>
    <t>NH Estimators can enter a minimum and maximum inflation forecast by entering a ± percentage range either side of the deterministic inflation forecast (which forms the most-likely input value of the three-point estimate for inflation calculation).</t>
  </si>
  <si>
    <t>The CCET produces a probabilistic cost estimate output report which shows: 
- PDF and CDF distribution charts for the cost estimate 
- The values of the minimum, maximum and each 10th percentile interval 
- mode, mean, median values 
- the deterministic estimate's position in the range</t>
  </si>
  <si>
    <t>As an Estimator I need the software to be able to produce a TPE Asset Renewal output at Cost Element level.
Probabilistic estimating / TPE for Long-Term Appraisal cost estimated is not included in the CCET Phase 3 functional requirements. We propose to apply the Acceptance Criteria for FR860 and FR1260 and Feature Design for these functional requirements to NH Long-Term Appraisal cost estimates to provide this coverage.
Please see the following related Functional Requirements:
▪ FR140 (SS Chapter 6, Supplier Forecasting) refers to converting a supplier forecast to a NH range estimate. (This is produced through existing CCET Phase 1 functionality for Major Projects, FR860 for Routine O&amp;M and FR1260 for Asset Renewals.)
▪ FR430 (SRS Chapter 8, Reporting) refers to comparison reports of the current estimate vs. the last approved estimate / other previous estimates for a project to include showing the range of an estimate where this is in place
▪ CCET Phase 1 FR30 (Delivered)
▪ CCET Phase 1 FR10 (Delivered)
▪ CCET Phase 1 FR21 (Partially Delivered – remaining items are PDF and CDF charts covered in FR860 and FR1260 acceptance criteria)
▪CCET Phase 2 FRs bullet point 6, “Configure and upload a ‘baseline’ carbon resource library… in three-point estimating format….. – addressed by SRS Chapter 11, Data Libraries, FR410, Acceptance Criterion 8 inter alia.</t>
  </si>
  <si>
    <t>NH Estimators can enter a minimum and maximum estimated cost for a cost element either side of the CCET calculated value for an Asset Renewals scheme's estimated cost (which forms the most-likely input value of the three-point estimate for the cost element). The three-point estimates for each cost element are input at the estimate base date, prior to inflation.</t>
  </si>
  <si>
    <t>Unique identifier for estimates in FR 10</t>
  </si>
  <si>
    <t>Each Estimate in the CCET has a unique Estimate Identification Number.</t>
  </si>
  <si>
    <t>Each Estimate in the CCET is assigned to a Project (and each Project is assigned to a Programme and in turn a Portfolio).</t>
  </si>
  <si>
    <t>As Head of Estimating, I want the terminology in the system to be compliant with recognised cost estimating standards and NH terminology. Before the system is launched, I want a complete review of all fields, screens, reports, templates and models to ensure terminology in the system is correct and consistent with standards.</t>
  </si>
  <si>
    <t>The fixed terminology in the CCET is consistent with recognised standards for lifecycle costing and carbon estimating including: 
- RICS professional guidance, UK Lifecycle costing 
- ICMS: Global Consistency in Presenting Construction Life Cycle Costs and Carbon Emissions 
- PAS 2080 Carbon management in buildings and infrastructure 
- RICS, Whole life carbon assessment for the built environment</t>
  </si>
  <si>
    <t>The configurable terminology in the CCET is consistent with NH terminology and the output of a full review of all fields in the CCET.</t>
  </si>
  <si>
    <t>As Head of Estimating, I want to be able to include NH organisation logos on the system screens, dashboards and reports.</t>
  </si>
  <si>
    <t>The NH logo is shown on every principal screen, dashboard and report of the CCET.</t>
  </si>
  <si>
    <t>The logo is stored in an administration setting, and the displayed logo is are automatically updated if the logo is changed.</t>
  </si>
  <si>
    <t>Configurable application branding - "National Highways estimating tool" (this will need to be configurable by user and allow a logo to be added)</t>
  </si>
  <si>
    <t>The National Highways chosen name for the CCET will be provided on every principal screen, dashboard and report of the CCET.</t>
  </si>
  <si>
    <t>The configured Name for the CCET is stored in an administration setting, and the Name displayed on screens is automatically updated when changed in the administration settings.</t>
  </si>
  <si>
    <t>Ensure consistent terminology within both Carbon Tool and Benchmark application</t>
  </si>
  <si>
    <t>Benchmark carbon estimating functionality will use the same terminology as Benchmark cost estimating functionality for when describing the same data field, data structure element, function or operation.</t>
  </si>
  <si>
    <t>Standardised language across the system that aligns with the British standard for LCC - 15686/5</t>
  </si>
  <si>
    <t>The Terminology in the CCET will be consistent with Chapter 8 of BS ISO 15686-5, Standardized Method of Life Cycle Costing for Construction Procurement: 'Terms, Definitions and Abbreviations'</t>
  </si>
  <si>
    <t>Standardised naming convention for Schemes and Estimates</t>
  </si>
  <si>
    <t>Administrators can configure and edit a library of ‘Estimate Output Types’ that contains the Estimate Type's Name and the lifecycle stages which the Estimate Shell covers for a selected Estimate Output Type. (See FR20.)</t>
  </si>
  <si>
    <t>The CCET contains a administrator controlled library of projects assigned to each programme and portfolio and project names are controlled by this library, which can be configured to National Highways' naming convention.</t>
  </si>
  <si>
    <t>The CCET has a administrator-controlled library that contains configurable estimate classifications for each portfolio, e.g. 'Order of Magnitude', 'Options Estimate', 'Developing Estimate', etc…. so that the naming of estimates is standardised across the CCET in accordance with the estimate classifications in the library.</t>
  </si>
  <si>
    <t>The terminology for Lifecycle Stages must be consistent - Construction, Operation &amp; Maintenance, Renewal and Decommissioning</t>
  </si>
  <si>
    <t>The naming of Lifecyle costing stages is standardised in the CCET and aligns with the BS ISO 15686-5, Standardized Method of Life Cycle Costing for Construction Procurement: 'Terms, Definitions and Abbreviations'</t>
  </si>
  <si>
    <t>Enhanced user navigation and clear, consistent screen titles</t>
  </si>
  <si>
    <t>Each CCET screen in the CCET has a clear title.</t>
  </si>
  <si>
    <t>The position of that screen in the CCCET is identified by the combined data shown on the screen, e.g. Portfolio / Programme / Project / Estimate / Screen purpose are all shown somewhere on the screen.</t>
  </si>
  <si>
    <t>Filter Cost and Carbon Estimates by Portfolio, Programme, Scheme, Estimate Name and Estimate ID - See FR above</t>
  </si>
  <si>
    <t>The CCET contains an Estimate Browser which shows all Estimates in the CCET, subject to the permissions of the NH Estimator to view estimates.</t>
  </si>
  <si>
    <t>An NH Estimator filters the Estimates visible in the Estimate Browser by the following: 
- Portfolio 
- Programme 
- Project</t>
  </si>
  <si>
    <t>An NH Estimator searches for an Estimate-by-Estimate Name or Estimate ID Number and the Estimate Browser shows matching estimate(s)</t>
  </si>
  <si>
    <t>Please also see related Functional Requirements: - FR1350 (for Asset Renewals, but we have applied this FR to all Estimates) - FR1980</t>
  </si>
  <si>
    <t>Navigation around the system for a user must be clear and efficient. It should be very clear where a user is within the overall system on each screen and be able to quickly go back to "home" screens.</t>
  </si>
  <si>
    <t>When working in an Estimate, an NH Estimator is able to go back to the 'Project Details' page for estimate (i.e. 'Estimate home page') in a maximum of two clicks.</t>
  </si>
  <si>
    <t>When working in the CCET (but not in an individual Estimate) an NH Estimator is able to go to the 'Estimate Brower ' page in a maximum of two clicks.</t>
  </si>
  <si>
    <t>When working in the CCET (but not in an individual Estimate) an NH Estimator is able to go to the CCET Landing Page in a maximum of two clicks.</t>
  </si>
  <si>
    <t>The software should have efficient number of "clicks" to be able to edit / enter data into fields.</t>
  </si>
  <si>
    <t>Users can edit data fields efficiently with an appropriate number of 'clicks' to edit data fields.</t>
  </si>
  <si>
    <t>Note: data fields within the CCET require varying levels of control to avoid erroneous deletion / edit of key data and the number of 'clicks' to edit data fields will vary commensurately.</t>
  </si>
  <si>
    <t>Please also refer to Non-Functional Requirements</t>
  </si>
  <si>
    <t>The hierarchy and items and resources within an estimate should be clearly indented / colour-coded to identify the level of the hierarchy that each line belongs to.</t>
  </si>
  <si>
    <t>The WBS levels in an estimate are clearly identified to Users. There is distinct formatting (e.g. shading and / or font) and / or indenting for each of the following levels: 
- Section 
- Cost Element 
- Item 
- Resource</t>
  </si>
  <si>
    <t>Screens should be well laid out with appropriate space allocated to rows and columns so that users have minimal scrolling re-allocating width / depth to columns / rows. Toggles should provide the ability to hide / display columns and fields from screens / reports, where these are not relevant to the specific client.</t>
  </si>
  <si>
    <t>Toggles (to hide / show columns) and / or collapsing / expanding rows and columns are provided for estimate CCET BoQ, 'CESS', and Estimate Summary screens covering base estimate risk and inflation. This is a substantial amount of the estimate build-up can be shown on one screen without scrolling.</t>
  </si>
  <si>
    <t>Please also see Non-Functional Requirements</t>
  </si>
  <si>
    <t>Produce an estimate using outturn estimate costs , that does not have a single base date across all elements and some cost elements, or all cost elements might be at outturn prices inclusive of all inflation</t>
  </si>
  <si>
    <t>Each Estimate in the CCET has a base date (the common price base of the estimate before application of inflation)</t>
  </si>
  <si>
    <r>
      <t xml:space="preserve">Items and resources that are allocated to an estimate BoQ that are at varying prices bases are normalised to the estimate's common price base </t>
    </r>
    <r>
      <rPr>
        <sz val="12"/>
        <color rgb="FFFF0000"/>
        <rFont val="Arial"/>
        <family val="2"/>
      </rPr>
      <t>in CCET</t>
    </r>
    <r>
      <rPr>
        <sz val="12"/>
        <color theme="1"/>
        <rFont val="Arial"/>
        <family val="2"/>
      </rPr>
      <t>,</t>
    </r>
    <r>
      <rPr>
        <strike/>
        <sz val="12"/>
        <color theme="1"/>
        <rFont val="Arial"/>
        <family val="2"/>
      </rPr>
      <t xml:space="preserve"> when they are brought into an estimate.</t>
    </r>
  </si>
  <si>
    <t>Rates for a Cost Element can be entered to an estimate at outturn prices inclusive of inflation, and a 'nil' inflation profile applied to that cost element. 
(Note a cost element cannot contains mix of costs at a set price and outturn prices as inflation indices are applied at Cost Element level.)</t>
  </si>
  <si>
    <t>Ability to load into a specific estimate WBS level a full bill of quantities containing Cost and Carbon resource build-ups (i.e. an enhanced Load Spreadsheet feature)</t>
  </si>
  <si>
    <t>As per existing BES functionality, a full Resource build up for each Item in a BoQ can be uploaded to an estimate in the CCET. The following resource data is uploaded in this case: 
- Resource Code 
- Resource Description 
- Resource Quantity 
- Resource Unit 
- Resource Rate (if populated)</t>
  </si>
  <si>
    <t>When uploading Resources with rates for Items, all uploaded rates will be ‘delinked’ from the library and will be set at the uploaded rate.</t>
  </si>
  <si>
    <t>De-linked' Resource rates can be 're-linked' to a selected resource library by an NH Estimator working in a CCET Estimate.</t>
  </si>
  <si>
    <t xml:space="preserve">CCET Phase 3: Functionality Questions </t>
  </si>
  <si>
    <t xml:space="preserve">No. </t>
  </si>
  <si>
    <t>Question</t>
  </si>
  <si>
    <t xml:space="preserve">Answer </t>
  </si>
  <si>
    <t xml:space="preserve">How will V10 landing page connect with the existing V8 landing page? </t>
  </si>
  <si>
    <t xml:space="preserve">Fees </t>
  </si>
  <si>
    <t>1.               Major Projects capex cost estimate.</t>
  </si>
  <si>
    <t>2.               Major Projects capex Carbon Estimate</t>
  </si>
  <si>
    <t>3.               Major Projects capex Cost and Carbon Estimate</t>
  </si>
  <si>
    <t>4.               Operation and Maintenance Cost Estimate</t>
  </si>
  <si>
    <t>5.               Operation and Maintenance Carbon Estimate</t>
  </si>
  <si>
    <t>6.               Operation and Maintenance Cost and Carbon Estimate</t>
  </si>
  <si>
    <t>7.               Asset Renewals capex Cost Estimate</t>
  </si>
  <si>
    <t>8.               Asset Renewals capex Carbon Estimate</t>
  </si>
  <si>
    <t>9.               Asset Renewals capex Cost and Carbon Estimate</t>
  </si>
  <si>
    <t>10.            Whole Life cycle Cost estimate for Major Projects</t>
  </si>
  <si>
    <t>11.            Whole Life cycle Carbon estimate for Major Projects</t>
  </si>
  <si>
    <t>12.            Whole Life cycle Cost &amp; Carbon estimate for Major Projects</t>
  </si>
  <si>
    <t>13.            Whole Life cycle Cost estimate for Asset Renewals projects</t>
  </si>
  <si>
    <t>14.            Whole Life cycle Carbon estimate for Asset Renewals projects</t>
  </si>
  <si>
    <t>15.            Whole Life cycle Cost &amp; Carbon estimate for Asset Renewals projects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</si>
</sst>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rial"/>
      <family val="2"/>
    </font>
    <font>
      <b/>
      <sz val="12"/>
      <color theme="1"/>
      <name val="Arial"/>
      <family val="2"/>
    </font>
    <font>
      <sz val="10"/>
      <color theme="1"/>
      <name val="Arial"/>
      <family val="2"/>
    </font>
    <font>
      <b/>
      <sz val="12"/>
      <color theme="0"/>
      <name val="Arial"/>
      <family val="2"/>
    </font>
    <font>
      <sz val="12"/>
      <color rgb="FFFF0000"/>
      <name val="Arial"/>
      <family val="2"/>
    </font>
    <font>
      <sz val="12"/>
      <color theme="0"/>
      <name val="Arial"/>
      <family val="2"/>
    </font>
    <font>
      <sz val="11"/>
      <color rgb="FF000000"/>
      <name val="Arial"/>
      <family val="2"/>
    </font>
    <font>
      <strike/>
      <sz val="12"/>
      <color theme="1"/>
      <name val="Arial"/>
      <family val="2"/>
    </font>
    <font>
      <strike/>
      <sz val="12"/>
      <color rgb="FFFF0000"/>
      <name val="Arial"/>
      <family val="2"/>
    </font>
    <font>
      <sz val="12"/>
      <name val="Arial"/>
      <family val="2"/>
    </font>
    <font>
      <strike/>
      <sz val="12"/>
      <name val="Arial"/>
      <family val="2"/>
    </font>
    <font>
      <sz val="12"/>
      <color theme="1"/>
      <name val="Arial"/>
      <family val="2"/>
    </font>
  </fonts>
  <fills count="9">
    <fill>
      <patternFill patternType="none"/>
    </fill>
    <fill>
      <patternFill patternType="gray125"/>
    </fill>
    <fill>
      <patternFill patternType="solid">
        <fgColor theme="9" tint="0.79998168889431442"/>
        <bgColor indexed="64"/>
      </patternFill>
    </fill>
    <fill>
      <patternFill patternType="solid">
        <fgColor rgb="FFFFCC99"/>
        <bgColor indexed="64"/>
      </patternFill>
    </fill>
    <fill>
      <patternFill patternType="solid">
        <fgColor rgb="FFFF7979"/>
        <bgColor indexed="64"/>
      </patternFill>
    </fill>
    <fill>
      <patternFill patternType="solid">
        <fgColor theme="0"/>
        <bgColor indexed="64"/>
      </patternFill>
    </fill>
    <fill>
      <patternFill patternType="solid">
        <fgColor rgb="FF002E5F"/>
        <bgColor indexed="64"/>
      </patternFill>
    </fill>
    <fill>
      <patternFill patternType="solid">
        <fgColor theme="7" tint="0.79998168889431442"/>
        <bgColor indexed="64"/>
      </patternFill>
    </fill>
    <fill>
      <patternFill patternType="solid">
        <fgColor rgb="FFFFFF00"/>
        <bgColor indexed="64"/>
      </patternFill>
    </fill>
  </fills>
  <borders count="33">
    <border>
      <left/>
      <right/>
      <top/>
      <bottom/>
      <diagonal/>
    </border>
    <border>
      <left style="thin">
        <color theme="0" tint="-0.499984740745262"/>
      </left>
      <right style="thin">
        <color theme="0" tint="-0.499984740745262"/>
      </right>
      <top style="hair">
        <color theme="0" tint="-0.499984740745262"/>
      </top>
      <bottom style="hair">
        <color theme="0" tint="-0.499984740745262"/>
      </bottom>
      <diagonal/>
    </border>
    <border>
      <left style="medium">
        <color theme="0" tint="-0.499984740745262"/>
      </left>
      <right style="medium">
        <color theme="0" tint="-0.499984740745262"/>
      </right>
      <top style="hair">
        <color theme="0" tint="-0.499984740745262"/>
      </top>
      <bottom style="hair">
        <color theme="0" tint="-0.499984740745262"/>
      </bottom>
      <diagonal/>
    </border>
    <border>
      <left style="medium">
        <color theme="0" tint="-0.499984740745262"/>
      </left>
      <right style="thin">
        <color theme="0" tint="-0.499984740745262"/>
      </right>
      <top style="hair">
        <color theme="0" tint="-0.499984740745262"/>
      </top>
      <bottom style="hair">
        <color theme="0" tint="-0.499984740745262"/>
      </bottom>
      <diagonal/>
    </border>
    <border>
      <left style="thin">
        <color theme="0" tint="-0.499984740745262"/>
      </left>
      <right style="medium">
        <color theme="0" tint="-0.499984740745262"/>
      </right>
      <top style="hair">
        <color theme="0" tint="-0.499984740745262"/>
      </top>
      <bottom style="hair">
        <color theme="0" tint="-0.499984740745262"/>
      </bottom>
      <diagonal/>
    </border>
    <border>
      <left style="medium">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bottom style="hair">
        <color theme="0" tint="-0.499984740745262"/>
      </bottom>
      <diagonal/>
    </border>
    <border>
      <left style="thin">
        <color theme="0" tint="-0.499984740745262"/>
      </left>
      <right style="medium">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medium">
        <color theme="0" tint="-0.499984740745262"/>
      </top>
      <bottom style="medium">
        <color theme="0" tint="-0.499984740745262"/>
      </bottom>
      <diagonal/>
    </border>
    <border>
      <left style="medium">
        <color theme="0" tint="-0.499984740745262"/>
      </left>
      <right style="medium">
        <color theme="0" tint="-0.499984740745262"/>
      </right>
      <top/>
      <bottom style="hair">
        <color theme="0" tint="-0.499984740745262"/>
      </bottom>
      <diagonal/>
    </border>
    <border>
      <left style="medium">
        <color theme="0" tint="-0.499984740745262"/>
      </left>
      <right style="thin">
        <color theme="0" tint="-0.499984740745262"/>
      </right>
      <top/>
      <bottom style="medium">
        <color theme="0" tint="-0.499984740745262"/>
      </bottom>
      <diagonal/>
    </border>
    <border>
      <left style="thin">
        <color theme="0" tint="-0.499984740745262"/>
      </left>
      <right style="medium">
        <color theme="0" tint="-0.499984740745262"/>
      </right>
      <top/>
      <bottom style="medium">
        <color theme="0" tint="-0.499984740745262"/>
      </bottom>
      <diagonal/>
    </border>
    <border>
      <left style="thin">
        <color theme="0" tint="-0.499984740745262"/>
      </left>
      <right style="thin">
        <color theme="0" tint="-0.499984740745262"/>
      </right>
      <top/>
      <bottom style="medium">
        <color theme="0" tint="-0.499984740745262"/>
      </bottom>
      <diagonal/>
    </border>
    <border>
      <left style="medium">
        <color theme="0" tint="-0.499984740745262"/>
      </left>
      <right/>
      <top/>
      <bottom style="hair">
        <color theme="0" tint="-0.499984740745262"/>
      </bottom>
      <diagonal/>
    </border>
    <border>
      <left style="medium">
        <color theme="0" tint="-0.499984740745262"/>
      </left>
      <right/>
      <top style="hair">
        <color theme="0" tint="-0.499984740745262"/>
      </top>
      <bottom style="hair">
        <color theme="0" tint="-0.499984740745262"/>
      </bottom>
      <diagonal/>
    </border>
    <border>
      <left style="medium">
        <color theme="0" tint="-0.499984740745262"/>
      </left>
      <right/>
      <top style="hair">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hair">
        <color theme="0" tint="-0.499984740745262"/>
      </top>
      <bottom style="thin">
        <color theme="0" tint="-0.499984740745262"/>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diagonal/>
    </border>
    <border>
      <left style="medium">
        <color theme="0" tint="-0.499984740745262"/>
      </left>
      <right style="medium">
        <color theme="0" tint="-0.499984740745262"/>
      </right>
      <top/>
      <bottom style="medium">
        <color theme="0" tint="-0.499984740745262"/>
      </bottom>
      <diagonal/>
    </border>
    <border>
      <left style="medium">
        <color theme="0" tint="-0.499984740745262"/>
      </left>
      <right style="medium">
        <color theme="0" tint="-0.499984740745262"/>
      </right>
      <top/>
      <bottom/>
      <diagonal/>
    </border>
    <border>
      <left style="thin">
        <color indexed="64"/>
      </left>
      <right style="thin">
        <color indexed="64"/>
      </right>
      <top style="thin">
        <color indexed="64"/>
      </top>
      <bottom style="thin">
        <color indexed="64"/>
      </bottom>
      <diagonal/>
    </border>
    <border>
      <left style="medium">
        <color theme="0" tint="-0.499984740745262"/>
      </left>
      <right/>
      <top/>
      <bottom/>
      <diagonal/>
    </border>
    <border>
      <left style="medium">
        <color theme="0" tint="-0.499984740745262"/>
      </left>
      <right style="thin">
        <color theme="0" tint="-0.499984740745262"/>
      </right>
      <top/>
      <bottom/>
      <diagonal/>
    </border>
    <border>
      <left style="thin">
        <color theme="0" tint="-0.499984740745262"/>
      </left>
      <right style="medium">
        <color theme="0" tint="-0.499984740745262"/>
      </right>
      <top/>
      <bottom/>
      <diagonal/>
    </border>
    <border>
      <left style="thin">
        <color theme="0" tint="-0.499984740745262"/>
      </left>
      <right style="thin">
        <color theme="0" tint="-0.499984740745262"/>
      </right>
      <top/>
      <bottom/>
      <diagonal/>
    </border>
    <border>
      <left style="medium">
        <color theme="0" tint="-0.499984740745262"/>
      </left>
      <right style="thin">
        <color theme="0" tint="-0.499984740745262"/>
      </right>
      <top style="hair">
        <color theme="0" tint="-0.499984740745262"/>
      </top>
      <bottom/>
      <diagonal/>
    </border>
    <border>
      <left style="thin">
        <color theme="0" tint="-0.499984740745262"/>
      </left>
      <right style="medium">
        <color theme="0" tint="-0.499984740745262"/>
      </right>
      <top style="hair">
        <color theme="0" tint="-0.499984740745262"/>
      </top>
      <bottom/>
      <diagonal/>
    </border>
    <border>
      <left style="thin">
        <color theme="0" tint="-0.499984740745262"/>
      </left>
      <right style="thin">
        <color theme="0" tint="-0.499984740745262"/>
      </right>
      <top style="hair">
        <color theme="0" tint="-0.499984740745262"/>
      </top>
      <bottom/>
      <diagonal/>
    </border>
    <border>
      <left/>
      <right style="thin">
        <color rgb="FF000000"/>
      </right>
      <top/>
      <bottom/>
      <diagonal/>
    </border>
    <border>
      <left/>
      <right style="thin">
        <color theme="0" tint="-0.499984740745262"/>
      </right>
      <top style="hair">
        <color theme="0" tint="-0.499984740745262"/>
      </top>
      <bottom style="hair">
        <color theme="0" tint="-0.499984740745262"/>
      </bottom>
      <diagonal/>
    </border>
    <border>
      <left style="medium">
        <color theme="0" tint="-0.499984740745262"/>
      </left>
      <right style="thin">
        <color theme="0" tint="-0.499984740745262"/>
      </right>
      <top/>
      <bottom style="hair">
        <color theme="0" tint="-0.499984740745262"/>
      </bottom>
      <diagonal/>
    </border>
  </borders>
  <cellStyleXfs count="2">
    <xf numFmtId="0" fontId="0" fillId="0" borderId="0"/>
    <xf numFmtId="9" fontId="11" fillId="0" borderId="0" applyFont="0" applyFill="0" applyBorder="0" applyAlignment="0" applyProtection="0"/>
  </cellStyleXfs>
  <cellXfs count="161">
    <xf numFmtId="0" fontId="0" fillId="0" borderId="0" xfId="0"/>
    <xf numFmtId="0" fontId="0" fillId="0" borderId="0" xfId="0" applyAlignment="1">
      <alignment horizontal="center" vertical="center"/>
    </xf>
    <xf numFmtId="0" fontId="2" fillId="0" borderId="0" xfId="0" applyFont="1"/>
    <xf numFmtId="0" fontId="0" fillId="0" borderId="1"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2" fillId="4" borderId="10" xfId="0" applyFont="1" applyFill="1" applyBorder="1" applyAlignment="1">
      <alignment horizontal="center" vertical="center" textRotation="90" wrapText="1"/>
    </xf>
    <xf numFmtId="0" fontId="2" fillId="4" borderId="11" xfId="0" applyFont="1" applyFill="1" applyBorder="1" applyAlignment="1">
      <alignment horizontal="center" vertical="center" textRotation="90" wrapText="1"/>
    </xf>
    <xf numFmtId="0" fontId="2" fillId="3" borderId="12" xfId="0" applyFont="1" applyFill="1" applyBorder="1" applyAlignment="1">
      <alignment horizontal="center" vertical="center" textRotation="90" wrapText="1"/>
    </xf>
    <xf numFmtId="0" fontId="2" fillId="2" borderId="12" xfId="0" applyFont="1" applyFill="1" applyBorder="1" applyAlignment="1">
      <alignment horizontal="center" vertical="center" textRotation="90" wrapText="1"/>
    </xf>
    <xf numFmtId="0" fontId="2" fillId="2" borderId="11" xfId="0" applyFont="1" applyFill="1" applyBorder="1" applyAlignment="1">
      <alignment horizontal="center" vertical="center" textRotation="90" wrapText="1"/>
    </xf>
    <xf numFmtId="0" fontId="2" fillId="3" borderId="10" xfId="0" applyFont="1" applyFill="1" applyBorder="1" applyAlignment="1">
      <alignment horizontal="center" vertical="center" textRotation="90" wrapText="1"/>
    </xf>
    <xf numFmtId="0" fontId="2" fillId="3" borderId="11" xfId="0" applyFont="1" applyFill="1" applyBorder="1" applyAlignment="1">
      <alignment horizontal="center" vertical="center" textRotation="90" wrapText="1"/>
    </xf>
    <xf numFmtId="0" fontId="2" fillId="2" borderId="10" xfId="0" applyFont="1" applyFill="1" applyBorder="1" applyAlignment="1">
      <alignment horizontal="center" vertical="center" textRotation="90" wrapText="1"/>
    </xf>
    <xf numFmtId="0" fontId="0" fillId="5" borderId="0" xfId="0" applyFill="1"/>
    <xf numFmtId="0" fontId="2" fillId="5" borderId="0" xfId="0" applyFont="1" applyFill="1"/>
    <xf numFmtId="0" fontId="0" fillId="5" borderId="0" xfId="0" applyFill="1" applyAlignment="1">
      <alignment horizontal="center" vertical="center"/>
    </xf>
    <xf numFmtId="0" fontId="2" fillId="5" borderId="0" xfId="0" applyFont="1" applyFill="1" applyAlignment="1">
      <alignment horizontal="center" vertical="center"/>
    </xf>
    <xf numFmtId="0" fontId="1" fillId="5" borderId="0" xfId="0" applyFont="1" applyFill="1" applyAlignment="1">
      <alignment vertical="center"/>
    </xf>
    <xf numFmtId="0" fontId="0" fillId="5" borderId="0" xfId="0" applyFill="1" applyAlignment="1">
      <alignment vertical="center"/>
    </xf>
    <xf numFmtId="0" fontId="0" fillId="5" borderId="0" xfId="0" applyFill="1" applyAlignment="1">
      <alignment vertical="center" wrapText="1"/>
    </xf>
    <xf numFmtId="0" fontId="0" fillId="0" borderId="1" xfId="0" applyBorder="1" applyAlignment="1">
      <alignment wrapText="1"/>
    </xf>
    <xf numFmtId="0" fontId="0" fillId="0" borderId="17" xfId="0" applyBorder="1" applyAlignment="1">
      <alignment wrapText="1"/>
    </xf>
    <xf numFmtId="0" fontId="0" fillId="0" borderId="0" xfId="0" applyAlignment="1">
      <alignment wrapText="1"/>
    </xf>
    <xf numFmtId="0" fontId="0" fillId="0" borderId="6" xfId="0" applyBorder="1" applyAlignment="1">
      <alignment vertical="center" wrapText="1"/>
    </xf>
    <xf numFmtId="0" fontId="0" fillId="0" borderId="6" xfId="0" applyBorder="1" applyAlignment="1">
      <alignment wrapText="1"/>
    </xf>
    <xf numFmtId="0" fontId="0" fillId="5" borderId="0" xfId="0" applyFill="1" applyAlignment="1">
      <alignment wrapText="1"/>
    </xf>
    <xf numFmtId="0" fontId="0" fillId="5" borderId="0" xfId="0" applyFill="1" applyAlignment="1">
      <alignment horizontal="center" vertical="center" wrapText="1"/>
    </xf>
    <xf numFmtId="0" fontId="0" fillId="0" borderId="6" xfId="0" applyBorder="1" applyAlignment="1">
      <alignment horizontal="center" vertical="center" wrapText="1"/>
    </xf>
    <xf numFmtId="0" fontId="0" fillId="0" borderId="1" xfId="0" applyBorder="1" applyAlignment="1">
      <alignment horizontal="center" vertical="center" wrapText="1"/>
    </xf>
    <xf numFmtId="0" fontId="0" fillId="0" borderId="17" xfId="0" applyBorder="1" applyAlignment="1">
      <alignment horizontal="center" vertical="center" wrapText="1"/>
    </xf>
    <xf numFmtId="0" fontId="0" fillId="0" borderId="0" xfId="0" applyAlignment="1">
      <alignment horizontal="center" vertical="center" wrapText="1"/>
    </xf>
    <xf numFmtId="0" fontId="3" fillId="6" borderId="16" xfId="0" applyFont="1" applyFill="1"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14" xfId="0" applyBorder="1"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center" wrapText="1"/>
    </xf>
    <xf numFmtId="0" fontId="0" fillId="0" borderId="9"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vertical="center" wrapText="1"/>
    </xf>
    <xf numFmtId="0" fontId="0" fillId="5" borderId="0" xfId="0" applyFill="1" applyAlignment="1">
      <alignment horizontal="left" vertical="center"/>
    </xf>
    <xf numFmtId="0" fontId="0" fillId="0" borderId="0" xfId="0" applyAlignment="1">
      <alignment horizontal="left" vertical="center"/>
    </xf>
    <xf numFmtId="0" fontId="6" fillId="0" borderId="0" xfId="0" applyFont="1"/>
    <xf numFmtId="0" fontId="0" fillId="0" borderId="16" xfId="0" applyBorder="1"/>
    <xf numFmtId="0" fontId="0" fillId="0" borderId="16" xfId="0" applyBorder="1" applyAlignment="1">
      <alignment horizontal="center" vertical="center"/>
    </xf>
    <xf numFmtId="0" fontId="1" fillId="0" borderId="0" xfId="0" applyFont="1"/>
    <xf numFmtId="9" fontId="0" fillId="4" borderId="10" xfId="0" applyNumberFormat="1" applyFill="1" applyBorder="1" applyAlignment="1">
      <alignment horizontal="center" vertical="center"/>
    </xf>
    <xf numFmtId="9" fontId="0" fillId="4" borderId="11" xfId="0" applyNumberFormat="1" applyFill="1" applyBorder="1" applyAlignment="1">
      <alignment horizontal="center" vertical="center"/>
    </xf>
    <xf numFmtId="9" fontId="0" fillId="3" borderId="10" xfId="0" applyNumberFormat="1" applyFill="1" applyBorder="1" applyAlignment="1">
      <alignment horizontal="center" vertical="center"/>
    </xf>
    <xf numFmtId="9" fontId="0" fillId="3" borderId="12" xfId="0" applyNumberFormat="1" applyFill="1" applyBorder="1" applyAlignment="1">
      <alignment horizontal="center" vertical="center"/>
    </xf>
    <xf numFmtId="9" fontId="0" fillId="3" borderId="11" xfId="0" applyNumberFormat="1" applyFill="1" applyBorder="1" applyAlignment="1">
      <alignment horizontal="center" vertical="center"/>
    </xf>
    <xf numFmtId="9" fontId="0" fillId="2" borderId="10" xfId="0" applyNumberFormat="1" applyFill="1" applyBorder="1" applyAlignment="1">
      <alignment horizontal="center" vertical="center"/>
    </xf>
    <xf numFmtId="9" fontId="0" fillId="2" borderId="12" xfId="0" applyNumberFormat="1" applyFill="1" applyBorder="1" applyAlignment="1">
      <alignment horizontal="center" vertical="center"/>
    </xf>
    <xf numFmtId="9" fontId="0" fillId="2" borderId="11" xfId="0" applyNumberFormat="1" applyFill="1" applyBorder="1" applyAlignment="1">
      <alignment horizontal="center" vertical="center"/>
    </xf>
    <xf numFmtId="0" fontId="0" fillId="5" borderId="0" xfId="0" applyFill="1" applyAlignment="1">
      <alignment horizontal="left" vertical="center" wrapText="1"/>
    </xf>
    <xf numFmtId="0" fontId="3" fillId="6" borderId="16" xfId="0" applyFont="1" applyFill="1" applyBorder="1" applyAlignment="1">
      <alignment horizontal="center" vertical="center"/>
    </xf>
    <xf numFmtId="0" fontId="3" fillId="6" borderId="16" xfId="0" applyFont="1" applyFill="1" applyBorder="1" applyAlignment="1">
      <alignment vertical="center" wrapText="1"/>
    </xf>
    <xf numFmtId="0" fontId="0" fillId="0" borderId="16" xfId="0" applyBorder="1" applyAlignment="1">
      <alignment vertical="center" wrapText="1"/>
    </xf>
    <xf numFmtId="0" fontId="0" fillId="0" borderId="16" xfId="0" applyBorder="1" applyAlignment="1">
      <alignment horizontal="left" vertical="center" wrapText="1"/>
    </xf>
    <xf numFmtId="0" fontId="0" fillId="0" borderId="16" xfId="0" quotePrefix="1" applyBorder="1" applyAlignment="1">
      <alignment horizontal="left" vertical="center" wrapText="1"/>
    </xf>
    <xf numFmtId="0" fontId="4" fillId="0" borderId="16" xfId="0" applyFont="1" applyBorder="1" applyAlignment="1">
      <alignment horizontal="center" vertical="center"/>
    </xf>
    <xf numFmtId="0" fontId="0" fillId="0" borderId="16" xfId="0" applyBorder="1" applyAlignment="1">
      <alignment horizontal="center" vertical="center" wrapText="1"/>
    </xf>
    <xf numFmtId="0" fontId="9" fillId="0" borderId="16" xfId="0" applyFont="1" applyBorder="1" applyAlignment="1">
      <alignment vertical="center" wrapText="1"/>
    </xf>
    <xf numFmtId="0" fontId="7" fillId="0" borderId="16" xfId="0" applyFont="1" applyBorder="1" applyAlignment="1">
      <alignment vertical="center" wrapText="1"/>
    </xf>
    <xf numFmtId="0" fontId="4" fillId="0" borderId="16" xfId="0" applyFont="1" applyBorder="1" applyAlignment="1">
      <alignment vertical="center" wrapText="1"/>
    </xf>
    <xf numFmtId="0" fontId="0" fillId="0" borderId="16" xfId="0" applyBorder="1" applyAlignment="1">
      <alignment horizontal="left" vertical="center"/>
    </xf>
    <xf numFmtId="0" fontId="5" fillId="6" borderId="21" xfId="0" applyFont="1" applyFill="1" applyBorder="1" applyAlignment="1">
      <alignment horizontal="center" vertical="center" wrapText="1"/>
    </xf>
    <xf numFmtId="0" fontId="5" fillId="6" borderId="20" xfId="0" applyFont="1" applyFill="1" applyBorder="1" applyAlignment="1">
      <alignment horizontal="center" vertical="center" wrapText="1"/>
    </xf>
    <xf numFmtId="0" fontId="0" fillId="0" borderId="13" xfId="0" applyBorder="1" applyAlignment="1">
      <alignment horizontal="left" vertical="center" wrapText="1"/>
    </xf>
    <xf numFmtId="0" fontId="0" fillId="0" borderId="0" xfId="0" applyAlignment="1">
      <alignment horizontal="left" vertical="center" wrapText="1"/>
    </xf>
    <xf numFmtId="0" fontId="0" fillId="5" borderId="14" xfId="0" applyFill="1" applyBorder="1" applyAlignment="1">
      <alignment horizontal="left" vertical="center" wrapText="1"/>
    </xf>
    <xf numFmtId="0" fontId="0" fillId="0" borderId="2" xfId="0" applyBorder="1" applyAlignment="1">
      <alignment horizontal="left" vertical="center" wrapText="1"/>
    </xf>
    <xf numFmtId="9" fontId="0" fillId="5" borderId="0" xfId="1" applyFont="1" applyFill="1"/>
    <xf numFmtId="9" fontId="0" fillId="0" borderId="14" xfId="1" applyFont="1" applyBorder="1" applyAlignment="1">
      <alignment horizontal="center" vertical="center"/>
    </xf>
    <xf numFmtId="9" fontId="0" fillId="0" borderId="14" xfId="1" applyFont="1" applyBorder="1" applyAlignment="1">
      <alignment horizontal="left" vertical="center"/>
    </xf>
    <xf numFmtId="9" fontId="0" fillId="0" borderId="3" xfId="1" applyFont="1" applyBorder="1" applyAlignment="1">
      <alignment horizontal="center" vertical="center"/>
    </xf>
    <xf numFmtId="9" fontId="0" fillId="0" borderId="4" xfId="1" applyFont="1" applyBorder="1" applyAlignment="1">
      <alignment horizontal="center" vertical="center"/>
    </xf>
    <xf numFmtId="9" fontId="0" fillId="0" borderId="1" xfId="1" applyFont="1" applyBorder="1" applyAlignment="1">
      <alignment horizontal="center" vertical="center"/>
    </xf>
    <xf numFmtId="9" fontId="0" fillId="5" borderId="0" xfId="1" applyFont="1" applyFill="1" applyAlignment="1">
      <alignment horizontal="center" vertical="center"/>
    </xf>
    <xf numFmtId="9" fontId="0" fillId="0" borderId="0" xfId="1" applyFont="1"/>
    <xf numFmtId="0" fontId="0" fillId="5" borderId="14" xfId="0" applyFill="1" applyBorder="1" applyAlignment="1">
      <alignment horizontal="center" vertical="center"/>
    </xf>
    <xf numFmtId="0" fontId="0" fillId="0" borderId="13" xfId="0" applyBorder="1" applyAlignment="1">
      <alignment horizontal="center" vertical="center" wrapText="1"/>
    </xf>
    <xf numFmtId="0" fontId="0" fillId="0" borderId="14" xfId="0" applyBorder="1" applyAlignment="1">
      <alignment vertical="center" wrapText="1"/>
    </xf>
    <xf numFmtId="0" fontId="0" fillId="0" borderId="22" xfId="0" applyBorder="1" applyAlignment="1">
      <alignment horizontal="center" vertical="center"/>
    </xf>
    <xf numFmtId="9" fontId="0" fillId="4" borderId="22" xfId="0" applyNumberFormat="1" applyFill="1" applyBorder="1" applyAlignment="1">
      <alignment horizontal="center" vertical="center"/>
    </xf>
    <xf numFmtId="9" fontId="0" fillId="2" borderId="22" xfId="0" applyNumberFormat="1" applyFill="1" applyBorder="1" applyAlignment="1">
      <alignment horizontal="center" vertical="center"/>
    </xf>
    <xf numFmtId="9" fontId="0" fillId="3" borderId="22" xfId="0" applyNumberFormat="1" applyFill="1" applyBorder="1" applyAlignment="1">
      <alignment horizontal="center" vertical="center"/>
    </xf>
    <xf numFmtId="9" fontId="0" fillId="0" borderId="22" xfId="0" applyNumberFormat="1" applyBorder="1" applyAlignment="1">
      <alignment horizontal="center" vertical="center"/>
    </xf>
    <xf numFmtId="0" fontId="0" fillId="0" borderId="14" xfId="0" applyBorder="1"/>
    <xf numFmtId="0" fontId="2" fillId="0" borderId="22" xfId="0" applyFont="1" applyBorder="1" applyAlignment="1">
      <alignment horizontal="center" vertical="center" textRotation="90" wrapText="1"/>
    </xf>
    <xf numFmtId="0" fontId="3" fillId="6" borderId="19" xfId="0" applyFont="1" applyFill="1" applyBorder="1" applyAlignment="1">
      <alignment horizontal="center" vertical="center"/>
    </xf>
    <xf numFmtId="0" fontId="0" fillId="7" borderId="2" xfId="0" applyFill="1" applyBorder="1" applyAlignment="1">
      <alignment horizontal="center" vertical="center"/>
    </xf>
    <xf numFmtId="0" fontId="0" fillId="7" borderId="14" xfId="0" applyFill="1" applyBorder="1" applyAlignment="1">
      <alignment horizontal="left" vertical="center" wrapText="1"/>
    </xf>
    <xf numFmtId="0" fontId="0" fillId="7" borderId="14" xfId="0" applyFill="1" applyBorder="1" applyAlignment="1">
      <alignment horizontal="left" vertical="center"/>
    </xf>
    <xf numFmtId="0" fontId="0" fillId="7" borderId="22" xfId="0" applyFill="1" applyBorder="1" applyAlignment="1">
      <alignment horizontal="center" vertical="center"/>
    </xf>
    <xf numFmtId="0" fontId="0" fillId="7" borderId="14" xfId="0" applyFill="1" applyBorder="1" applyAlignment="1">
      <alignment horizontal="center" vertical="center" wrapText="1"/>
    </xf>
    <xf numFmtId="0" fontId="0" fillId="7" borderId="14" xfId="0" applyFill="1" applyBorder="1" applyAlignment="1">
      <alignment horizontal="center" vertical="center"/>
    </xf>
    <xf numFmtId="1" fontId="0" fillId="0" borderId="22" xfId="0" applyNumberFormat="1" applyBorder="1" applyAlignment="1">
      <alignment horizontal="center" vertical="center"/>
    </xf>
    <xf numFmtId="9" fontId="0" fillId="7" borderId="22" xfId="0" applyNumberFormat="1" applyFill="1" applyBorder="1" applyAlignment="1">
      <alignment horizontal="center" vertical="center"/>
    </xf>
    <xf numFmtId="0" fontId="0" fillId="5" borderId="22" xfId="0" applyFill="1" applyBorder="1" applyAlignment="1">
      <alignment horizontal="center" vertical="center"/>
    </xf>
    <xf numFmtId="0" fontId="0" fillId="8" borderId="14" xfId="0" applyFill="1" applyBorder="1" applyAlignment="1">
      <alignment horizontal="left" vertical="center" wrapText="1"/>
    </xf>
    <xf numFmtId="0" fontId="0" fillId="8" borderId="14" xfId="0" applyFill="1" applyBorder="1" applyAlignment="1">
      <alignment vertical="center" wrapText="1"/>
    </xf>
    <xf numFmtId="0" fontId="0" fillId="0" borderId="31" xfId="0" applyBorder="1" applyAlignment="1">
      <alignment horizontal="center" vertical="center"/>
    </xf>
    <xf numFmtId="0" fontId="0" fillId="0" borderId="28" xfId="0" applyBorder="1" applyAlignment="1">
      <alignment horizontal="center" vertical="center"/>
    </xf>
    <xf numFmtId="0" fontId="0" fillId="0" borderId="32" xfId="0" applyBorder="1" applyAlignment="1">
      <alignment horizontal="center" vertical="center"/>
    </xf>
    <xf numFmtId="0" fontId="0" fillId="0" borderId="14" xfId="0" applyBorder="1" applyAlignment="1">
      <alignment vertical="center"/>
    </xf>
    <xf numFmtId="0" fontId="0" fillId="0" borderId="23" xfId="0" applyBorder="1" applyAlignment="1">
      <alignment horizontal="center" vertical="center"/>
    </xf>
    <xf numFmtId="0" fontId="0" fillId="0" borderId="23" xfId="0" applyBorder="1" applyAlignment="1">
      <alignment horizontal="left" vertical="center" wrapText="1"/>
    </xf>
    <xf numFmtId="9" fontId="0" fillId="0" borderId="14" xfId="1" applyFont="1" applyBorder="1" applyAlignment="1">
      <alignment horizontal="left" vertical="center" wrapText="1"/>
    </xf>
    <xf numFmtId="0" fontId="0" fillId="7" borderId="14" xfId="0" applyFill="1" applyBorder="1"/>
    <xf numFmtId="0" fontId="0" fillId="0" borderId="30" xfId="0" applyBorder="1" applyAlignment="1">
      <alignment horizontal="left" vertical="center" wrapText="1"/>
    </xf>
    <xf numFmtId="0" fontId="0" fillId="7" borderId="14" xfId="0" applyFill="1" applyBorder="1" applyAlignment="1">
      <alignment horizontal="center"/>
    </xf>
    <xf numFmtId="0" fontId="0" fillId="0" borderId="23" xfId="0" applyBorder="1" applyAlignment="1">
      <alignment horizontal="left" vertical="center"/>
    </xf>
    <xf numFmtId="0" fontId="0" fillId="0" borderId="10" xfId="0" applyBorder="1" applyAlignment="1">
      <alignment horizontal="center" vertical="center"/>
    </xf>
    <xf numFmtId="1" fontId="0" fillId="7" borderId="22" xfId="0" applyNumberFormat="1" applyFill="1" applyBorder="1" applyAlignment="1">
      <alignment horizontal="center" vertical="center"/>
    </xf>
    <xf numFmtId="9" fontId="0" fillId="4" borderId="3" xfId="0" applyNumberFormat="1" applyFill="1" applyBorder="1" applyAlignment="1">
      <alignment horizontal="center" vertical="center"/>
    </xf>
    <xf numFmtId="9" fontId="0" fillId="4" borderId="4" xfId="0" applyNumberFormat="1" applyFill="1" applyBorder="1" applyAlignment="1">
      <alignment horizontal="center" vertical="center"/>
    </xf>
    <xf numFmtId="0" fontId="0" fillId="0" borderId="11" xfId="0" applyBorder="1" applyAlignment="1">
      <alignment horizontal="center" vertical="center"/>
    </xf>
    <xf numFmtId="0" fontId="0" fillId="0" borderId="25" xfId="0" applyBorder="1" applyAlignment="1">
      <alignment horizontal="center" vertical="center"/>
    </xf>
    <xf numFmtId="0" fontId="0" fillId="0" borderId="24" xfId="0" applyBorder="1" applyAlignment="1">
      <alignment horizontal="center" vertical="center"/>
    </xf>
    <xf numFmtId="0" fontId="0" fillId="0" borderId="27" xfId="0" applyBorder="1" applyAlignment="1">
      <alignment horizontal="center" vertical="center"/>
    </xf>
    <xf numFmtId="9" fontId="0" fillId="3" borderId="1" xfId="0" applyNumberFormat="1" applyFill="1" applyBorder="1" applyAlignment="1">
      <alignment horizontal="center" vertical="center"/>
    </xf>
    <xf numFmtId="0" fontId="2" fillId="0" borderId="1" xfId="0" applyFont="1" applyBorder="1" applyAlignment="1">
      <alignment horizontal="center" vertical="center" textRotation="90" wrapText="1"/>
    </xf>
    <xf numFmtId="0" fontId="0" fillId="0" borderId="26" xfId="0" applyBorder="1" applyAlignment="1">
      <alignment horizontal="center" vertical="center"/>
    </xf>
    <xf numFmtId="0" fontId="0" fillId="0" borderId="12" xfId="0" applyBorder="1" applyAlignment="1">
      <alignment horizontal="center" vertical="center"/>
    </xf>
    <xf numFmtId="0" fontId="0" fillId="0" borderId="29" xfId="0" applyBorder="1" applyAlignment="1">
      <alignment horizontal="center" vertical="center"/>
    </xf>
    <xf numFmtId="0" fontId="0" fillId="0" borderId="15" xfId="0" applyBorder="1" applyAlignment="1">
      <alignment horizontal="center" vertical="center" wrapText="1"/>
    </xf>
    <xf numFmtId="0" fontId="0" fillId="5" borderId="2" xfId="0" applyFill="1" applyBorder="1" applyAlignment="1">
      <alignment horizontal="left" vertical="center" wrapText="1"/>
    </xf>
    <xf numFmtId="0" fontId="0" fillId="0" borderId="15" xfId="0" applyBorder="1" applyAlignment="1">
      <alignment horizontal="left" vertical="center" wrapText="1"/>
    </xf>
    <xf numFmtId="9" fontId="0" fillId="0" borderId="10" xfId="1" applyFont="1" applyBorder="1" applyAlignment="1">
      <alignment horizontal="center" vertical="center"/>
    </xf>
    <xf numFmtId="0" fontId="2" fillId="0" borderId="3" xfId="0" applyFont="1" applyBorder="1" applyAlignment="1">
      <alignment horizontal="center" vertical="center" textRotation="90" wrapText="1"/>
    </xf>
    <xf numFmtId="9" fontId="0" fillId="4" borderId="0" xfId="0" applyNumberFormat="1" applyFill="1" applyAlignment="1">
      <alignment horizontal="center" vertical="center"/>
    </xf>
    <xf numFmtId="9" fontId="0" fillId="4" borderId="25" xfId="0" applyNumberFormat="1" applyFill="1" applyBorder="1" applyAlignment="1">
      <alignment horizontal="center" vertical="center"/>
    </xf>
    <xf numFmtId="0" fontId="2" fillId="0" borderId="4" xfId="0" applyFont="1" applyBorder="1" applyAlignment="1">
      <alignment horizontal="center" vertical="center" textRotation="90" wrapText="1"/>
    </xf>
    <xf numFmtId="9" fontId="0" fillId="0" borderId="0" xfId="0" applyNumberFormat="1" applyAlignment="1">
      <alignment horizontal="center" vertical="center"/>
    </xf>
    <xf numFmtId="9" fontId="0" fillId="3" borderId="26" xfId="0" applyNumberFormat="1" applyFill="1" applyBorder="1" applyAlignment="1">
      <alignment horizontal="center" vertical="center"/>
    </xf>
    <xf numFmtId="9" fontId="0" fillId="2" borderId="4" xfId="0" applyNumberFormat="1" applyFill="1" applyBorder="1" applyAlignment="1">
      <alignment horizontal="center" vertical="center"/>
    </xf>
    <xf numFmtId="0" fontId="0" fillId="0" borderId="23" xfId="0" applyBorder="1" applyAlignment="1">
      <alignment horizontal="center" vertical="center" wrapText="1"/>
    </xf>
    <xf numFmtId="0" fontId="0" fillId="0" borderId="14" xfId="0" applyBorder="1" applyAlignment="1">
      <alignment horizontal="center"/>
    </xf>
    <xf numFmtId="1" fontId="0" fillId="0" borderId="14" xfId="1" applyNumberFormat="1" applyFont="1" applyBorder="1" applyAlignment="1">
      <alignment horizontal="center" vertical="center" wrapText="1"/>
    </xf>
    <xf numFmtId="0" fontId="1" fillId="4" borderId="5" xfId="0" applyFont="1" applyFill="1" applyBorder="1" applyAlignment="1">
      <alignment horizontal="center" vertical="center"/>
    </xf>
    <xf numFmtId="0" fontId="1" fillId="4" borderId="7"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7"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7" xfId="0" applyFont="1" applyFill="1" applyBorder="1" applyAlignment="1">
      <alignment horizontal="center" vertical="center"/>
    </xf>
    <xf numFmtId="0" fontId="3" fillId="6" borderId="18" xfId="0" applyFont="1" applyFill="1" applyBorder="1" applyAlignment="1">
      <alignment horizontal="center" vertical="center"/>
    </xf>
    <xf numFmtId="0" fontId="5" fillId="6" borderId="19" xfId="0" applyFont="1" applyFill="1" applyBorder="1" applyAlignment="1">
      <alignment horizontal="center" vertical="center"/>
    </xf>
    <xf numFmtId="0" fontId="5" fillId="6" borderId="20" xfId="0" applyFont="1" applyFill="1" applyBorder="1" applyAlignment="1">
      <alignment horizontal="center" vertical="center"/>
    </xf>
    <xf numFmtId="0" fontId="5" fillId="6" borderId="19" xfId="0" applyFont="1" applyFill="1" applyBorder="1" applyAlignment="1">
      <alignment horizontal="center" vertical="center" wrapText="1"/>
    </xf>
    <xf numFmtId="0" fontId="5" fillId="6" borderId="20" xfId="0" applyFont="1" applyFill="1" applyBorder="1" applyAlignment="1">
      <alignment horizontal="center" vertical="center" wrapText="1"/>
    </xf>
    <xf numFmtId="0" fontId="5" fillId="6" borderId="21" xfId="0" applyFont="1" applyFill="1" applyBorder="1" applyAlignment="1">
      <alignment horizontal="center" vertical="center" wrapText="1"/>
    </xf>
    <xf numFmtId="0" fontId="0" fillId="0" borderId="16" xfId="0" applyBorder="1" applyAlignment="1">
      <alignment horizontal="center" vertical="center"/>
    </xf>
    <xf numFmtId="0" fontId="0" fillId="0" borderId="16" xfId="0" applyBorder="1" applyAlignment="1">
      <alignment vertical="center" wrapText="1"/>
    </xf>
    <xf numFmtId="0" fontId="0" fillId="0" borderId="16" xfId="0" applyBorder="1" applyAlignment="1">
      <alignment horizontal="left" vertical="center" wrapText="1"/>
    </xf>
    <xf numFmtId="0" fontId="0" fillId="0" borderId="16" xfId="0" applyBorder="1" applyAlignment="1">
      <alignment horizontal="center" vertical="center" wrapText="1"/>
    </xf>
    <xf numFmtId="0" fontId="1" fillId="5" borderId="0" xfId="0" applyFont="1" applyFill="1" applyAlignment="1">
      <alignment horizontal="left" vertical="center" wrapText="1"/>
    </xf>
  </cellXfs>
  <cellStyles count="2">
    <cellStyle name="Normal" xfId="0" builtinId="0"/>
    <cellStyle name="Per cent" xfId="1" builtinId="5"/>
  </cellStyles>
  <dxfs count="0"/>
  <tableStyles count="0" defaultTableStyle="TableStyleMedium2" defaultPivotStyle="PivotStyleLight16"/>
  <colors>
    <mruColors>
      <color rgb="FFFF7979"/>
      <color rgb="FF002E5F"/>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Minas Kamel" id="{64E32A25-49B7-4A34-84F9-B56F828175A3}" userId="Minas.Kamel@benchmarkestimating.com" providerId="PeoplePicker"/>
  <person displayName="Funsho Sanni" id="{89CCEBC5-50AE-4146-88EC-C632722DB643}" userId="funsho.sanni@benchmarkestimating.com" providerId="PeoplePicker"/>
  <person displayName="Richard Casey" id="{5677BE71-3F82-47ED-B11B-72F871FF0169}" userId="Richard.Casey@benchmarkestimating.com" providerId="PeoplePicker"/>
  <person displayName="Jerome Comptdaer" id="{32A4B0E3-0EA5-1849-A070-495EB7482133}" userId="jerome.comptdaer@benchmarkestimating.com" providerId="PeoplePicker"/>
  <person displayName="Venkatesh Jalendiran" id="{F3C0189D-759E-2442-8FA3-338692A63672}" userId="Venkatesh.Jalendiran@benchmarkestimating.com" providerId="PeoplePicker"/>
  <person displayName="Minas Kamel" id="{0DEDC832-C2EC-4677-B1AC-0D0517B632CD}" userId="S::Minas.Kamel@benchmarkestimating.com::710a1b56-78dd-433d-8931-decc8f2762e6" providerId="AD"/>
  <person displayName="Minas Kamel" id="{4A9F88E2-0710-4C4E-BE7E-D307098210BC}" userId="S::minas.kamel@benchmarkestimating.com::710a1b56-78dd-433d-8931-decc8f2762e6" providerId="AD"/>
  <person displayName="Funsho Sanni" id="{B503E45E-3B43-474D-8C02-A0DE3DC8784C}" userId="S::funsho.sanni@benchmarkestimating.com::3f5774cc-1de5-43b7-a20d-db524388278f" providerId="AD"/>
  <person displayName="Richard Casey" id="{76989ED8-115C-4D5D-97E5-5AD4368C592B}" userId="S::richard.casey@benchmarkestimating.com::ec25d59a-7f5a-4a4a-bfe7-73778066bf00" providerId="AD"/>
  <person displayName="Jerome Comptdaer" id="{D3754947-D9D5-47F6-AA62-47E2C9891C58}" userId="S::jerome.comptdaer@benchmarkestimating.com::cd1399af-6ee8-4193-a69d-6ae0296a95c6" providerId="AD"/>
  <person displayName="Venkatesh Jalendiran" id="{6C197D61-A7F2-48D0-AFB8-2E1B5C85AF4A}" userId="S::venkatesh.jalendiran@benchmarkestimating.com::2d000853-eb16-4d90-9f69-03bf3ac98b8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14" dT="2025-12-02T04:00:18.56" personId="{0DEDC832-C2EC-4677-B1AC-0D0517B632CD}" id="{298BBE96-67E3-4953-B88B-4EFBBE5038FF}">
    <text>@Jerome Comptdaer  I’ll assume this is with Users &amp; Permissions as well</text>
    <mentions>
      <mention mentionpersonId="{32A4B0E3-0EA5-1849-A070-495EB7482133}" mentionId="{EE1E6712-7251-4793-B7ED-7395ACCDF47B}" startIndex="0" length="17"/>
    </mentions>
  </threadedComment>
  <threadedComment ref="L15" dT="2025-11-30T22:26:29.03" personId="{4A9F88E2-0710-4C4E-BE7E-D307098210BC}" id="{99EFB288-514E-4918-B0B3-0C22A4A1F797}">
    <text>@Richard Casey most of this is done, except for tagging and dimensions, that's why I put it as 25% (which means in dev).</text>
    <mentions>
      <mention mentionpersonId="{5677BE71-3F82-47ED-B11B-72F871FF0169}" mentionId="{D5CCC615-57C1-4530-8C1C-9A0AA0A35D09}" startIndex="0" length="14"/>
    </mentions>
  </threadedComment>
  <threadedComment ref="L15" dT="2025-12-01T00:47:01.53" personId="{4A9F88E2-0710-4C4E-BE7E-D307098210BC}" id="{54668D7B-77DF-48E5-9BEA-75655EB60254}" parentId="{99EFB288-514E-4918-B0B3-0C22A4A1F797}">
    <text>hi @Richard Casey , it's better for this one to be split to 2 points. 
"Admin main all libraries, update rates, manage item/resource build-ups" -&gt; this is 100%
"Admin approve star rates, configure dimensions and hierarchies" -&gt; 0%</text>
    <mentions>
      <mention mentionpersonId="{5677BE71-3F82-47ED-B11B-72F871FF0169}" mentionId="{241D86C3-A542-41B5-91C1-B2883A524913}" startIndex="3" length="14"/>
    </mentions>
  </threadedComment>
  <threadedComment ref="E19" dT="2025-12-01T00:31:09.50" personId="{4A9F88E2-0710-4C4E-BE7E-D307098210BC}" id="{FA31F6B9-15A6-4460-B707-C534365E25C3}">
    <text xml:space="preserve">@Venkatesh Jalendiran what do you think of this one? </text>
    <mentions>
      <mention mentionpersonId="{F3C0189D-759E-2442-8FA3-338692A63672}" mentionId="{A836AF3B-D547-49AB-BCF1-39C588662056}" startIndex="0" length="21"/>
    </mentions>
  </threadedComment>
  <threadedComment ref="E19" dT="2025-12-01T03:29:29.88" personId="{6C197D61-A7F2-48D0-AFB8-2E1B5C85AF4A}" id="{11E4B3F2-0EFA-4F9A-A055-D0956E8EDE0A}" parentId="{FA31F6B9-15A6-4460-B707-C534365E25C3}">
    <text>@Minas Kamel I am not sure about this, I haven't come across this requirement yet. may be check with Funsho as her squad implemented resource import part.</text>
    <mentions>
      <mention mentionpersonId="{64E32A25-49B7-4A34-84F9-B56F828175A3}" mentionId="{B1963CAA-46C9-4082-825E-3A3993036752}" startIndex="0" length="12"/>
    </mentions>
  </threadedComment>
  <threadedComment ref="C28" dT="2025-12-03T07:49:52.79" personId="{D3754947-D9D5-47F6-AA62-47E2C9891C58}" id="{B8E27943-B225-412D-8FB0-978C6E300950}">
    <text>@Minas Kamel  why Dashboards come in 2B? I think this can be prepared separately (through Jonny)</text>
    <mentions>
      <mention mentionpersonId="{64E32A25-49B7-4A34-84F9-B56F828175A3}" mentionId="{7DE2EEB9-A59C-4D49-B64C-034641F7E7D8}" startIndex="0" length="12"/>
    </mentions>
  </threadedComment>
  <threadedComment ref="C28" dT="2025-12-03T08:59:37.50" personId="{D3754947-D9D5-47F6-AA62-47E2C9891C58}" id="{09050FA7-3DF0-41A7-B346-48EB0E2500CA}" parentId="{B8E27943-B225-412D-8FB0-978C6E300950}">
    <text xml:space="preserve">@Richard Casey  we can’t find any of these  requirements. Could you confirm where this is coming from? </text>
    <mentions>
      <mention mentionpersonId="{5677BE71-3F82-47ED-B11B-72F871FF0169}" mentionId="{8DF49A18-A75C-4058-8E91-DCBBB624E9F7}" startIndex="0" length="14"/>
    </mentions>
  </threadedComment>
  <threadedComment ref="C28" dT="2025-12-03T13:12:24.23" personId="{76989ED8-115C-4D5D-97E5-5AD4368C592B}" id="{48DC94E0-F109-41A7-8423-116225524FFA}" parentId="{B8E27943-B225-412D-8FB0-978C6E300950}">
    <text>@Jerome Comptdaer - main chapter is chapter 8 FR's 230, 280, 300, 310, 320, 350, 400, 910, 1820 also chapter 1 FR's 263, 570 Chapter 2 FR 160 Chapter 3&amp;4 FR's 910 and 1150 chapter 6 FR 2500 and Chapter 12 FR 1901.</text>
    <mentions>
      <mention mentionpersonId="{32A4B0E3-0EA5-1849-A070-495EB7482133}" mentionId="{FEA1E5AB-91E8-4E2A-8F06-3B2003FCDCAC}" startIndex="0" length="17"/>
    </mentions>
  </threadedComment>
  <threadedComment ref="C28" dT="2025-12-03T13:12:43.98" personId="{76989ED8-115C-4D5D-97E5-5AD4368C592B}" id="{16E0E83A-4065-4380-AC47-BA03790A0F8C}" parentId="{B8E27943-B225-412D-8FB0-978C6E300950}">
    <text xml:space="preserve">Sample of dashboard related FR
</text>
  </threadedComment>
  <threadedComment ref="E43" dT="2025-12-02T03:51:07.61" personId="{D3754947-D9D5-47F6-AA62-47E2C9891C58}" id="{FE3F6B4B-E803-4F18-BC09-3B9DC8CF2690}">
    <text>@Minas Kamel  - I thought we had this as part of carbon. FYI, this was implemented recently for SW</text>
    <mentions>
      <mention mentionpersonId="{64E32A25-49B7-4A34-84F9-B56F828175A3}" mentionId="{B152EEC6-2EC8-4AAB-8CA6-7F74783D7D78}" startIndex="0" length="12"/>
    </mentions>
  </threadedComment>
  <threadedComment ref="E122" dT="2025-12-03T01:19:33.83" personId="{4A9F88E2-0710-4C4E-BE7E-D307098210BC}" id="{C51DBCD7-C614-4032-959F-3DDF8909435B}">
    <text>@Venkatesh Jalendiran  we have bulk import, but we are missing the approval part.</text>
    <mentions>
      <mention mentionpersonId="{F3C0189D-759E-2442-8FA3-338692A63672}" mentionId="{B3463327-FC22-4545-833C-FA1CA91797BA}" startIndex="0" length="21"/>
    </mentions>
  </threadedComment>
  <threadedComment ref="E122" dT="2025-12-03T07:48:29.80" personId="{D3754947-D9D5-47F6-AA62-47E2C9891C58}" id="{84B96358-EDA7-4570-B7CC-138A482FDD2B}" parentId="{C51DBCD7-C614-4032-959F-3DDF8909435B}">
    <text>@Minas Kamel if we have bulk import, this should go with roles and permissions + offline admin request</text>
    <mentions>
      <mention mentionpersonId="{64E32A25-49B7-4A34-84F9-B56F828175A3}" mentionId="{F6DFF12B-BF0D-4418-966E-708D99F21172}" startIndex="0" length="12"/>
    </mentions>
  </threadedComment>
  <threadedComment ref="D123" dT="2025-12-03T01:32:19.53" personId="{4A9F88E2-0710-4C4E-BE7E-D307098210BC}" id="{3ADB7C5D-E8A5-4B33-A576-1271FBE5E906}">
    <text>@Venkatesh Jalendiran are you familiar with this?</text>
    <mentions>
      <mention mentionpersonId="{F3C0189D-759E-2442-8FA3-338692A63672}" mentionId="{52665347-7C97-406F-A8EC-060432FFE6BC}" startIndex="0" length="21"/>
    </mentions>
  </threadedComment>
  <threadedComment ref="E123" dT="2025-12-02T09:20:59.86" personId="{6C197D61-A7F2-48D0-AFB8-2E1B5C85AF4A}" id="{F2274FF7-35DE-4C6D-AFF8-876F5E8393EC}">
    <text>Need to confirm with NH, still it is required.</text>
  </threadedComment>
  <threadedComment ref="E124" dT="2025-12-01T12:46:10.20" personId="{B503E45E-3B43-474D-8C02-A0DE3DC8784C}" id="{4C3CAABB-D8A4-44DF-86C9-0C097AFCF5C1}">
    <text>@Richard Casey Added this as Contractor fee library is still outstanding and was not represented on the workbook</text>
    <mentions>
      <mention mentionpersonId="{5677BE71-3F82-47ED-B11B-72F871FF0169}" mentionId="{224BB02E-9CFE-4203-ABAC-F52152F4F223}" startIndex="0" length="14"/>
    </mentions>
  </threadedComment>
  <threadedComment ref="E127" dT="2025-12-02T23:15:30.48" personId="{0DEDC832-C2EC-4677-B1AC-0D0517B632CD}" id="{70629B72-AAE8-4B17-BD64-D0CE5E94749C}">
    <text>@Venkatesh Jalendiran  can we discuss this one? Don’t we have this for Cost?</text>
    <mentions>
      <mention mentionpersonId="{F3C0189D-759E-2442-8FA3-338692A63672}" mentionId="{1C0112E2-8A3D-48A7-AD6F-2ED36A2C610F}" startIndex="0" length="21"/>
    </mentions>
  </threadedComment>
  <threadedComment ref="E127" dT="2025-12-02T23:19:15.72" personId="{6C197D61-A7F2-48D0-AFB8-2E1B5C85AF4A}" id="{FC2203DA-FB89-48A8-A28E-E029DB4688B3}" parentId="{70629B72-AAE8-4B17-BD64-D0CE5E94749C}">
    <text>@Minas Kamel  Yes we have for Cost.</text>
    <mentions>
      <mention mentionpersonId="{64E32A25-49B7-4A34-84F9-B56F828175A3}" mentionId="{1A41F465-29A1-499A-9F6D-C6C1157D4DE6}" startIndex="0" length="12"/>
    </mentions>
  </threadedComment>
  <threadedComment ref="E127" dT="2025-12-02T23:20:39.88" personId="{6C197D61-A7F2-48D0-AFB8-2E1B5C85AF4A}" id="{F553B12D-431C-431B-AD5A-7C4DDAEE23C0}" parentId="{70629B72-AAE8-4B17-BD64-D0CE5E94749C}">
    <text xml:space="preserve">Once we complete Carbon for item library in upcoming release, this will be 100%. </text>
  </threadedComment>
  <threadedComment ref="C135" dT="2025-12-01T03:47:34.46" personId="{4A9F88E2-0710-4C4E-BE7E-D307098210BC}" id="{2C039B49-A89B-43C5-BA30-5E7A39713425}">
    <text>@Funsho Sanni  would you please this LTA section? I have put them all as 5% since they are in scope/design.</text>
    <mentions>
      <mention mentionpersonId="{89CCEBC5-50AE-4146-88EC-C632722DB643}" mentionId="{4096427F-D053-4BDC-9D71-521CC3154F34}" startIndex="0" length="13"/>
    </mentions>
  </threadedComment>
  <threadedComment ref="E159" dT="2025-12-02T02:26:35.30" personId="{D3754947-D9D5-47F6-AA62-47E2C9891C58}" id="{07EBD708-C36C-4439-A6CF-49B7DF3562BC}">
    <text xml:space="preserve">@Minas Kamel This should be considered as part of the improvements done for roles &amp; permissions. </text>
    <mentions>
      <mention mentionpersonId="{64E32A25-49B7-4A34-84F9-B56F828175A3}" mentionId="{AE2CE217-FBA8-496E-8B99-88F6014F1B05}" startIndex="0" length="12"/>
    </mentions>
  </threadedComment>
  <threadedComment ref="E159" dT="2025-12-02T02:31:06.24" personId="{0DEDC832-C2EC-4677-B1AC-0D0517B632CD}" id="{D56EB9A8-857D-482E-8279-85D0770F4A0E}" parentId="{07EBD708-C36C-4439-A6CF-49B7DF3562BC}">
    <text>Yes could be. We haven’t decided yet on the “without a user license” part</text>
  </threadedComment>
  <threadedComment ref="E164" dT="2025-12-03T01:28:58.28" personId="{4A9F88E2-0710-4C4E-BE7E-D307098210BC}" id="{1025BAB2-5C45-4C41-8237-AC610331162F}">
    <text>@Jerome Comptdaer  We'll assume this is Audit Trail</text>
    <mentions>
      <mention mentionpersonId="{32A4B0E3-0EA5-1849-A070-495EB7482133}" mentionId="{10769F2E-5C74-4A24-8CFA-4057AD7C1E41}" startIndex="0" length="17"/>
    </mentions>
  </threadedComment>
  <threadedComment ref="E171" dT="2025-12-01T03:53:07.33" personId="{4A9F88E2-0710-4C4E-BE7E-D307098210BC}" id="{F5D9C47B-84B5-4F91-A2BC-9D0832CA1E3C}">
    <text>@Funsho Sanni can you check this one please?</text>
    <mentions>
      <mention mentionpersonId="{89CCEBC5-50AE-4146-88EC-C632722DB643}" mentionId="{5E653766-F501-46BC-99D4-BF5A7475C789}" startIndex="0" length="13"/>
    </mentions>
  </threadedComment>
  <threadedComment ref="E181" dT="2025-12-02T02:29:56.98" personId="{D3754947-D9D5-47F6-AA62-47E2C9891C58}" id="{070ED50F-2D47-4E2E-A38E-4C49D1032AF0}">
    <text xml:space="preserve">@Minas Kamel - is this the integration with the Reporting tool? </text>
    <mentions>
      <mention mentionpersonId="{64E32A25-49B7-4A34-84F9-B56F828175A3}" mentionId="{6D6A973E-37CC-421C-8368-47CFA3787684}" startIndex="0" length="12"/>
    </mentions>
  </threadedComment>
  <threadedComment ref="E189" dT="2025-12-01T04:00:48.17" personId="{4A9F88E2-0710-4C4E-BE7E-D307098210BC}" id="{BB7C415F-3DD0-43C6-9CE2-9D2181EC63F0}">
    <text>@Funsho Sanni can you check this one?</text>
    <mentions>
      <mention mentionpersonId="{89CCEBC5-50AE-4146-88EC-C632722DB643}" mentionId="{5D193804-9AB5-40B1-92C9-DDA4B9E3511D}" startIndex="0" length="13"/>
    </mentions>
  </threadedComment>
  <threadedComment ref="E196" dT="2025-12-01T12:48:27.29" personId="{B503E45E-3B43-474D-8C02-A0DE3DC8784C}" id="{5CB975D0-150D-433B-8BBB-C7C22B097B19}">
    <text>@Richard Casey I believe we are also missing Programme and portfolio risk as I cant see those on the tracker</text>
    <mentions>
      <mention mentionpersonId="{5677BE71-3F82-47ED-B11B-72F871FF0169}" mentionId="{3C0EA40F-8550-4148-A668-35C0F19B09CC}" startIndex="0" length="14"/>
    </mentions>
  </threadedComment>
  <threadedComment ref="M216" dT="2025-11-27T03:12:03.23" personId="{4A9F88E2-0710-4C4E-BE7E-D307098210BC}" id="{7E9277AE-C479-2742-9E71-9F35A7F3D6E6}">
    <text xml:space="preserve">@Venkatesh Jalendiran since we have Role-Based Access rolled out, why it's 35% only? 
cc: @Jerome Comptdaer </text>
    <mentions>
      <mention mentionpersonId="{F3C0189D-759E-2442-8FA3-338692A63672}" mentionId="{29ED0E69-8A89-9948-B298-88DBC237F64B}" startIndex="0" length="21"/>
      <mention mentionpersonId="{32A4B0E3-0EA5-1849-A070-495EB7482133}" mentionId="{E00637B6-5E57-9B46-B881-63E8C70A3853}" startIndex="90" length="17"/>
    </mentions>
  </threadedComment>
  <threadedComment ref="E217" dT="2025-12-02T02:32:39.71" personId="{D3754947-D9D5-47F6-AA62-47E2C9891C58}" id="{DE36B765-6C5C-4A0F-B806-C0DCDB2C4E6B}">
    <text>@Minas Kamel  Similar to the point above with access to non-license, we can add this to the role &amp; permission initiative</text>
    <mentions>
      <mention mentionpersonId="{64E32A25-49B7-4A34-84F9-B56F828175A3}" mentionId="{3B05F9B7-A87B-4804-87D4-EE0323C9D625}" startIndex="0" length="12"/>
    </mentions>
  </threadedComment>
  <threadedComment ref="C220" dT="2025-12-02T02:33:23.00" personId="{D3754947-D9D5-47F6-AA62-47E2C9891C58}" id="{C71001AC-C4B5-4A3A-BCC8-EFBD1068E297}">
    <text>@Minas Kamel  should be planned as part of Workflow</text>
    <mentions>
      <mention mentionpersonId="{64E32A25-49B7-4A34-84F9-B56F828175A3}" mentionId="{450959B9-8435-4FCB-A91F-4AD51E145F50}" startIndex="0" length="12"/>
    </mentions>
  </threadedComment>
  <threadedComment ref="C220" dT="2025-12-02T02:43:32.62" personId="{0DEDC832-C2EC-4677-B1AC-0D0517B632CD}" id="{31DEDAFA-E9EA-4BB6-8433-020DA7825FD3}" parentId="{C71001AC-C4B5-4A3A-BCC8-EFBD1068E297}">
    <text>Makes sense
@Funsho: we need to revisit  the PRD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9/04/relationships/namedSheetView" Target="../namedSheetViews/namedSheetView1.x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B02C1-374C-43E9-95A6-A4E349875BDF}">
  <dimension ref="B1:C31"/>
  <sheetViews>
    <sheetView view="pageBreakPreview" zoomScaleNormal="100" zoomScaleSheetLayoutView="100" workbookViewId="0">
      <pane ySplit="2" topLeftCell="A15" activePane="bottomLeft" state="frozen"/>
      <selection pane="bottomLeft" activeCell="C22" sqref="C22"/>
    </sheetView>
  </sheetViews>
  <sheetFormatPr baseColWidth="10" defaultColWidth="8.7109375" defaultRowHeight="16" x14ac:dyDescent="0.2"/>
  <cols>
    <col min="1" max="1" width="3.7109375" style="14" customWidth="1"/>
    <col min="2" max="2" width="23.28515625" style="19" bestFit="1" customWidth="1"/>
    <col min="3" max="3" width="77.28515625" style="19" customWidth="1"/>
    <col min="4" max="16384" width="8.7109375" style="14"/>
  </cols>
  <sheetData>
    <row r="1" spans="2:3" ht="9" customHeight="1" x14ac:dyDescent="0.2"/>
    <row r="2" spans="2:3" x14ac:dyDescent="0.2">
      <c r="B2" s="18" t="s">
        <v>0</v>
      </c>
    </row>
    <row r="3" spans="2:3" ht="6.5" customHeight="1" x14ac:dyDescent="0.2"/>
    <row r="4" spans="2:3" x14ac:dyDescent="0.2">
      <c r="B4" s="18" t="s">
        <v>1</v>
      </c>
      <c r="C4" s="18" t="s">
        <v>2</v>
      </c>
    </row>
    <row r="6" spans="2:3" ht="31.25" customHeight="1" x14ac:dyDescent="0.2">
      <c r="B6" s="42" t="s">
        <v>3</v>
      </c>
      <c r="C6" s="20" t="s">
        <v>4</v>
      </c>
    </row>
    <row r="7" spans="2:3" x14ac:dyDescent="0.2">
      <c r="B7" s="42"/>
    </row>
    <row r="8" spans="2:3" ht="34" x14ac:dyDescent="0.2">
      <c r="B8" s="42" t="s">
        <v>5</v>
      </c>
      <c r="C8" s="20" t="s">
        <v>6</v>
      </c>
    </row>
    <row r="9" spans="2:3" x14ac:dyDescent="0.2">
      <c r="B9" s="42"/>
    </row>
    <row r="10" spans="2:3" ht="17" x14ac:dyDescent="0.2">
      <c r="B10" s="42" t="s">
        <v>7</v>
      </c>
      <c r="C10" s="20" t="s">
        <v>8</v>
      </c>
    </row>
    <row r="11" spans="2:3" x14ac:dyDescent="0.2">
      <c r="B11" s="42"/>
    </row>
    <row r="12" spans="2:3" ht="34" x14ac:dyDescent="0.2">
      <c r="B12" s="42" t="s">
        <v>9</v>
      </c>
      <c r="C12" s="20" t="s">
        <v>10</v>
      </c>
    </row>
    <row r="13" spans="2:3" x14ac:dyDescent="0.2">
      <c r="B13" s="42"/>
    </row>
    <row r="14" spans="2:3" ht="34" x14ac:dyDescent="0.2">
      <c r="B14" s="42" t="s">
        <v>11</v>
      </c>
      <c r="C14" s="20" t="s">
        <v>12</v>
      </c>
    </row>
    <row r="15" spans="2:3" x14ac:dyDescent="0.2">
      <c r="B15" s="42"/>
    </row>
    <row r="16" spans="2:3" ht="34" x14ac:dyDescent="0.2">
      <c r="B16" s="42" t="s">
        <v>13</v>
      </c>
      <c r="C16" s="20" t="s">
        <v>14</v>
      </c>
    </row>
    <row r="17" spans="2:3" x14ac:dyDescent="0.2">
      <c r="B17" s="42"/>
    </row>
    <row r="18" spans="2:3" ht="85" x14ac:dyDescent="0.2">
      <c r="B18" s="42" t="s">
        <v>15</v>
      </c>
      <c r="C18" s="20" t="s">
        <v>16</v>
      </c>
    </row>
    <row r="19" spans="2:3" x14ac:dyDescent="0.2">
      <c r="B19" s="42"/>
    </row>
    <row r="20" spans="2:3" ht="34" x14ac:dyDescent="0.2">
      <c r="B20" s="42" t="s">
        <v>17</v>
      </c>
      <c r="C20" s="20" t="s">
        <v>18</v>
      </c>
    </row>
    <row r="21" spans="2:3" x14ac:dyDescent="0.2">
      <c r="B21" s="42"/>
    </row>
    <row r="22" spans="2:3" ht="34" x14ac:dyDescent="0.2">
      <c r="B22" s="42" t="s">
        <v>19</v>
      </c>
      <c r="C22" s="20" t="s">
        <v>20</v>
      </c>
    </row>
    <row r="23" spans="2:3" x14ac:dyDescent="0.2">
      <c r="B23" s="42"/>
    </row>
    <row r="24" spans="2:3" x14ac:dyDescent="0.2">
      <c r="B24" s="42" t="s">
        <v>21</v>
      </c>
      <c r="C24" s="19" t="s">
        <v>22</v>
      </c>
    </row>
    <row r="25" spans="2:3" x14ac:dyDescent="0.2">
      <c r="B25" s="42"/>
    </row>
    <row r="26" spans="2:3" ht="34" x14ac:dyDescent="0.2">
      <c r="B26" s="42" t="s">
        <v>23</v>
      </c>
      <c r="C26" s="20" t="s">
        <v>24</v>
      </c>
    </row>
    <row r="27" spans="2:3" x14ac:dyDescent="0.2">
      <c r="B27" s="42"/>
    </row>
    <row r="28" spans="2:3" ht="51" x14ac:dyDescent="0.2">
      <c r="B28" s="42" t="s">
        <v>25</v>
      </c>
      <c r="C28" s="20" t="s">
        <v>26</v>
      </c>
    </row>
    <row r="29" spans="2:3" x14ac:dyDescent="0.2">
      <c r="B29" s="42"/>
    </row>
    <row r="30" spans="2:3" x14ac:dyDescent="0.2">
      <c r="B30" s="42"/>
    </row>
    <row r="31" spans="2:3" ht="68" x14ac:dyDescent="0.2">
      <c r="B31" s="56" t="s">
        <v>27</v>
      </c>
      <c r="C31" s="20" t="s">
        <v>28</v>
      </c>
    </row>
  </sheetData>
  <pageMargins left="0.7" right="0.7" top="0.75" bottom="0.75" header="0.3" footer="0.3"/>
  <pageSetup paperSize="9" scale="67"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95DE3-536A-4043-972B-8A1FA2760D28}">
  <sheetPr filterMode="1"/>
  <dimension ref="A1:V246"/>
  <sheetViews>
    <sheetView tabSelected="1" zoomScale="55" zoomScaleNormal="55" zoomScaleSheetLayoutView="80" workbookViewId="0">
      <pane ySplit="6" topLeftCell="A174" activePane="bottomLeft" state="frozen"/>
      <selection pane="bottomLeft" activeCell="T49" sqref="T49:T213"/>
    </sheetView>
  </sheetViews>
  <sheetFormatPr baseColWidth="10" defaultColWidth="8.7109375" defaultRowHeight="16" x14ac:dyDescent="0.2"/>
  <cols>
    <col min="1" max="1" width="2.140625" style="14" customWidth="1"/>
    <col min="2" max="2" width="7.85546875" style="1" customWidth="1"/>
    <col min="3" max="3" width="26.42578125" style="1" customWidth="1"/>
    <col min="4" max="4" width="40.42578125" style="71" customWidth="1"/>
    <col min="5" max="5" width="72.85546875" style="71" customWidth="1"/>
    <col min="6" max="6" width="31.7109375" style="31" customWidth="1"/>
    <col min="7" max="7" width="23.85546875" style="31" customWidth="1"/>
    <col min="8" max="8" width="14.7109375" style="43" customWidth="1"/>
    <col min="9" max="20" width="5.7109375" style="1" customWidth="1"/>
    <col min="21" max="21" width="2.28515625" style="16" customWidth="1"/>
  </cols>
  <sheetData>
    <row r="1" spans="1:21" s="14" customFormat="1" x14ac:dyDescent="0.2">
      <c r="B1" s="16"/>
      <c r="C1" s="16"/>
      <c r="D1" s="56"/>
      <c r="E1" s="56"/>
      <c r="F1" s="27"/>
      <c r="G1" s="27"/>
      <c r="H1" s="42"/>
      <c r="I1" s="16"/>
      <c r="J1" s="16"/>
      <c r="K1" s="16"/>
      <c r="L1" s="16"/>
      <c r="M1" s="16"/>
      <c r="N1" s="16"/>
      <c r="O1" s="16"/>
      <c r="P1" s="16"/>
      <c r="Q1" s="16"/>
      <c r="R1" s="16"/>
      <c r="S1" s="16"/>
      <c r="T1" s="16"/>
      <c r="U1" s="16"/>
    </row>
    <row r="2" spans="1:21" s="14" customFormat="1" hidden="1" x14ac:dyDescent="0.2">
      <c r="B2" s="16"/>
      <c r="C2" s="16"/>
      <c r="D2" s="56"/>
      <c r="E2" s="56"/>
      <c r="F2" s="27"/>
      <c r="G2" s="27"/>
      <c r="H2" s="42"/>
      <c r="I2" s="16"/>
      <c r="J2" s="16"/>
      <c r="K2" s="16"/>
      <c r="L2" s="16"/>
      <c r="M2" s="16"/>
      <c r="N2" s="16"/>
      <c r="O2" s="16"/>
      <c r="P2" s="16"/>
      <c r="Q2" s="16"/>
      <c r="R2" s="16"/>
      <c r="S2" s="16"/>
      <c r="T2" s="16"/>
      <c r="U2" s="16"/>
    </row>
    <row r="3" spans="1:21" s="14" customFormat="1" ht="9.5" hidden="1" customHeight="1" thickBot="1" x14ac:dyDescent="0.2">
      <c r="B3" s="16"/>
      <c r="C3" s="16"/>
      <c r="D3" s="56"/>
      <c r="E3" s="56"/>
      <c r="F3" s="27"/>
      <c r="G3" s="27"/>
      <c r="H3" s="42"/>
      <c r="I3" s="16"/>
      <c r="J3" s="16"/>
      <c r="K3" s="16"/>
      <c r="L3" s="16"/>
      <c r="M3" s="16"/>
      <c r="N3" s="16"/>
      <c r="O3" s="16"/>
      <c r="P3" s="16"/>
      <c r="Q3" s="16"/>
      <c r="R3" s="16"/>
      <c r="S3" s="16"/>
      <c r="T3" s="16"/>
      <c r="U3" s="16"/>
    </row>
    <row r="4" spans="1:21" ht="13.25" hidden="1" customHeight="1" thickBot="1" x14ac:dyDescent="0.25">
      <c r="B4" s="150" t="s">
        <v>29</v>
      </c>
      <c r="C4" s="150"/>
      <c r="D4" s="150"/>
      <c r="E4" s="150"/>
      <c r="F4" s="92"/>
      <c r="G4" s="92"/>
      <c r="H4" s="153" t="s">
        <v>30</v>
      </c>
      <c r="I4" s="142" t="s">
        <v>31</v>
      </c>
      <c r="J4" s="143"/>
      <c r="K4" s="144" t="s">
        <v>32</v>
      </c>
      <c r="L4" s="145"/>
      <c r="M4" s="145"/>
      <c r="N4" s="145"/>
      <c r="O4" s="145"/>
      <c r="P4" s="145"/>
      <c r="Q4" s="146"/>
      <c r="R4" s="147" t="s">
        <v>33</v>
      </c>
      <c r="S4" s="148"/>
      <c r="T4" s="149"/>
    </row>
    <row r="5" spans="1:21" ht="46.5" hidden="1" customHeight="1" thickBot="1" x14ac:dyDescent="0.25">
      <c r="B5" s="151" t="s">
        <v>34</v>
      </c>
      <c r="C5" s="151" t="s">
        <v>35</v>
      </c>
      <c r="D5" s="153" t="s">
        <v>36</v>
      </c>
      <c r="E5" s="153" t="s">
        <v>37</v>
      </c>
      <c r="F5" s="68" t="s">
        <v>38</v>
      </c>
      <c r="G5" s="68" t="s">
        <v>39</v>
      </c>
      <c r="H5" s="155"/>
      <c r="I5" s="48">
        <v>0</v>
      </c>
      <c r="J5" s="49">
        <v>0.05</v>
      </c>
      <c r="K5" s="50">
        <v>0.1</v>
      </c>
      <c r="L5" s="51">
        <v>0.25</v>
      </c>
      <c r="M5" s="51">
        <v>0.35</v>
      </c>
      <c r="N5" s="51">
        <v>0.45</v>
      </c>
      <c r="O5" s="51">
        <v>0.55000000000000004</v>
      </c>
      <c r="P5" s="51">
        <v>0.7</v>
      </c>
      <c r="Q5" s="52">
        <v>0.8</v>
      </c>
      <c r="R5" s="53">
        <v>0.9</v>
      </c>
      <c r="S5" s="54">
        <v>0.95</v>
      </c>
      <c r="T5" s="55">
        <v>1</v>
      </c>
    </row>
    <row r="6" spans="1:21" s="2" customFormat="1" ht="46.5" hidden="1" customHeight="1" thickBot="1" x14ac:dyDescent="0.2">
      <c r="A6" s="15"/>
      <c r="B6" s="152"/>
      <c r="C6" s="152"/>
      <c r="D6" s="154"/>
      <c r="E6" s="154"/>
      <c r="F6" s="69" t="s">
        <v>40</v>
      </c>
      <c r="G6" s="69"/>
      <c r="H6" s="154"/>
      <c r="I6" s="6" t="s">
        <v>3</v>
      </c>
      <c r="J6" s="7" t="s">
        <v>5</v>
      </c>
      <c r="K6" s="11" t="s">
        <v>7</v>
      </c>
      <c r="L6" s="8" t="s">
        <v>9</v>
      </c>
      <c r="M6" s="8" t="s">
        <v>11</v>
      </c>
      <c r="N6" s="8" t="s">
        <v>13</v>
      </c>
      <c r="O6" s="8" t="s">
        <v>15</v>
      </c>
      <c r="P6" s="8" t="s">
        <v>17</v>
      </c>
      <c r="Q6" s="12" t="s">
        <v>19</v>
      </c>
      <c r="R6" s="13" t="s">
        <v>21</v>
      </c>
      <c r="S6" s="9" t="s">
        <v>23</v>
      </c>
      <c r="T6" s="10" t="s">
        <v>25</v>
      </c>
      <c r="U6" s="17"/>
    </row>
    <row r="7" spans="1:21" s="16" customFormat="1" ht="30" hidden="1" customHeight="1" x14ac:dyDescent="0.2">
      <c r="A7" s="14"/>
      <c r="B7" s="38" t="e">
        <f>#REF!+1</f>
        <v>#REF!</v>
      </c>
      <c r="C7" s="40" t="s">
        <v>41</v>
      </c>
      <c r="D7" s="37" t="s">
        <v>42</v>
      </c>
      <c r="E7" s="37" t="s">
        <v>43</v>
      </c>
      <c r="F7" s="41">
        <v>1</v>
      </c>
      <c r="G7" s="41" t="s">
        <v>44</v>
      </c>
      <c r="H7" s="35"/>
      <c r="I7" s="86">
        <v>0</v>
      </c>
      <c r="J7" s="85"/>
      <c r="K7" s="85"/>
      <c r="L7" s="85"/>
      <c r="M7" s="85"/>
      <c r="N7" s="85"/>
      <c r="O7" s="85"/>
      <c r="P7" s="85"/>
      <c r="Q7" s="85"/>
      <c r="R7" s="85"/>
      <c r="S7" s="85"/>
      <c r="T7" s="85"/>
    </row>
    <row r="8" spans="1:21" s="16" customFormat="1" ht="30" hidden="1" customHeight="1" x14ac:dyDescent="0.2">
      <c r="A8" s="14"/>
      <c r="B8" s="38" t="e">
        <f>B7+1</f>
        <v>#REF!</v>
      </c>
      <c r="C8" s="40" t="s">
        <v>41</v>
      </c>
      <c r="D8" s="37" t="s">
        <v>45</v>
      </c>
      <c r="E8" s="37" t="s">
        <v>46</v>
      </c>
      <c r="F8" s="41">
        <v>2</v>
      </c>
      <c r="G8" s="41" t="s">
        <v>44</v>
      </c>
      <c r="H8" s="35"/>
      <c r="I8" s="85"/>
      <c r="J8" s="85"/>
      <c r="K8" s="85"/>
      <c r="L8" s="85"/>
      <c r="M8" s="85"/>
      <c r="N8" s="88">
        <v>0.45</v>
      </c>
      <c r="O8" s="85"/>
      <c r="P8" s="85"/>
      <c r="Q8" s="85"/>
      <c r="R8" s="85"/>
      <c r="S8" s="85"/>
      <c r="T8" s="89"/>
    </row>
    <row r="9" spans="1:21" s="16" customFormat="1" ht="30" hidden="1" customHeight="1" x14ac:dyDescent="0.2">
      <c r="A9" s="14"/>
      <c r="B9" s="38" t="e">
        <f>B8+1</f>
        <v>#REF!</v>
      </c>
      <c r="C9" s="40" t="s">
        <v>41</v>
      </c>
      <c r="D9" s="37" t="s">
        <v>47</v>
      </c>
      <c r="E9" s="37" t="s">
        <v>48</v>
      </c>
      <c r="F9" s="41">
        <v>2</v>
      </c>
      <c r="G9" s="41" t="s">
        <v>44</v>
      </c>
      <c r="H9" s="35"/>
      <c r="I9" s="85"/>
      <c r="J9" s="85"/>
      <c r="K9" s="85"/>
      <c r="L9" s="88">
        <v>0.25</v>
      </c>
      <c r="M9" s="85"/>
      <c r="N9" s="85"/>
      <c r="O9" s="85"/>
      <c r="P9" s="85"/>
      <c r="Q9" s="85"/>
      <c r="R9" s="85"/>
      <c r="S9" s="85"/>
      <c r="T9" s="85"/>
    </row>
    <row r="10" spans="1:21" s="16" customFormat="1" ht="30" hidden="1" customHeight="1" x14ac:dyDescent="0.2">
      <c r="A10" s="14"/>
      <c r="B10" s="38">
        <v>1</v>
      </c>
      <c r="C10" s="40" t="s">
        <v>41</v>
      </c>
      <c r="D10" s="37" t="s">
        <v>49</v>
      </c>
      <c r="E10" s="37" t="s">
        <v>50</v>
      </c>
      <c r="F10" s="41">
        <v>1</v>
      </c>
      <c r="G10" s="41" t="s">
        <v>51</v>
      </c>
      <c r="H10" s="35"/>
      <c r="I10" s="85"/>
      <c r="J10" s="86">
        <v>0.05</v>
      </c>
      <c r="K10" s="85"/>
      <c r="L10" s="85"/>
      <c r="M10" s="85"/>
      <c r="N10" s="85"/>
      <c r="O10" s="85"/>
      <c r="P10" s="85"/>
      <c r="Q10" s="85"/>
      <c r="R10" s="85"/>
      <c r="S10" s="85"/>
      <c r="T10" s="85"/>
    </row>
    <row r="11" spans="1:21" s="16" customFormat="1" ht="30" hidden="1" customHeight="1" x14ac:dyDescent="0.2">
      <c r="A11" s="14"/>
      <c r="B11" s="38">
        <f t="shared" ref="B11:B16" si="0">B10+1</f>
        <v>2</v>
      </c>
      <c r="C11" s="40" t="s">
        <v>41</v>
      </c>
      <c r="D11" s="37" t="s">
        <v>52</v>
      </c>
      <c r="E11" s="37" t="s">
        <v>53</v>
      </c>
      <c r="F11" s="41">
        <v>1</v>
      </c>
      <c r="G11" s="41" t="s">
        <v>51</v>
      </c>
      <c r="H11" s="35"/>
      <c r="I11" s="89"/>
      <c r="J11" s="86">
        <v>0.05</v>
      </c>
      <c r="K11" s="85"/>
      <c r="L11" s="85"/>
      <c r="M11" s="85"/>
      <c r="N11" s="85"/>
      <c r="O11" s="85"/>
      <c r="P11" s="85"/>
      <c r="Q11" s="85"/>
      <c r="R11" s="85"/>
      <c r="S11" s="85"/>
      <c r="T11" s="85"/>
    </row>
    <row r="12" spans="1:21" s="16" customFormat="1" ht="30" hidden="1" customHeight="1" x14ac:dyDescent="0.2">
      <c r="A12" s="14"/>
      <c r="B12" s="38">
        <f t="shared" si="0"/>
        <v>3</v>
      </c>
      <c r="C12" s="40" t="s">
        <v>41</v>
      </c>
      <c r="D12" s="37" t="s">
        <v>54</v>
      </c>
      <c r="E12" s="37" t="s">
        <v>55</v>
      </c>
      <c r="F12" s="41">
        <v>1</v>
      </c>
      <c r="G12" s="41" t="s">
        <v>51</v>
      </c>
      <c r="H12" s="35"/>
      <c r="I12" s="85"/>
      <c r="J12" s="85"/>
      <c r="K12" s="85"/>
      <c r="L12" s="88">
        <v>0.25</v>
      </c>
      <c r="M12" s="85"/>
      <c r="N12" s="85"/>
      <c r="O12" s="85"/>
      <c r="P12" s="85"/>
      <c r="Q12" s="85"/>
      <c r="R12" s="85"/>
      <c r="S12" s="85"/>
      <c r="T12" s="85"/>
    </row>
    <row r="13" spans="1:21" s="16" customFormat="1" ht="30" hidden="1" customHeight="1" x14ac:dyDescent="0.2">
      <c r="A13" s="14"/>
      <c r="B13" s="38">
        <f t="shared" si="0"/>
        <v>4</v>
      </c>
      <c r="C13" s="41" t="s">
        <v>41</v>
      </c>
      <c r="D13" s="37" t="s">
        <v>56</v>
      </c>
      <c r="E13" s="37" t="s">
        <v>57</v>
      </c>
      <c r="F13" s="41">
        <v>1</v>
      </c>
      <c r="G13" s="41" t="s">
        <v>51</v>
      </c>
      <c r="H13" s="37"/>
      <c r="I13" s="85"/>
      <c r="J13" s="85"/>
      <c r="K13" s="85"/>
      <c r="L13" s="88">
        <v>0.25</v>
      </c>
      <c r="M13" s="85"/>
      <c r="N13" s="85"/>
      <c r="O13" s="85"/>
      <c r="P13" s="85"/>
      <c r="Q13" s="85"/>
      <c r="R13" s="85"/>
      <c r="S13" s="85"/>
      <c r="T13" s="85"/>
    </row>
    <row r="14" spans="1:21" s="16" customFormat="1" ht="30" hidden="1" customHeight="1" x14ac:dyDescent="0.2">
      <c r="A14" s="14"/>
      <c r="B14" s="38">
        <f t="shared" si="0"/>
        <v>5</v>
      </c>
      <c r="C14" s="40" t="s">
        <v>41</v>
      </c>
      <c r="D14" s="37" t="s">
        <v>58</v>
      </c>
      <c r="E14" s="37" t="s">
        <v>59</v>
      </c>
      <c r="F14" s="41">
        <v>1</v>
      </c>
      <c r="G14" s="41" t="s">
        <v>44</v>
      </c>
      <c r="H14" s="35"/>
      <c r="I14" s="85"/>
      <c r="J14" s="86">
        <v>0.05</v>
      </c>
      <c r="K14" s="85"/>
      <c r="L14" s="85"/>
      <c r="M14" s="85"/>
      <c r="N14" s="85"/>
      <c r="O14" s="85"/>
      <c r="P14" s="85"/>
      <c r="Q14" s="85"/>
      <c r="R14" s="85"/>
      <c r="S14" s="85"/>
      <c r="T14" s="85"/>
    </row>
    <row r="15" spans="1:21" s="16" customFormat="1" ht="30" hidden="1" customHeight="1" x14ac:dyDescent="0.2">
      <c r="A15" s="14"/>
      <c r="B15" s="38">
        <f t="shared" si="0"/>
        <v>6</v>
      </c>
      <c r="C15" s="40" t="s">
        <v>41</v>
      </c>
      <c r="D15" s="37" t="s">
        <v>60</v>
      </c>
      <c r="E15" s="37" t="s">
        <v>61</v>
      </c>
      <c r="F15" s="41">
        <v>1</v>
      </c>
      <c r="G15" s="41" t="s">
        <v>44</v>
      </c>
      <c r="H15" s="35"/>
      <c r="I15" s="85"/>
      <c r="J15" s="85"/>
      <c r="K15" s="85"/>
      <c r="L15" s="88">
        <v>0.25</v>
      </c>
      <c r="M15" s="85"/>
      <c r="N15" s="85"/>
      <c r="O15" s="89"/>
      <c r="P15" s="85"/>
      <c r="Q15" s="85"/>
      <c r="R15" s="85"/>
      <c r="S15" s="85"/>
      <c r="T15" s="85"/>
    </row>
    <row r="16" spans="1:21" s="16" customFormat="1" ht="30" hidden="1" customHeight="1" x14ac:dyDescent="0.2">
      <c r="A16" s="14"/>
      <c r="B16" s="38">
        <f t="shared" si="0"/>
        <v>7</v>
      </c>
      <c r="C16" s="40" t="s">
        <v>41</v>
      </c>
      <c r="D16" s="37" t="s">
        <v>62</v>
      </c>
      <c r="E16" s="37" t="s">
        <v>63</v>
      </c>
      <c r="F16" s="41">
        <v>1</v>
      </c>
      <c r="G16" s="41" t="s">
        <v>51</v>
      </c>
      <c r="H16" s="35"/>
      <c r="I16" s="86">
        <v>0</v>
      </c>
      <c r="J16" s="89"/>
      <c r="K16" s="85"/>
      <c r="L16" s="85"/>
      <c r="M16" s="85"/>
      <c r="N16" s="85"/>
      <c r="O16" s="85"/>
      <c r="P16" s="85"/>
      <c r="Q16" s="85"/>
      <c r="R16" s="85"/>
      <c r="S16" s="85"/>
      <c r="T16" s="85"/>
    </row>
    <row r="17" spans="1:22" s="16" customFormat="1" ht="30" hidden="1" customHeight="1" x14ac:dyDescent="0.2">
      <c r="A17" s="14"/>
      <c r="B17" s="38">
        <f>B15+1</f>
        <v>7</v>
      </c>
      <c r="C17" s="41" t="s">
        <v>64</v>
      </c>
      <c r="D17" s="37" t="s">
        <v>65</v>
      </c>
      <c r="E17" s="37" t="s">
        <v>66</v>
      </c>
      <c r="F17" s="41">
        <v>2</v>
      </c>
      <c r="G17" s="83" t="s">
        <v>67</v>
      </c>
      <c r="H17" s="37"/>
      <c r="I17" s="86">
        <v>0</v>
      </c>
      <c r="J17" s="85"/>
      <c r="K17" s="85"/>
      <c r="L17" s="85"/>
      <c r="M17" s="85"/>
      <c r="N17" s="85"/>
      <c r="O17" s="85"/>
      <c r="P17" s="85"/>
      <c r="Q17" s="85"/>
      <c r="R17" s="85"/>
      <c r="S17" s="85"/>
      <c r="T17" s="85"/>
    </row>
    <row r="18" spans="1:22" s="16" customFormat="1" ht="30" hidden="1" customHeight="1" thickBot="1" x14ac:dyDescent="0.25">
      <c r="A18" s="14"/>
      <c r="B18" s="38">
        <f t="shared" ref="B18:B27" si="1">B17+1</f>
        <v>8</v>
      </c>
      <c r="C18" s="128" t="s">
        <v>64</v>
      </c>
      <c r="D18" s="130" t="s">
        <v>68</v>
      </c>
      <c r="E18" s="130" t="s">
        <v>69</v>
      </c>
      <c r="F18" s="128">
        <v>1</v>
      </c>
      <c r="G18" s="83" t="s">
        <v>67</v>
      </c>
      <c r="H18" s="130"/>
      <c r="I18" s="86">
        <v>0</v>
      </c>
      <c r="J18" s="85"/>
      <c r="K18" s="85"/>
      <c r="L18" s="85"/>
      <c r="M18" s="85"/>
      <c r="N18" s="85"/>
      <c r="O18" s="85"/>
      <c r="P18" s="85"/>
      <c r="Q18" s="85"/>
      <c r="R18" s="85"/>
      <c r="S18" s="85"/>
      <c r="T18" s="85"/>
    </row>
    <row r="19" spans="1:22" s="16" customFormat="1" ht="43.5" hidden="1" customHeight="1" x14ac:dyDescent="0.2">
      <c r="A19" s="14"/>
      <c r="B19" s="38">
        <f t="shared" si="1"/>
        <v>9</v>
      </c>
      <c r="C19" s="108" t="s">
        <v>64</v>
      </c>
      <c r="D19" s="109" t="s">
        <v>70</v>
      </c>
      <c r="E19" s="109" t="s">
        <v>71</v>
      </c>
      <c r="F19" s="139">
        <v>1</v>
      </c>
      <c r="G19" s="83" t="s">
        <v>67</v>
      </c>
      <c r="H19" s="114"/>
      <c r="I19" s="133">
        <v>0</v>
      </c>
      <c r="J19" s="136"/>
      <c r="K19" s="1"/>
      <c r="L19" s="1"/>
      <c r="M19" s="1"/>
      <c r="N19" s="1"/>
      <c r="O19" s="1"/>
      <c r="P19" s="1"/>
      <c r="Q19" s="1"/>
      <c r="R19" s="1"/>
      <c r="S19" s="1"/>
      <c r="T19" s="1"/>
      <c r="V19"/>
    </row>
    <row r="20" spans="1:22" ht="30" hidden="1" customHeight="1" x14ac:dyDescent="0.2">
      <c r="B20" s="38">
        <f t="shared" si="1"/>
        <v>10</v>
      </c>
      <c r="C20" s="39" t="s">
        <v>64</v>
      </c>
      <c r="D20" s="70" t="s">
        <v>72</v>
      </c>
      <c r="E20" s="70" t="s">
        <v>73</v>
      </c>
      <c r="F20" s="83">
        <v>1</v>
      </c>
      <c r="G20" s="83" t="s">
        <v>67</v>
      </c>
      <c r="H20" s="36"/>
      <c r="I20" s="86">
        <v>0</v>
      </c>
      <c r="J20" s="85"/>
      <c r="K20" s="85"/>
      <c r="L20" s="85"/>
      <c r="M20" s="85"/>
      <c r="N20" s="85"/>
      <c r="O20" s="85"/>
      <c r="P20" s="85"/>
      <c r="Q20" s="85"/>
      <c r="R20" s="85"/>
      <c r="S20" s="85"/>
      <c r="T20" s="85"/>
    </row>
    <row r="21" spans="1:22" ht="30" hidden="1" customHeight="1" x14ac:dyDescent="0.2">
      <c r="B21" s="33">
        <f t="shared" si="1"/>
        <v>11</v>
      </c>
      <c r="C21" s="83" t="s">
        <v>64</v>
      </c>
      <c r="D21" s="37" t="s">
        <v>74</v>
      </c>
      <c r="E21" s="37" t="s">
        <v>75</v>
      </c>
      <c r="F21" s="41">
        <v>1</v>
      </c>
      <c r="G21" s="83" t="s">
        <v>67</v>
      </c>
      <c r="H21" s="37"/>
      <c r="I21" s="86">
        <v>0</v>
      </c>
      <c r="J21" s="85"/>
      <c r="K21" s="85"/>
      <c r="L21" s="85"/>
      <c r="M21" s="85"/>
      <c r="N21" s="85"/>
      <c r="O21" s="85"/>
      <c r="P21" s="85"/>
      <c r="Q21" s="85"/>
      <c r="R21" s="85"/>
      <c r="S21" s="85"/>
      <c r="T21" s="85"/>
    </row>
    <row r="22" spans="1:22" ht="30" hidden="1" customHeight="1" x14ac:dyDescent="0.2">
      <c r="B22" s="33">
        <f t="shared" si="1"/>
        <v>12</v>
      </c>
      <c r="C22" s="83" t="s">
        <v>64</v>
      </c>
      <c r="D22" s="37" t="s">
        <v>76</v>
      </c>
      <c r="E22" s="37" t="s">
        <v>77</v>
      </c>
      <c r="F22" s="41">
        <v>1</v>
      </c>
      <c r="G22" s="83" t="s">
        <v>67</v>
      </c>
      <c r="H22" s="37"/>
      <c r="I22" s="86">
        <v>0</v>
      </c>
      <c r="J22" s="85"/>
      <c r="K22" s="85"/>
      <c r="L22" s="85"/>
      <c r="M22" s="85"/>
      <c r="N22" s="85"/>
      <c r="O22" s="85"/>
      <c r="P22" s="85"/>
      <c r="Q22" s="85"/>
      <c r="R22" s="85"/>
      <c r="S22" s="85"/>
      <c r="T22" s="85"/>
    </row>
    <row r="23" spans="1:22" ht="30" hidden="1" customHeight="1" x14ac:dyDescent="0.2">
      <c r="B23" s="33">
        <f t="shared" si="1"/>
        <v>13</v>
      </c>
      <c r="C23" s="39" t="s">
        <v>64</v>
      </c>
      <c r="D23" s="37" t="s">
        <v>78</v>
      </c>
      <c r="E23" s="37" t="s">
        <v>79</v>
      </c>
      <c r="F23" s="41">
        <v>1</v>
      </c>
      <c r="G23" s="83" t="s">
        <v>67</v>
      </c>
      <c r="H23" s="35"/>
      <c r="I23" s="86">
        <v>0</v>
      </c>
      <c r="J23" s="85"/>
      <c r="K23" s="85"/>
      <c r="L23" s="85"/>
      <c r="M23" s="85"/>
      <c r="N23" s="85"/>
      <c r="O23" s="85"/>
      <c r="P23" s="85"/>
      <c r="Q23" s="85"/>
      <c r="R23" s="85"/>
      <c r="S23" s="85"/>
      <c r="T23" s="85"/>
      <c r="V23" s="16"/>
    </row>
    <row r="24" spans="1:22" ht="30" hidden="1" customHeight="1" x14ac:dyDescent="0.2">
      <c r="B24" s="33">
        <f t="shared" si="1"/>
        <v>14</v>
      </c>
      <c r="C24" s="39" t="s">
        <v>64</v>
      </c>
      <c r="D24" s="37" t="s">
        <v>80</v>
      </c>
      <c r="E24" s="37" t="s">
        <v>81</v>
      </c>
      <c r="F24" s="41">
        <v>1</v>
      </c>
      <c r="G24" s="83" t="s">
        <v>67</v>
      </c>
      <c r="H24" s="35"/>
      <c r="I24" s="86">
        <v>0</v>
      </c>
      <c r="J24" s="85"/>
      <c r="K24" s="85"/>
      <c r="L24" s="85"/>
      <c r="M24" s="85"/>
      <c r="N24" s="85"/>
      <c r="O24" s="85"/>
      <c r="P24" s="85"/>
      <c r="Q24" s="85"/>
      <c r="R24" s="85"/>
      <c r="S24" s="85"/>
      <c r="T24" s="85"/>
      <c r="V24" s="16"/>
    </row>
    <row r="25" spans="1:22" ht="30" hidden="1" customHeight="1" x14ac:dyDescent="0.2">
      <c r="B25" s="33">
        <f t="shared" si="1"/>
        <v>15</v>
      </c>
      <c r="C25" s="83" t="s">
        <v>64</v>
      </c>
      <c r="D25" s="37" t="s">
        <v>82</v>
      </c>
      <c r="E25" s="37" t="s">
        <v>83</v>
      </c>
      <c r="F25" s="41">
        <v>1</v>
      </c>
      <c r="G25" s="83" t="s">
        <v>67</v>
      </c>
      <c r="H25" s="37"/>
      <c r="I25" s="86">
        <v>0</v>
      </c>
      <c r="J25" s="85"/>
      <c r="K25" s="85"/>
      <c r="L25" s="85"/>
      <c r="M25" s="85"/>
      <c r="O25" s="85"/>
      <c r="P25" s="85"/>
      <c r="Q25" s="85"/>
      <c r="R25" s="85"/>
      <c r="S25" s="85"/>
      <c r="T25" s="85"/>
    </row>
    <row r="26" spans="1:22" ht="30" hidden="1" customHeight="1" x14ac:dyDescent="0.2">
      <c r="B26" s="33">
        <f t="shared" si="1"/>
        <v>16</v>
      </c>
      <c r="C26" s="83" t="s">
        <v>64</v>
      </c>
      <c r="D26" s="37" t="s">
        <v>84</v>
      </c>
      <c r="E26" s="37" t="s">
        <v>85</v>
      </c>
      <c r="F26" s="41">
        <v>1</v>
      </c>
      <c r="G26" s="83" t="s">
        <v>67</v>
      </c>
      <c r="H26" s="37"/>
      <c r="I26" s="86">
        <v>0</v>
      </c>
      <c r="J26" s="85"/>
      <c r="K26" s="85"/>
      <c r="L26" s="85"/>
      <c r="M26" s="85"/>
      <c r="N26" s="85"/>
      <c r="O26" s="85"/>
      <c r="P26" s="85"/>
      <c r="Q26" s="85"/>
      <c r="R26" s="85"/>
      <c r="S26" s="85"/>
      <c r="T26" s="85"/>
    </row>
    <row r="27" spans="1:22" ht="30" hidden="1" customHeight="1" x14ac:dyDescent="0.2">
      <c r="B27" s="33">
        <f t="shared" si="1"/>
        <v>17</v>
      </c>
      <c r="C27" s="83" t="s">
        <v>64</v>
      </c>
      <c r="D27" s="37" t="s">
        <v>86</v>
      </c>
      <c r="E27" s="37" t="s">
        <v>87</v>
      </c>
      <c r="F27" s="41">
        <v>1</v>
      </c>
      <c r="G27" s="83" t="s">
        <v>67</v>
      </c>
      <c r="H27" s="37"/>
      <c r="I27" s="86">
        <v>0</v>
      </c>
      <c r="J27" s="85"/>
      <c r="K27" s="85"/>
      <c r="L27" s="85"/>
      <c r="M27" s="85"/>
      <c r="N27" s="85"/>
      <c r="O27" s="85"/>
      <c r="P27" s="85"/>
      <c r="Q27" s="85"/>
      <c r="R27" s="85"/>
      <c r="S27" s="85"/>
      <c r="T27" s="85"/>
      <c r="V27" s="16"/>
    </row>
    <row r="28" spans="1:22" ht="30" customHeight="1" x14ac:dyDescent="0.2">
      <c r="B28" s="33">
        <f>B26+1</f>
        <v>17</v>
      </c>
      <c r="C28" s="83" t="s">
        <v>88</v>
      </c>
      <c r="D28" s="37" t="s">
        <v>89</v>
      </c>
      <c r="E28" s="37" t="s">
        <v>90</v>
      </c>
      <c r="F28" s="41">
        <v>1</v>
      </c>
      <c r="G28" s="83" t="s">
        <v>67</v>
      </c>
      <c r="H28" s="37"/>
      <c r="I28" s="86">
        <v>0</v>
      </c>
      <c r="J28" s="85"/>
      <c r="K28" s="85"/>
      <c r="L28" s="85"/>
      <c r="M28" s="85"/>
      <c r="N28" s="85"/>
      <c r="O28" s="85"/>
      <c r="P28" s="85"/>
      <c r="Q28" s="85"/>
      <c r="R28" s="85"/>
      <c r="S28" s="85"/>
      <c r="T28" s="85"/>
      <c r="V28" s="16"/>
    </row>
    <row r="29" spans="1:22" ht="30" customHeight="1" x14ac:dyDescent="0.2">
      <c r="B29" s="33">
        <f t="shared" ref="B29:B37" si="2">B28+1</f>
        <v>18</v>
      </c>
      <c r="C29" s="83" t="s">
        <v>88</v>
      </c>
      <c r="D29" s="37" t="s">
        <v>91</v>
      </c>
      <c r="E29" s="37" t="s">
        <v>92</v>
      </c>
      <c r="F29" s="41">
        <v>1</v>
      </c>
      <c r="G29" s="83" t="s">
        <v>67</v>
      </c>
      <c r="H29" s="37"/>
      <c r="I29" s="86">
        <v>0</v>
      </c>
      <c r="J29" s="85"/>
      <c r="K29" s="85"/>
      <c r="L29" s="85"/>
      <c r="M29" s="85"/>
      <c r="N29" s="85"/>
      <c r="O29" s="85"/>
      <c r="P29" s="85"/>
      <c r="Q29" s="85"/>
      <c r="R29" s="85"/>
      <c r="S29" s="85"/>
      <c r="T29" s="85"/>
      <c r="V29" s="16"/>
    </row>
    <row r="30" spans="1:22" ht="30" customHeight="1" x14ac:dyDescent="0.2">
      <c r="B30" s="33">
        <f t="shared" si="2"/>
        <v>19</v>
      </c>
      <c r="C30" s="83" t="s">
        <v>88</v>
      </c>
      <c r="D30" s="37" t="s">
        <v>93</v>
      </c>
      <c r="E30" s="37" t="s">
        <v>94</v>
      </c>
      <c r="F30" s="41">
        <v>1</v>
      </c>
      <c r="G30" s="83" t="s">
        <v>67</v>
      </c>
      <c r="H30" s="37"/>
      <c r="I30" s="86">
        <v>0</v>
      </c>
      <c r="T30" s="85"/>
      <c r="V30" s="16"/>
    </row>
    <row r="31" spans="1:22" ht="30" customHeight="1" x14ac:dyDescent="0.2">
      <c r="B31" s="33">
        <f t="shared" si="2"/>
        <v>20</v>
      </c>
      <c r="C31" s="41" t="s">
        <v>88</v>
      </c>
      <c r="D31" s="37" t="s">
        <v>95</v>
      </c>
      <c r="E31" s="37" t="s">
        <v>96</v>
      </c>
      <c r="F31" s="41">
        <v>1</v>
      </c>
      <c r="G31" s="83" t="s">
        <v>67</v>
      </c>
      <c r="H31" s="37"/>
      <c r="I31" s="86">
        <v>0</v>
      </c>
      <c r="J31" s="5"/>
      <c r="K31" s="4"/>
      <c r="L31" s="3"/>
      <c r="M31" s="3"/>
      <c r="N31" s="3"/>
      <c r="O31" s="3"/>
      <c r="P31" s="3"/>
      <c r="Q31" s="5"/>
      <c r="R31" s="4"/>
      <c r="S31" s="3"/>
      <c r="T31" s="3"/>
      <c r="V31" s="16"/>
    </row>
    <row r="32" spans="1:22" ht="42" customHeight="1" x14ac:dyDescent="0.2">
      <c r="B32" s="33">
        <f t="shared" si="2"/>
        <v>21</v>
      </c>
      <c r="C32" s="41" t="s">
        <v>88</v>
      </c>
      <c r="D32" s="37" t="s">
        <v>97</v>
      </c>
      <c r="E32" s="37" t="s">
        <v>98</v>
      </c>
      <c r="F32" s="41">
        <v>1</v>
      </c>
      <c r="G32" s="83" t="s">
        <v>67</v>
      </c>
      <c r="H32" s="37"/>
      <c r="I32" s="86">
        <v>0</v>
      </c>
      <c r="J32" s="105"/>
      <c r="K32" s="4"/>
      <c r="L32" s="3"/>
      <c r="M32" s="3"/>
      <c r="N32" s="3"/>
      <c r="O32" s="3"/>
      <c r="P32" s="3"/>
      <c r="Q32" s="5"/>
      <c r="R32" s="4"/>
      <c r="S32" s="3"/>
      <c r="T32" s="3"/>
      <c r="V32" s="16"/>
    </row>
    <row r="33" spans="1:22" ht="54.75" customHeight="1" x14ac:dyDescent="0.2">
      <c r="B33" s="33">
        <f t="shared" si="2"/>
        <v>22</v>
      </c>
      <c r="C33" s="41" t="s">
        <v>88</v>
      </c>
      <c r="D33" s="37" t="s">
        <v>99</v>
      </c>
      <c r="E33" s="37" t="s">
        <v>100</v>
      </c>
      <c r="F33" s="41">
        <v>1</v>
      </c>
      <c r="G33" s="83" t="s">
        <v>67</v>
      </c>
      <c r="H33" s="37"/>
      <c r="I33" s="86">
        <v>0</v>
      </c>
      <c r="K33" s="104"/>
      <c r="L33" s="3"/>
      <c r="M33" s="3"/>
      <c r="N33" s="3"/>
      <c r="O33" s="3"/>
      <c r="P33" s="3"/>
      <c r="Q33" s="5"/>
      <c r="R33" s="4"/>
      <c r="S33" s="3"/>
      <c r="T33" s="3"/>
    </row>
    <row r="34" spans="1:22" ht="30" customHeight="1" x14ac:dyDescent="0.2">
      <c r="B34" s="33">
        <f t="shared" si="2"/>
        <v>23</v>
      </c>
      <c r="C34" s="41" t="s">
        <v>88</v>
      </c>
      <c r="D34" s="37" t="s">
        <v>101</v>
      </c>
      <c r="E34" s="37" t="s">
        <v>102</v>
      </c>
      <c r="F34" s="41">
        <v>1</v>
      </c>
      <c r="G34" s="83" t="s">
        <v>67</v>
      </c>
      <c r="H34" s="37"/>
      <c r="I34" s="86">
        <v>0</v>
      </c>
      <c r="J34" s="106"/>
      <c r="K34" s="4"/>
      <c r="L34" s="3"/>
      <c r="M34" s="3"/>
      <c r="N34" s="3"/>
      <c r="O34" s="3"/>
      <c r="P34" s="3"/>
      <c r="Q34" s="5"/>
      <c r="R34" s="4"/>
      <c r="S34" s="3"/>
      <c r="T34" s="3"/>
    </row>
    <row r="35" spans="1:22" ht="30" customHeight="1" x14ac:dyDescent="0.2">
      <c r="B35" s="33">
        <f t="shared" si="2"/>
        <v>24</v>
      </c>
      <c r="C35" s="41" t="s">
        <v>88</v>
      </c>
      <c r="D35" s="37" t="s">
        <v>103</v>
      </c>
      <c r="E35" s="37" t="s">
        <v>104</v>
      </c>
      <c r="F35" s="41">
        <v>1</v>
      </c>
      <c r="G35" s="83" t="s">
        <v>67</v>
      </c>
      <c r="H35" s="37"/>
      <c r="I35" s="86">
        <v>0</v>
      </c>
      <c r="J35" s="5"/>
      <c r="K35" s="4"/>
      <c r="L35" s="3"/>
      <c r="M35" s="3"/>
      <c r="N35" s="3"/>
      <c r="O35" s="3"/>
      <c r="P35" s="3"/>
      <c r="Q35" s="5"/>
      <c r="R35" s="4"/>
      <c r="S35" s="3"/>
      <c r="T35" s="3"/>
    </row>
    <row r="36" spans="1:22" ht="30" customHeight="1" x14ac:dyDescent="0.2">
      <c r="B36" s="33">
        <f t="shared" si="2"/>
        <v>25</v>
      </c>
      <c r="C36" s="41" t="s">
        <v>88</v>
      </c>
      <c r="D36" s="37" t="s">
        <v>105</v>
      </c>
      <c r="E36" s="37" t="s">
        <v>106</v>
      </c>
      <c r="F36" s="41">
        <v>1</v>
      </c>
      <c r="G36" s="83" t="s">
        <v>67</v>
      </c>
      <c r="H36" s="37"/>
      <c r="I36" s="86">
        <v>0</v>
      </c>
      <c r="J36" s="5"/>
      <c r="K36" s="4"/>
      <c r="L36" s="3"/>
      <c r="M36" s="3"/>
      <c r="N36" s="3"/>
      <c r="O36" s="3"/>
      <c r="P36" s="3"/>
      <c r="Q36" s="5"/>
      <c r="R36" s="4"/>
      <c r="S36" s="3"/>
      <c r="T36" s="3"/>
    </row>
    <row r="37" spans="1:22" ht="30" customHeight="1" x14ac:dyDescent="0.2">
      <c r="B37" s="33">
        <f t="shared" si="2"/>
        <v>26</v>
      </c>
      <c r="C37" s="41" t="s">
        <v>88</v>
      </c>
      <c r="D37" s="37" t="s">
        <v>107</v>
      </c>
      <c r="E37" s="37" t="s">
        <v>108</v>
      </c>
      <c r="F37" s="41">
        <v>1</v>
      </c>
      <c r="G37" s="83" t="s">
        <v>67</v>
      </c>
      <c r="H37" s="37"/>
      <c r="I37" s="86">
        <v>0</v>
      </c>
      <c r="J37" s="5"/>
      <c r="K37" s="4"/>
      <c r="L37" s="3"/>
      <c r="M37" s="3"/>
      <c r="N37" s="3"/>
      <c r="O37" s="3"/>
      <c r="P37" s="3"/>
      <c r="Q37" s="5"/>
      <c r="R37" s="4"/>
      <c r="S37" s="3"/>
      <c r="T37" s="5"/>
    </row>
    <row r="38" spans="1:22" ht="30" hidden="1" customHeight="1" thickBot="1" x14ac:dyDescent="0.25">
      <c r="B38" s="33">
        <f>B36+1</f>
        <v>26</v>
      </c>
      <c r="C38" s="40" t="s">
        <v>109</v>
      </c>
      <c r="D38" s="37" t="s">
        <v>110</v>
      </c>
      <c r="E38" s="37" t="s">
        <v>111</v>
      </c>
      <c r="F38" s="41">
        <v>1</v>
      </c>
      <c r="G38" s="41" t="s">
        <v>51</v>
      </c>
      <c r="H38" s="37"/>
      <c r="I38" s="115"/>
      <c r="J38" s="118">
        <v>0.05</v>
      </c>
      <c r="K38" s="4"/>
      <c r="L38" s="3"/>
      <c r="M38" s="3"/>
      <c r="N38" s="3"/>
      <c r="O38" s="3"/>
      <c r="P38" s="3"/>
      <c r="Q38" s="5"/>
      <c r="R38" s="4"/>
      <c r="S38" s="3"/>
      <c r="T38" s="5"/>
    </row>
    <row r="39" spans="1:22" ht="30" hidden="1" customHeight="1" thickBot="1" x14ac:dyDescent="0.25">
      <c r="B39" s="33">
        <f t="shared" ref="B39:B48" si="3">B38+1</f>
        <v>27</v>
      </c>
      <c r="C39" s="40" t="s">
        <v>109</v>
      </c>
      <c r="D39" s="37" t="s">
        <v>112</v>
      </c>
      <c r="E39" s="37" t="s">
        <v>113</v>
      </c>
      <c r="F39" s="41">
        <v>1</v>
      </c>
      <c r="G39" s="41" t="s">
        <v>51</v>
      </c>
      <c r="H39" s="35"/>
      <c r="I39" s="115"/>
      <c r="J39" s="118">
        <v>0.05</v>
      </c>
      <c r="K39" s="4"/>
      <c r="L39" s="3"/>
      <c r="M39" s="3"/>
      <c r="N39" s="3"/>
      <c r="O39" s="3"/>
      <c r="P39" s="3"/>
      <c r="Q39" s="5"/>
      <c r="R39" s="4"/>
      <c r="S39" s="3"/>
      <c r="T39" s="5"/>
    </row>
    <row r="40" spans="1:22" ht="30" hidden="1" customHeight="1" thickBot="1" x14ac:dyDescent="0.25">
      <c r="B40" s="33">
        <f t="shared" si="3"/>
        <v>28</v>
      </c>
      <c r="C40" s="40" t="s">
        <v>109</v>
      </c>
      <c r="D40" s="37" t="s">
        <v>114</v>
      </c>
      <c r="E40" s="37" t="s">
        <v>115</v>
      </c>
      <c r="F40" s="41">
        <v>1</v>
      </c>
      <c r="G40" s="41" t="s">
        <v>51</v>
      </c>
      <c r="H40" s="35"/>
      <c r="I40" s="115"/>
      <c r="J40" s="118">
        <v>0.05</v>
      </c>
      <c r="K40" s="4"/>
      <c r="L40" s="3"/>
      <c r="M40" s="3"/>
      <c r="N40" s="3"/>
      <c r="O40" s="3"/>
      <c r="P40" s="3"/>
      <c r="Q40" s="5"/>
      <c r="R40" s="4"/>
      <c r="S40" s="3"/>
      <c r="T40" s="5"/>
    </row>
    <row r="41" spans="1:22" ht="30" hidden="1" customHeight="1" thickBot="1" x14ac:dyDescent="0.25">
      <c r="B41" s="33">
        <f t="shared" si="3"/>
        <v>29</v>
      </c>
      <c r="C41" s="75" t="s">
        <v>109</v>
      </c>
      <c r="D41" s="110" t="s">
        <v>116</v>
      </c>
      <c r="E41" s="110" t="s">
        <v>117</v>
      </c>
      <c r="F41" s="141">
        <v>1</v>
      </c>
      <c r="G41" s="41" t="s">
        <v>51</v>
      </c>
      <c r="H41" s="76"/>
      <c r="I41" s="131"/>
      <c r="J41" s="118">
        <v>0.05</v>
      </c>
      <c r="K41" s="77"/>
      <c r="L41" s="79"/>
      <c r="M41" s="79"/>
      <c r="N41" s="79"/>
      <c r="O41" s="79"/>
      <c r="P41" s="79"/>
      <c r="Q41" s="78"/>
      <c r="R41" s="77"/>
      <c r="S41" s="79"/>
      <c r="T41" s="78"/>
    </row>
    <row r="42" spans="1:22" ht="30" hidden="1" customHeight="1" x14ac:dyDescent="0.2">
      <c r="B42" s="33">
        <f t="shared" si="3"/>
        <v>30</v>
      </c>
      <c r="C42" s="40" t="s">
        <v>109</v>
      </c>
      <c r="D42" s="37" t="s">
        <v>118</v>
      </c>
      <c r="E42" s="37" t="s">
        <v>119</v>
      </c>
      <c r="F42" s="41">
        <v>1</v>
      </c>
      <c r="G42" s="41" t="s">
        <v>51</v>
      </c>
      <c r="H42" s="35"/>
      <c r="I42" s="86">
        <v>0</v>
      </c>
      <c r="J42" s="5"/>
      <c r="K42" s="4"/>
      <c r="L42" s="3"/>
      <c r="M42" s="3"/>
      <c r="N42" s="3"/>
      <c r="O42" s="3"/>
      <c r="P42" s="3"/>
      <c r="Q42" s="5"/>
      <c r="R42" s="4"/>
      <c r="S42" s="3"/>
      <c r="T42" s="5"/>
    </row>
    <row r="43" spans="1:22" ht="30" hidden="1" customHeight="1" x14ac:dyDescent="0.2">
      <c r="B43" s="33">
        <f t="shared" si="3"/>
        <v>31</v>
      </c>
      <c r="C43" s="40" t="s">
        <v>109</v>
      </c>
      <c r="D43" s="37" t="s">
        <v>120</v>
      </c>
      <c r="E43" s="37" t="s">
        <v>121</v>
      </c>
      <c r="F43" s="41">
        <v>1</v>
      </c>
      <c r="G43" s="41" t="s">
        <v>51</v>
      </c>
      <c r="H43" s="35"/>
      <c r="J43" s="86">
        <v>0.05</v>
      </c>
      <c r="K43" s="4"/>
      <c r="L43" s="3"/>
      <c r="M43" s="3"/>
      <c r="N43" s="3"/>
      <c r="O43" s="3"/>
      <c r="P43" s="3"/>
      <c r="Q43" s="5"/>
      <c r="R43" s="4"/>
      <c r="S43" s="3"/>
      <c r="T43" s="5"/>
    </row>
    <row r="44" spans="1:22" ht="34" hidden="1" x14ac:dyDescent="0.2">
      <c r="B44" s="33">
        <f t="shared" si="3"/>
        <v>32</v>
      </c>
      <c r="C44" s="40" t="s">
        <v>109</v>
      </c>
      <c r="D44" s="37" t="s">
        <v>122</v>
      </c>
      <c r="E44" s="37" t="s">
        <v>123</v>
      </c>
      <c r="F44" s="41">
        <v>1</v>
      </c>
      <c r="G44" s="41" t="s">
        <v>51</v>
      </c>
      <c r="H44" s="35"/>
      <c r="I44" s="86">
        <v>0</v>
      </c>
      <c r="J44" s="5"/>
      <c r="K44" s="4"/>
      <c r="L44" s="3"/>
      <c r="M44" s="3"/>
      <c r="N44" s="3"/>
      <c r="O44" s="3"/>
      <c r="P44" s="3"/>
      <c r="Q44" s="5"/>
      <c r="R44" s="4"/>
      <c r="S44" s="3"/>
      <c r="T44" s="5"/>
      <c r="V44" s="16"/>
    </row>
    <row r="45" spans="1:22" ht="30" hidden="1" customHeight="1" x14ac:dyDescent="0.2">
      <c r="B45" s="33">
        <f t="shared" si="3"/>
        <v>33</v>
      </c>
      <c r="C45" s="40" t="s">
        <v>109</v>
      </c>
      <c r="D45" s="84" t="s">
        <v>124</v>
      </c>
      <c r="E45" s="84" t="s">
        <v>125</v>
      </c>
      <c r="F45" s="41">
        <v>1</v>
      </c>
      <c r="G45" s="41" t="s">
        <v>51</v>
      </c>
      <c r="H45" s="35"/>
      <c r="I45" s="117">
        <v>0</v>
      </c>
      <c r="J45" s="5"/>
      <c r="K45" s="4"/>
      <c r="L45" s="3"/>
      <c r="M45" s="3"/>
      <c r="N45" s="3"/>
      <c r="O45" s="3"/>
      <c r="P45" s="3"/>
      <c r="Q45" s="5"/>
      <c r="R45" s="4"/>
      <c r="S45" s="3"/>
      <c r="T45" s="5"/>
      <c r="V45" s="16"/>
    </row>
    <row r="46" spans="1:22" ht="30" hidden="1" customHeight="1" x14ac:dyDescent="0.2">
      <c r="B46" s="33">
        <f t="shared" si="3"/>
        <v>34</v>
      </c>
      <c r="C46" s="40" t="s">
        <v>109</v>
      </c>
      <c r="D46" s="37" t="s">
        <v>126</v>
      </c>
      <c r="E46" s="37" t="s">
        <v>127</v>
      </c>
      <c r="F46" s="41">
        <v>1</v>
      </c>
      <c r="G46" s="41" t="s">
        <v>51</v>
      </c>
      <c r="H46" s="35"/>
      <c r="I46" s="117">
        <v>0</v>
      </c>
      <c r="J46" s="5"/>
      <c r="K46" s="4"/>
      <c r="L46" s="3"/>
      <c r="M46" s="3"/>
      <c r="N46" s="3"/>
      <c r="O46" s="3"/>
      <c r="P46" s="3"/>
      <c r="Q46" s="5"/>
      <c r="R46" s="4"/>
      <c r="S46" s="3"/>
      <c r="T46" s="5"/>
    </row>
    <row r="47" spans="1:22" ht="30" hidden="1" customHeight="1" x14ac:dyDescent="0.2">
      <c r="B47" s="33">
        <f t="shared" si="3"/>
        <v>35</v>
      </c>
      <c r="C47" s="40" t="s">
        <v>109</v>
      </c>
      <c r="D47" s="37" t="s">
        <v>128</v>
      </c>
      <c r="E47" s="37" t="s">
        <v>129</v>
      </c>
      <c r="F47" s="41">
        <v>1</v>
      </c>
      <c r="G47" s="41" t="s">
        <v>51</v>
      </c>
      <c r="H47" s="35"/>
      <c r="I47" s="117">
        <v>0</v>
      </c>
      <c r="J47" s="5"/>
      <c r="K47" s="4"/>
      <c r="L47" s="3"/>
      <c r="M47" s="3"/>
      <c r="N47" s="3"/>
      <c r="O47" s="3"/>
      <c r="P47" s="3"/>
      <c r="Q47" s="5"/>
      <c r="R47" s="4"/>
      <c r="S47" s="3"/>
      <c r="T47" s="5"/>
    </row>
    <row r="48" spans="1:22" s="16" customFormat="1" ht="30" hidden="1" customHeight="1" x14ac:dyDescent="0.2">
      <c r="A48" s="14"/>
      <c r="B48" s="33">
        <f t="shared" si="3"/>
        <v>36</v>
      </c>
      <c r="C48" s="40" t="s">
        <v>109</v>
      </c>
      <c r="D48" s="37" t="s">
        <v>130</v>
      </c>
      <c r="E48" s="37" t="s">
        <v>131</v>
      </c>
      <c r="F48" s="41">
        <v>1</v>
      </c>
      <c r="G48" s="41" t="s">
        <v>51</v>
      </c>
      <c r="H48" s="35"/>
      <c r="I48" s="117">
        <v>0</v>
      </c>
      <c r="J48" s="5"/>
      <c r="K48" s="4"/>
      <c r="L48" s="3"/>
      <c r="M48" s="3"/>
      <c r="N48" s="3"/>
      <c r="O48" s="3"/>
      <c r="P48" s="3"/>
      <c r="Q48" s="5"/>
      <c r="R48" s="4"/>
      <c r="S48" s="3"/>
      <c r="T48" s="5"/>
      <c r="V48"/>
    </row>
    <row r="49" spans="1:21" ht="30" hidden="1" customHeight="1" x14ac:dyDescent="0.2">
      <c r="B49" s="33">
        <f>B47+1</f>
        <v>36</v>
      </c>
      <c r="C49" s="41" t="s">
        <v>132</v>
      </c>
      <c r="D49" s="37" t="s">
        <v>133</v>
      </c>
      <c r="E49" s="37" t="s">
        <v>134</v>
      </c>
      <c r="F49" s="41">
        <v>1</v>
      </c>
      <c r="G49" s="41" t="s">
        <v>135</v>
      </c>
      <c r="H49" s="37"/>
      <c r="I49" s="4"/>
      <c r="J49" s="5"/>
      <c r="K49" s="4"/>
      <c r="L49" s="3"/>
      <c r="M49" s="3"/>
      <c r="N49" s="3"/>
      <c r="O49" s="3"/>
      <c r="P49" s="3"/>
      <c r="Q49" s="5"/>
      <c r="R49" s="4"/>
      <c r="S49" s="3"/>
      <c r="T49" s="138">
        <v>1</v>
      </c>
    </row>
    <row r="50" spans="1:21" ht="30" hidden="1" customHeight="1" x14ac:dyDescent="0.2">
      <c r="B50" s="33">
        <f t="shared" ref="B50:B66" si="4">B49+1</f>
        <v>37</v>
      </c>
      <c r="C50" s="41" t="s">
        <v>132</v>
      </c>
      <c r="D50" s="37" t="s">
        <v>136</v>
      </c>
      <c r="E50" s="37" t="s">
        <v>137</v>
      </c>
      <c r="F50" s="41">
        <v>1</v>
      </c>
      <c r="G50" s="41" t="s">
        <v>138</v>
      </c>
      <c r="H50" s="35"/>
      <c r="I50" s="132"/>
      <c r="J50" s="135"/>
      <c r="K50" s="132"/>
      <c r="L50" s="124"/>
      <c r="M50" s="124"/>
      <c r="N50" s="124"/>
      <c r="O50" s="124"/>
      <c r="P50" s="3"/>
      <c r="Q50" s="5"/>
      <c r="R50" s="4"/>
      <c r="S50" s="3"/>
      <c r="T50" s="138">
        <v>1</v>
      </c>
    </row>
    <row r="51" spans="1:21" ht="30" hidden="1" customHeight="1" x14ac:dyDescent="0.2">
      <c r="B51" s="33">
        <f t="shared" si="4"/>
        <v>38</v>
      </c>
      <c r="C51" s="41" t="s">
        <v>132</v>
      </c>
      <c r="D51" s="37" t="s">
        <v>139</v>
      </c>
      <c r="E51" s="37" t="s">
        <v>140</v>
      </c>
      <c r="F51" s="41">
        <v>3</v>
      </c>
      <c r="G51" s="41" t="s">
        <v>138</v>
      </c>
      <c r="H51" s="37"/>
      <c r="I51" s="4"/>
      <c r="J51" s="5"/>
      <c r="K51" s="4"/>
      <c r="L51" s="3"/>
      <c r="M51" s="3"/>
      <c r="N51" s="3"/>
      <c r="O51" s="3"/>
      <c r="P51" s="3"/>
      <c r="Q51" s="5"/>
      <c r="R51" s="4"/>
      <c r="S51" s="3"/>
      <c r="T51" s="138">
        <v>1</v>
      </c>
    </row>
    <row r="52" spans="1:21" ht="30" hidden="1" customHeight="1" x14ac:dyDescent="0.2">
      <c r="B52" s="33">
        <f t="shared" si="4"/>
        <v>39</v>
      </c>
      <c r="C52" s="41" t="s">
        <v>132</v>
      </c>
      <c r="D52" s="37" t="s">
        <v>141</v>
      </c>
      <c r="E52" s="102" t="s">
        <v>142</v>
      </c>
      <c r="F52" s="41">
        <v>1</v>
      </c>
      <c r="G52" s="41" t="s">
        <v>143</v>
      </c>
      <c r="H52" s="35"/>
      <c r="I52" s="4"/>
      <c r="J52" s="5"/>
      <c r="K52" s="4"/>
      <c r="L52" s="3"/>
      <c r="M52" s="3"/>
      <c r="N52" s="3"/>
      <c r="O52" s="3"/>
      <c r="P52" s="3"/>
      <c r="Q52" s="5"/>
      <c r="R52" s="4"/>
      <c r="S52" s="3"/>
      <c r="T52" s="5"/>
    </row>
    <row r="53" spans="1:21" ht="30" hidden="1" customHeight="1" x14ac:dyDescent="0.2">
      <c r="A53" s="74"/>
      <c r="B53" s="33">
        <f t="shared" si="4"/>
        <v>40</v>
      </c>
      <c r="C53" s="41" t="s">
        <v>132</v>
      </c>
      <c r="D53" s="37" t="s">
        <v>144</v>
      </c>
      <c r="E53" s="37" t="s">
        <v>145</v>
      </c>
      <c r="F53" s="41">
        <v>2</v>
      </c>
      <c r="G53" s="41" t="s">
        <v>44</v>
      </c>
      <c r="H53" s="37"/>
      <c r="I53" s="4"/>
      <c r="J53" s="5"/>
      <c r="K53" s="4"/>
      <c r="L53" s="123">
        <v>0.25</v>
      </c>
      <c r="M53" s="3"/>
      <c r="N53" s="3"/>
      <c r="O53" s="3"/>
      <c r="P53" s="3"/>
      <c r="Q53" s="5"/>
      <c r="R53" s="4"/>
      <c r="S53" s="3"/>
      <c r="T53" s="5"/>
      <c r="U53" s="80"/>
    </row>
    <row r="54" spans="1:21" ht="30" hidden="1" customHeight="1" x14ac:dyDescent="0.2">
      <c r="B54" s="33">
        <f t="shared" si="4"/>
        <v>41</v>
      </c>
      <c r="C54" s="41" t="s">
        <v>132</v>
      </c>
      <c r="D54" s="37" t="s">
        <v>146</v>
      </c>
      <c r="E54" s="37" t="s">
        <v>147</v>
      </c>
      <c r="F54" s="41">
        <v>2</v>
      </c>
      <c r="G54" s="41" t="s">
        <v>138</v>
      </c>
      <c r="H54" s="35"/>
      <c r="I54" s="3"/>
      <c r="J54" s="85"/>
      <c r="K54" s="4"/>
      <c r="L54" s="3"/>
      <c r="M54" s="3"/>
      <c r="N54" s="3"/>
      <c r="O54" s="3"/>
      <c r="P54" s="3"/>
      <c r="Q54" s="5"/>
      <c r="R54" s="4"/>
      <c r="S54" s="3"/>
      <c r="T54" s="138">
        <v>1</v>
      </c>
    </row>
    <row r="55" spans="1:21" ht="30" hidden="1" customHeight="1" x14ac:dyDescent="0.2">
      <c r="B55" s="33">
        <f t="shared" si="4"/>
        <v>42</v>
      </c>
      <c r="C55" s="41" t="s">
        <v>132</v>
      </c>
      <c r="D55" s="37" t="s">
        <v>148</v>
      </c>
      <c r="E55" s="37" t="s">
        <v>149</v>
      </c>
      <c r="F55" s="41">
        <v>2</v>
      </c>
      <c r="G55" s="41" t="s">
        <v>135</v>
      </c>
      <c r="H55" s="37"/>
      <c r="I55" s="4"/>
      <c r="J55" s="5"/>
      <c r="K55" s="4"/>
      <c r="L55" s="3"/>
      <c r="M55" s="3"/>
      <c r="N55" s="3"/>
      <c r="O55" s="3"/>
      <c r="P55" s="3"/>
      <c r="Q55" s="5"/>
      <c r="R55" s="4"/>
      <c r="S55" s="3"/>
      <c r="T55" s="138">
        <v>1</v>
      </c>
    </row>
    <row r="56" spans="1:21" ht="30" hidden="1" customHeight="1" x14ac:dyDescent="0.2">
      <c r="B56" s="33">
        <f t="shared" si="4"/>
        <v>43</v>
      </c>
      <c r="C56" s="41" t="s">
        <v>132</v>
      </c>
      <c r="D56" s="84" t="s">
        <v>150</v>
      </c>
      <c r="E56" s="103" t="s">
        <v>151</v>
      </c>
      <c r="F56" s="41">
        <v>0</v>
      </c>
      <c r="G56" s="41" t="s">
        <v>143</v>
      </c>
      <c r="H56" s="35"/>
      <c r="I56" s="4"/>
      <c r="J56" s="5"/>
      <c r="K56" s="4"/>
      <c r="L56" s="3"/>
      <c r="M56" s="3"/>
      <c r="N56" s="3"/>
      <c r="O56" s="3"/>
      <c r="P56" s="3"/>
      <c r="Q56" s="5"/>
      <c r="R56" s="4"/>
      <c r="S56" s="3"/>
      <c r="T56" s="5"/>
    </row>
    <row r="57" spans="1:21" ht="30" hidden="1" customHeight="1" x14ac:dyDescent="0.2">
      <c r="B57" s="33">
        <f t="shared" si="4"/>
        <v>44</v>
      </c>
      <c r="C57" s="41" t="s">
        <v>132</v>
      </c>
      <c r="D57" s="37" t="s">
        <v>152</v>
      </c>
      <c r="E57" s="37" t="s">
        <v>153</v>
      </c>
      <c r="F57" s="41">
        <v>1</v>
      </c>
      <c r="G57" s="41" t="s">
        <v>138</v>
      </c>
      <c r="H57" s="35"/>
      <c r="I57" s="4"/>
      <c r="J57" s="5"/>
      <c r="K57" s="4"/>
      <c r="L57" s="3"/>
      <c r="M57" s="3"/>
      <c r="N57" s="3"/>
      <c r="O57" s="3"/>
      <c r="P57" s="3"/>
      <c r="Q57" s="5"/>
      <c r="R57" s="4"/>
      <c r="S57" s="3"/>
      <c r="T57" s="138">
        <v>1</v>
      </c>
    </row>
    <row r="58" spans="1:21" ht="30" hidden="1" customHeight="1" x14ac:dyDescent="0.2">
      <c r="B58" s="33">
        <f t="shared" si="4"/>
        <v>45</v>
      </c>
      <c r="C58" s="41" t="s">
        <v>132</v>
      </c>
      <c r="D58" s="37" t="s">
        <v>154</v>
      </c>
      <c r="E58" s="37" t="s">
        <v>155</v>
      </c>
      <c r="F58" s="41">
        <v>1</v>
      </c>
      <c r="G58" s="41" t="s">
        <v>135</v>
      </c>
      <c r="H58" s="35"/>
      <c r="I58" s="4"/>
      <c r="J58" s="85"/>
      <c r="K58" s="4"/>
      <c r="L58" s="3"/>
      <c r="M58" s="3"/>
      <c r="N58" s="3"/>
      <c r="O58" s="3"/>
      <c r="P58" s="3"/>
      <c r="Q58" s="5"/>
      <c r="R58" s="4"/>
      <c r="S58" s="3"/>
      <c r="T58" s="138">
        <v>1</v>
      </c>
    </row>
    <row r="59" spans="1:21" ht="30" hidden="1" customHeight="1" x14ac:dyDescent="0.2">
      <c r="B59" s="33">
        <f t="shared" si="4"/>
        <v>46</v>
      </c>
      <c r="C59" s="41" t="s">
        <v>132</v>
      </c>
      <c r="D59" s="37" t="s">
        <v>156</v>
      </c>
      <c r="E59" s="37" t="s">
        <v>157</v>
      </c>
      <c r="F59" s="41">
        <v>1</v>
      </c>
      <c r="G59" s="41" t="s">
        <v>67</v>
      </c>
      <c r="H59" s="37"/>
      <c r="I59" s="117">
        <v>0</v>
      </c>
      <c r="J59" s="85"/>
      <c r="K59" s="4"/>
      <c r="L59" s="3"/>
      <c r="M59" s="3"/>
      <c r="N59" s="3"/>
      <c r="O59" s="3"/>
      <c r="P59" s="3"/>
      <c r="Q59" s="5"/>
      <c r="R59" s="4"/>
      <c r="S59" s="3"/>
      <c r="T59" s="5"/>
    </row>
    <row r="60" spans="1:21" ht="30" hidden="1" customHeight="1" x14ac:dyDescent="0.2">
      <c r="B60" s="33">
        <f t="shared" si="4"/>
        <v>47</v>
      </c>
      <c r="C60" s="41" t="s">
        <v>132</v>
      </c>
      <c r="D60" s="73" t="s">
        <v>158</v>
      </c>
      <c r="E60" s="112" t="s">
        <v>159</v>
      </c>
      <c r="F60" s="31">
        <v>1</v>
      </c>
      <c r="G60" s="41" t="s">
        <v>135</v>
      </c>
      <c r="H60" s="37"/>
      <c r="I60" s="4"/>
      <c r="J60" s="85"/>
      <c r="K60" s="4"/>
      <c r="L60" s="3"/>
      <c r="M60" s="3"/>
      <c r="N60" s="3"/>
      <c r="O60" s="3"/>
      <c r="P60" s="3"/>
      <c r="Q60" s="5"/>
      <c r="R60" s="4"/>
      <c r="S60" s="3"/>
      <c r="T60" s="138">
        <v>1</v>
      </c>
    </row>
    <row r="61" spans="1:21" ht="30" hidden="1" customHeight="1" x14ac:dyDescent="0.2">
      <c r="B61" s="33">
        <f t="shared" si="4"/>
        <v>48</v>
      </c>
      <c r="C61" s="41" t="s">
        <v>132</v>
      </c>
      <c r="D61" s="37" t="s">
        <v>160</v>
      </c>
      <c r="E61" s="37" t="s">
        <v>161</v>
      </c>
      <c r="F61" s="41">
        <v>3</v>
      </c>
      <c r="G61" s="41" t="s">
        <v>135</v>
      </c>
      <c r="H61" s="35"/>
      <c r="I61" s="85"/>
      <c r="J61" s="5"/>
      <c r="K61" s="4"/>
      <c r="L61" s="3"/>
      <c r="M61" s="3"/>
      <c r="N61" s="3"/>
      <c r="O61" s="3"/>
      <c r="P61" s="3"/>
      <c r="Q61" s="5"/>
      <c r="R61" s="4"/>
      <c r="S61" s="3"/>
      <c r="T61" s="138">
        <v>1</v>
      </c>
    </row>
    <row r="62" spans="1:21" ht="30" hidden="1" customHeight="1" x14ac:dyDescent="0.2">
      <c r="B62" s="33">
        <f t="shared" si="4"/>
        <v>49</v>
      </c>
      <c r="C62" s="41" t="s">
        <v>132</v>
      </c>
      <c r="D62" s="84" t="s">
        <v>162</v>
      </c>
      <c r="E62" s="84" t="s">
        <v>163</v>
      </c>
      <c r="F62" s="41">
        <v>1</v>
      </c>
      <c r="G62" s="41" t="s">
        <v>51</v>
      </c>
      <c r="H62" s="35"/>
      <c r="I62" s="117">
        <v>0</v>
      </c>
      <c r="J62" s="5"/>
      <c r="K62" s="4"/>
      <c r="L62" s="3"/>
      <c r="M62" s="3"/>
      <c r="N62" s="3"/>
      <c r="O62" s="3"/>
      <c r="P62" s="3"/>
      <c r="Q62" s="5"/>
      <c r="R62" s="4"/>
      <c r="S62" s="3"/>
      <c r="T62" s="5"/>
    </row>
    <row r="63" spans="1:21" ht="30" hidden="1" customHeight="1" x14ac:dyDescent="0.2">
      <c r="B63" s="33">
        <f t="shared" si="4"/>
        <v>50</v>
      </c>
      <c r="C63" s="41" t="s">
        <v>132</v>
      </c>
      <c r="D63" s="84" t="s">
        <v>164</v>
      </c>
      <c r="E63" s="84" t="s">
        <v>165</v>
      </c>
      <c r="F63" s="41">
        <v>2</v>
      </c>
      <c r="G63" s="41" t="s">
        <v>135</v>
      </c>
      <c r="H63" s="35"/>
      <c r="I63" s="85"/>
      <c r="J63" s="5"/>
      <c r="K63" s="4"/>
      <c r="L63" s="3"/>
      <c r="M63" s="3"/>
      <c r="N63" s="3"/>
      <c r="O63" s="3"/>
      <c r="P63" s="3"/>
      <c r="Q63" s="5"/>
      <c r="R63" s="4"/>
      <c r="S63" s="3"/>
      <c r="T63" s="138">
        <v>1</v>
      </c>
    </row>
    <row r="64" spans="1:21" ht="30" hidden="1" customHeight="1" x14ac:dyDescent="0.2">
      <c r="B64" s="33">
        <f t="shared" si="4"/>
        <v>51</v>
      </c>
      <c r="C64" s="41" t="s">
        <v>132</v>
      </c>
      <c r="D64" s="37" t="s">
        <v>166</v>
      </c>
      <c r="E64" s="37" t="s">
        <v>167</v>
      </c>
      <c r="F64" s="41">
        <v>1</v>
      </c>
      <c r="G64" s="41" t="s">
        <v>51</v>
      </c>
      <c r="H64" s="37"/>
      <c r="I64" s="117">
        <v>0</v>
      </c>
      <c r="J64" s="5"/>
      <c r="K64" s="4"/>
      <c r="L64" s="3"/>
      <c r="M64" s="3"/>
      <c r="N64" s="3"/>
      <c r="O64" s="3"/>
      <c r="P64" s="3"/>
      <c r="Q64" s="5"/>
      <c r="R64" s="4"/>
      <c r="S64" s="3"/>
      <c r="T64" s="5"/>
    </row>
    <row r="65" spans="2:22" ht="30" hidden="1" customHeight="1" x14ac:dyDescent="0.2">
      <c r="B65" s="33">
        <f t="shared" si="4"/>
        <v>52</v>
      </c>
      <c r="C65" s="41" t="s">
        <v>132</v>
      </c>
      <c r="D65" s="37" t="s">
        <v>168</v>
      </c>
      <c r="E65" s="37" t="s">
        <v>169</v>
      </c>
      <c r="F65" s="41">
        <v>1</v>
      </c>
      <c r="G65" s="41" t="s">
        <v>51</v>
      </c>
      <c r="H65" s="37"/>
      <c r="I65" s="117">
        <v>0</v>
      </c>
      <c r="J65" s="105"/>
      <c r="K65" s="122"/>
      <c r="L65" s="125"/>
      <c r="M65" s="127"/>
      <c r="N65" s="127"/>
      <c r="O65" s="127"/>
      <c r="P65" s="127"/>
      <c r="Q65" s="105"/>
      <c r="R65" s="122"/>
      <c r="S65" s="127"/>
      <c r="T65" s="105"/>
    </row>
    <row r="66" spans="2:22" ht="30" hidden="1" customHeight="1" x14ac:dyDescent="0.2">
      <c r="B66" s="33">
        <f t="shared" si="4"/>
        <v>53</v>
      </c>
      <c r="C66" s="41" t="s">
        <v>132</v>
      </c>
      <c r="D66" s="37" t="s">
        <v>170</v>
      </c>
      <c r="E66" s="102" t="s">
        <v>171</v>
      </c>
      <c r="F66" s="41">
        <v>0</v>
      </c>
      <c r="G66" s="41" t="s">
        <v>143</v>
      </c>
      <c r="H66" s="37"/>
      <c r="I66" s="85"/>
      <c r="J66" s="85"/>
      <c r="K66" s="85"/>
      <c r="L66" s="85"/>
      <c r="M66" s="85"/>
      <c r="N66" s="85"/>
      <c r="O66" s="85"/>
      <c r="P66" s="85"/>
      <c r="Q66" s="85"/>
      <c r="R66" s="85"/>
      <c r="S66" s="85"/>
      <c r="T66" s="85"/>
      <c r="V66" s="81"/>
    </row>
    <row r="67" spans="2:22" ht="30" hidden="1" customHeight="1" x14ac:dyDescent="0.2">
      <c r="B67" s="33" t="s">
        <v>172</v>
      </c>
      <c r="C67" s="40" t="s">
        <v>173</v>
      </c>
      <c r="D67" s="35" t="s">
        <v>174</v>
      </c>
      <c r="E67" s="35" t="s">
        <v>175</v>
      </c>
      <c r="F67" s="40">
        <v>7</v>
      </c>
      <c r="G67" s="41" t="s">
        <v>135</v>
      </c>
      <c r="H67" s="35"/>
      <c r="I67" s="99"/>
      <c r="J67" s="85"/>
      <c r="K67" s="85"/>
      <c r="L67" s="85"/>
      <c r="M67" s="85"/>
      <c r="N67" s="85"/>
      <c r="O67" s="85"/>
      <c r="P67" s="85"/>
      <c r="Q67" s="85"/>
      <c r="R67" s="85"/>
      <c r="S67" s="85"/>
      <c r="T67" s="87">
        <v>1</v>
      </c>
    </row>
    <row r="68" spans="2:22" ht="30" hidden="1" customHeight="1" x14ac:dyDescent="0.2">
      <c r="B68" s="33" t="s">
        <v>176</v>
      </c>
      <c r="C68" s="40" t="s">
        <v>173</v>
      </c>
      <c r="D68" s="35" t="s">
        <v>177</v>
      </c>
      <c r="E68" s="35" t="s">
        <v>178</v>
      </c>
      <c r="F68" s="40">
        <v>8</v>
      </c>
      <c r="G68" s="41" t="s">
        <v>135</v>
      </c>
      <c r="H68" s="35"/>
      <c r="I68" s="99"/>
      <c r="J68" s="85"/>
      <c r="K68" s="85"/>
      <c r="L68" s="85"/>
      <c r="M68" s="85"/>
      <c r="N68" s="85"/>
      <c r="O68" s="85"/>
      <c r="P68" s="85"/>
      <c r="Q68" s="85"/>
      <c r="R68" s="85"/>
      <c r="S68" s="85"/>
      <c r="T68" s="87">
        <v>1</v>
      </c>
    </row>
    <row r="69" spans="2:22" ht="30" hidden="1" customHeight="1" x14ac:dyDescent="0.2">
      <c r="B69" s="33" t="s">
        <v>179</v>
      </c>
      <c r="C69" s="40" t="s">
        <v>173</v>
      </c>
      <c r="D69" s="35" t="s">
        <v>180</v>
      </c>
      <c r="E69" s="35" t="s">
        <v>181</v>
      </c>
      <c r="F69" s="40">
        <v>9</v>
      </c>
      <c r="G69" s="41" t="s">
        <v>44</v>
      </c>
      <c r="H69" s="35"/>
      <c r="I69" s="99"/>
      <c r="J69" s="85"/>
      <c r="K69" s="85"/>
      <c r="L69" s="123">
        <v>0.25</v>
      </c>
      <c r="M69" s="85"/>
      <c r="N69" s="85"/>
      <c r="O69" s="85"/>
      <c r="P69" s="85"/>
      <c r="Q69" s="85"/>
      <c r="R69" s="85"/>
      <c r="S69" s="85"/>
      <c r="T69" s="85"/>
    </row>
    <row r="70" spans="2:22" ht="30" hidden="1" customHeight="1" x14ac:dyDescent="0.2">
      <c r="B70" s="33" t="s">
        <v>182</v>
      </c>
      <c r="C70" s="40" t="s">
        <v>173</v>
      </c>
      <c r="D70" s="35" t="s">
        <v>183</v>
      </c>
      <c r="E70" s="107" t="s">
        <v>184</v>
      </c>
      <c r="F70" s="140">
        <v>10</v>
      </c>
      <c r="G70" s="41" t="s">
        <v>135</v>
      </c>
      <c r="H70" s="35"/>
      <c r="I70" s="99"/>
      <c r="J70" s="85"/>
      <c r="K70" s="85"/>
      <c r="L70" s="85"/>
      <c r="M70" s="85"/>
      <c r="N70" s="85"/>
      <c r="O70" s="85"/>
      <c r="P70" s="85"/>
      <c r="Q70" s="85"/>
      <c r="R70" s="85"/>
      <c r="S70" s="85"/>
      <c r="T70" s="87">
        <v>1</v>
      </c>
    </row>
    <row r="71" spans="2:22" ht="30" hidden="1" customHeight="1" x14ac:dyDescent="0.2">
      <c r="B71" s="33" t="s">
        <v>185</v>
      </c>
      <c r="C71" s="40" t="s">
        <v>173</v>
      </c>
      <c r="D71" s="35" t="s">
        <v>186</v>
      </c>
      <c r="E71" s="35" t="s">
        <v>187</v>
      </c>
      <c r="F71" s="40">
        <v>10</v>
      </c>
      <c r="G71" s="41" t="s">
        <v>135</v>
      </c>
      <c r="H71" s="35"/>
      <c r="I71" s="99"/>
      <c r="J71" s="85"/>
      <c r="K71" s="85"/>
      <c r="L71" s="85"/>
      <c r="M71" s="85"/>
      <c r="N71" s="85"/>
      <c r="O71" s="85"/>
      <c r="P71" s="85"/>
      <c r="Q71" s="85"/>
      <c r="R71" s="85"/>
      <c r="S71" s="85"/>
      <c r="T71" s="87">
        <v>1</v>
      </c>
    </row>
    <row r="72" spans="2:22" ht="30" hidden="1" customHeight="1" x14ac:dyDescent="0.2">
      <c r="B72" s="33" t="s">
        <v>188</v>
      </c>
      <c r="C72" s="40" t="s">
        <v>173</v>
      </c>
      <c r="D72" s="35" t="s">
        <v>189</v>
      </c>
      <c r="E72" s="35" t="s">
        <v>190</v>
      </c>
      <c r="F72" s="40">
        <v>10</v>
      </c>
      <c r="G72" s="41" t="s">
        <v>135</v>
      </c>
      <c r="H72" s="35"/>
      <c r="I72" s="99"/>
      <c r="J72" s="85"/>
      <c r="K72" s="85"/>
      <c r="L72" s="85"/>
      <c r="M72" s="85"/>
      <c r="N72" s="85"/>
      <c r="O72" s="85"/>
      <c r="P72" s="85"/>
      <c r="Q72" s="85"/>
      <c r="R72" s="85"/>
      <c r="S72" s="85"/>
      <c r="T72" s="87">
        <v>1</v>
      </c>
    </row>
    <row r="73" spans="2:22" ht="30" hidden="1" customHeight="1" x14ac:dyDescent="0.2">
      <c r="B73" s="33" t="s">
        <v>191</v>
      </c>
      <c r="C73" s="40" t="s">
        <v>173</v>
      </c>
      <c r="D73" s="35" t="s">
        <v>192</v>
      </c>
      <c r="E73" s="35" t="s">
        <v>193</v>
      </c>
      <c r="F73" s="40">
        <v>9</v>
      </c>
      <c r="G73" s="41" t="s">
        <v>135</v>
      </c>
      <c r="H73" s="35"/>
      <c r="I73" s="99"/>
      <c r="J73" s="85"/>
      <c r="K73" s="85"/>
      <c r="L73" s="85"/>
      <c r="M73" s="85"/>
      <c r="N73" s="85"/>
      <c r="O73" s="85"/>
      <c r="P73" s="85"/>
      <c r="Q73" s="85"/>
      <c r="R73" s="85"/>
      <c r="S73" s="85"/>
      <c r="T73" s="87">
        <v>1</v>
      </c>
    </row>
    <row r="74" spans="2:22" ht="30" hidden="1" customHeight="1" x14ac:dyDescent="0.2">
      <c r="B74" s="33" t="s">
        <v>194</v>
      </c>
      <c r="C74" s="40" t="s">
        <v>173</v>
      </c>
      <c r="D74" s="35" t="s">
        <v>195</v>
      </c>
      <c r="E74" s="35" t="s">
        <v>196</v>
      </c>
      <c r="F74" s="40">
        <v>10</v>
      </c>
      <c r="G74" s="41" t="s">
        <v>135</v>
      </c>
      <c r="H74" s="35"/>
      <c r="I74" s="99"/>
      <c r="J74" s="85"/>
      <c r="K74" s="85"/>
      <c r="L74" s="85"/>
      <c r="M74" s="85"/>
      <c r="N74" s="85"/>
      <c r="O74" s="85"/>
      <c r="P74" s="85"/>
      <c r="Q74" s="85"/>
      <c r="R74" s="85"/>
      <c r="S74" s="85"/>
      <c r="T74" s="87">
        <v>1</v>
      </c>
    </row>
    <row r="75" spans="2:22" ht="30" hidden="1" customHeight="1" thickBot="1" x14ac:dyDescent="0.25">
      <c r="B75" s="33" t="s">
        <v>197</v>
      </c>
      <c r="C75" s="40" t="s">
        <v>173</v>
      </c>
      <c r="D75" s="35" t="s">
        <v>198</v>
      </c>
      <c r="E75" s="35" t="s">
        <v>199</v>
      </c>
      <c r="F75" s="40">
        <v>8</v>
      </c>
      <c r="G75" s="41" t="s">
        <v>44</v>
      </c>
      <c r="H75" s="35"/>
      <c r="I75" s="99"/>
      <c r="J75" s="85"/>
      <c r="K75" s="85"/>
      <c r="L75" s="51">
        <v>0.25</v>
      </c>
      <c r="M75" s="85"/>
      <c r="N75" s="85"/>
      <c r="O75" s="85"/>
      <c r="P75" s="85"/>
      <c r="Q75" s="85"/>
      <c r="R75" s="85"/>
      <c r="S75" s="85"/>
      <c r="T75" s="85"/>
    </row>
    <row r="76" spans="2:22" ht="30" hidden="1" customHeight="1" x14ac:dyDescent="0.2">
      <c r="B76" s="33" t="s">
        <v>200</v>
      </c>
      <c r="C76" s="40" t="s">
        <v>173</v>
      </c>
      <c r="D76" s="35" t="s">
        <v>201</v>
      </c>
      <c r="E76" s="35" t="s">
        <v>202</v>
      </c>
      <c r="F76" s="40">
        <v>10</v>
      </c>
      <c r="G76" s="41" t="s">
        <v>135</v>
      </c>
      <c r="H76" s="35"/>
      <c r="I76" s="99"/>
      <c r="J76" s="85"/>
      <c r="K76" s="85"/>
      <c r="L76" s="85"/>
      <c r="M76" s="85"/>
      <c r="N76" s="85"/>
      <c r="O76" s="85"/>
      <c r="P76" s="85"/>
      <c r="Q76" s="85"/>
      <c r="R76" s="85"/>
      <c r="S76" s="85"/>
      <c r="T76" s="87">
        <v>1</v>
      </c>
    </row>
    <row r="77" spans="2:22" ht="30" hidden="1" customHeight="1" x14ac:dyDescent="0.2">
      <c r="B77" s="33" t="s">
        <v>203</v>
      </c>
      <c r="C77" s="40" t="s">
        <v>173</v>
      </c>
      <c r="D77" s="35" t="s">
        <v>204</v>
      </c>
      <c r="E77" s="90" t="s">
        <v>205</v>
      </c>
      <c r="F77" s="140">
        <v>10</v>
      </c>
      <c r="G77" s="41" t="s">
        <v>135</v>
      </c>
      <c r="H77" s="35"/>
      <c r="I77" s="99"/>
      <c r="J77" s="85"/>
      <c r="K77" s="85"/>
      <c r="L77" s="85"/>
      <c r="M77" s="85"/>
      <c r="N77" s="85"/>
      <c r="O77" s="85"/>
      <c r="P77" s="85"/>
      <c r="Q77" s="85"/>
      <c r="R77" s="85"/>
      <c r="S77" s="85"/>
      <c r="T77" s="87">
        <v>1</v>
      </c>
    </row>
    <row r="78" spans="2:22" ht="30" hidden="1" customHeight="1" x14ac:dyDescent="0.2">
      <c r="B78" s="33" t="s">
        <v>206</v>
      </c>
      <c r="C78" s="40" t="s">
        <v>207</v>
      </c>
      <c r="D78" s="35" t="s">
        <v>208</v>
      </c>
      <c r="E78" s="35" t="s">
        <v>209</v>
      </c>
      <c r="F78" s="40">
        <v>10</v>
      </c>
      <c r="G78" s="41" t="s">
        <v>135</v>
      </c>
      <c r="H78" s="35"/>
      <c r="I78" s="99"/>
      <c r="J78" s="85"/>
      <c r="K78" s="85"/>
      <c r="L78" s="85"/>
      <c r="M78" s="85"/>
      <c r="N78" s="85"/>
      <c r="O78" s="85"/>
      <c r="P78" s="85"/>
      <c r="Q78" s="85"/>
      <c r="R78" s="85"/>
      <c r="S78" s="85"/>
      <c r="T78" s="87">
        <v>1</v>
      </c>
    </row>
    <row r="79" spans="2:22" ht="30" hidden="1" customHeight="1" x14ac:dyDescent="0.2">
      <c r="B79" s="33" t="e">
        <f t="shared" ref="B79:B84" si="5">B78+1</f>
        <v>#VALUE!</v>
      </c>
      <c r="C79" s="41" t="s">
        <v>210</v>
      </c>
      <c r="D79" s="37" t="s">
        <v>211</v>
      </c>
      <c r="E79" s="37" t="s">
        <v>212</v>
      </c>
      <c r="F79" s="41">
        <v>2</v>
      </c>
      <c r="G79" s="41" t="s">
        <v>44</v>
      </c>
      <c r="H79" s="37"/>
      <c r="I79" s="85"/>
      <c r="J79" s="85"/>
      <c r="K79" s="85"/>
      <c r="L79" s="88">
        <v>0.25</v>
      </c>
      <c r="M79" s="85"/>
      <c r="N79" s="85"/>
      <c r="O79" s="85"/>
      <c r="P79" s="85"/>
      <c r="Q79" s="85"/>
      <c r="R79" s="85"/>
      <c r="S79" s="85"/>
      <c r="T79" s="85"/>
    </row>
    <row r="80" spans="2:22" ht="30" hidden="1" customHeight="1" x14ac:dyDescent="0.2">
      <c r="B80" s="33" t="e">
        <f t="shared" si="5"/>
        <v>#VALUE!</v>
      </c>
      <c r="C80" s="41" t="s">
        <v>210</v>
      </c>
      <c r="D80" s="37" t="s">
        <v>213</v>
      </c>
      <c r="E80" s="37" t="s">
        <v>214</v>
      </c>
      <c r="F80" s="41">
        <v>2</v>
      </c>
      <c r="G80" s="41" t="s">
        <v>44</v>
      </c>
      <c r="H80" s="37"/>
      <c r="I80" s="85"/>
      <c r="J80" s="85"/>
      <c r="K80" s="85"/>
      <c r="L80" s="88">
        <v>0.25</v>
      </c>
      <c r="M80" s="85"/>
      <c r="N80" s="85"/>
      <c r="O80" s="85"/>
      <c r="P80" s="85"/>
      <c r="Q80" s="85"/>
      <c r="R80" s="85"/>
      <c r="S80" s="85"/>
      <c r="T80" s="85"/>
    </row>
    <row r="81" spans="2:22" ht="30" hidden="1" customHeight="1" x14ac:dyDescent="0.2">
      <c r="B81" s="33" t="e">
        <f t="shared" si="5"/>
        <v>#VALUE!</v>
      </c>
      <c r="C81" s="41" t="s">
        <v>210</v>
      </c>
      <c r="D81" s="37" t="s">
        <v>215</v>
      </c>
      <c r="E81" s="37" t="s">
        <v>216</v>
      </c>
      <c r="F81" s="41">
        <v>1</v>
      </c>
      <c r="G81" s="41" t="s">
        <v>44</v>
      </c>
      <c r="H81" s="37"/>
      <c r="I81" s="85"/>
      <c r="J81" s="85"/>
      <c r="K81" s="85"/>
      <c r="L81" s="88">
        <v>0.25</v>
      </c>
      <c r="M81" s="85"/>
      <c r="N81" s="85"/>
      <c r="O81" s="85"/>
      <c r="P81" s="85"/>
      <c r="Q81" s="85"/>
      <c r="R81" s="85"/>
      <c r="S81" s="85"/>
      <c r="T81" s="85"/>
    </row>
    <row r="82" spans="2:22" ht="30" hidden="1" customHeight="1" x14ac:dyDescent="0.2">
      <c r="B82" s="33" t="e">
        <f t="shared" si="5"/>
        <v>#VALUE!</v>
      </c>
      <c r="C82" s="41" t="s">
        <v>210</v>
      </c>
      <c r="D82" s="37" t="s">
        <v>217</v>
      </c>
      <c r="E82" s="37" t="s">
        <v>218</v>
      </c>
      <c r="F82" s="41">
        <v>1</v>
      </c>
      <c r="G82" s="41" t="s">
        <v>44</v>
      </c>
      <c r="H82" s="37"/>
      <c r="I82" s="85"/>
      <c r="J82" s="85"/>
      <c r="K82" s="85"/>
      <c r="L82" s="88">
        <v>0.25</v>
      </c>
      <c r="M82" s="85"/>
      <c r="N82" s="85"/>
      <c r="O82" s="85"/>
      <c r="P82" s="85"/>
      <c r="Q82" s="85"/>
      <c r="R82" s="85"/>
      <c r="S82" s="85"/>
      <c r="T82" s="85"/>
    </row>
    <row r="83" spans="2:22" ht="30" hidden="1" customHeight="1" x14ac:dyDescent="0.2">
      <c r="B83" s="33" t="e">
        <f t="shared" si="5"/>
        <v>#VALUE!</v>
      </c>
      <c r="C83" s="41" t="s">
        <v>210</v>
      </c>
      <c r="D83" s="37" t="s">
        <v>219</v>
      </c>
      <c r="E83" s="37" t="s">
        <v>220</v>
      </c>
      <c r="F83" s="41">
        <v>2</v>
      </c>
      <c r="G83" s="41" t="s">
        <v>44</v>
      </c>
      <c r="H83" s="35"/>
      <c r="I83" s="85"/>
      <c r="J83" s="85"/>
      <c r="K83" s="85"/>
      <c r="L83" s="88">
        <v>0.25</v>
      </c>
      <c r="M83" s="85"/>
      <c r="N83" s="85"/>
      <c r="O83" s="85"/>
      <c r="P83" s="85"/>
      <c r="Q83" s="85"/>
      <c r="R83" s="85"/>
      <c r="S83" s="85"/>
      <c r="T83" s="85"/>
    </row>
    <row r="84" spans="2:22" ht="30" hidden="1" customHeight="1" x14ac:dyDescent="0.2">
      <c r="B84" s="33" t="e">
        <f t="shared" si="5"/>
        <v>#VALUE!</v>
      </c>
      <c r="C84" s="41" t="s">
        <v>210</v>
      </c>
      <c r="D84" s="37" t="s">
        <v>221</v>
      </c>
      <c r="E84" s="37" t="s">
        <v>222</v>
      </c>
      <c r="F84" s="41">
        <v>1</v>
      </c>
      <c r="G84" s="41" t="s">
        <v>44</v>
      </c>
      <c r="H84" s="35"/>
      <c r="I84" s="85"/>
      <c r="J84" s="85"/>
      <c r="K84" s="85"/>
      <c r="L84" s="88">
        <v>0.25</v>
      </c>
      <c r="M84" s="85"/>
      <c r="N84" s="85"/>
      <c r="O84" s="85"/>
      <c r="P84" s="85"/>
      <c r="Q84" s="85"/>
      <c r="R84" s="85"/>
      <c r="S84" s="85"/>
      <c r="T84" s="85"/>
    </row>
    <row r="85" spans="2:22" ht="30" hidden="1" customHeight="1" x14ac:dyDescent="0.2">
      <c r="B85" s="33" t="e">
        <f>B83+1</f>
        <v>#VALUE!</v>
      </c>
      <c r="C85" s="41" t="s">
        <v>210</v>
      </c>
      <c r="D85" s="37" t="s">
        <v>223</v>
      </c>
      <c r="E85" s="37" t="s">
        <v>224</v>
      </c>
      <c r="F85" s="41">
        <v>2</v>
      </c>
      <c r="G85" s="41" t="s">
        <v>51</v>
      </c>
      <c r="H85" s="37"/>
      <c r="I85" s="86">
        <v>0</v>
      </c>
      <c r="J85" s="85"/>
      <c r="K85" s="85"/>
      <c r="L85" s="85"/>
      <c r="M85" s="85"/>
      <c r="N85" s="85"/>
      <c r="O85" s="85"/>
      <c r="P85" s="85"/>
      <c r="Q85" s="85"/>
      <c r="R85" s="85"/>
      <c r="S85" s="85"/>
      <c r="T85" s="85"/>
    </row>
    <row r="86" spans="2:22" ht="30" hidden="1" customHeight="1" x14ac:dyDescent="0.2">
      <c r="B86" s="33" t="e">
        <f t="shared" ref="B86:B119" si="6">B85+1</f>
        <v>#VALUE!</v>
      </c>
      <c r="C86" s="41" t="s">
        <v>210</v>
      </c>
      <c r="D86" s="37" t="s">
        <v>225</v>
      </c>
      <c r="E86" s="37" t="s">
        <v>226</v>
      </c>
      <c r="F86" s="41">
        <v>1</v>
      </c>
      <c r="G86" s="41" t="s">
        <v>51</v>
      </c>
      <c r="H86" s="35"/>
      <c r="I86" s="85"/>
      <c r="J86" s="86">
        <v>0.05</v>
      </c>
      <c r="K86" s="85"/>
      <c r="L86" s="85"/>
      <c r="M86" s="85"/>
      <c r="N86" s="85"/>
      <c r="O86" s="85"/>
      <c r="P86" s="85"/>
      <c r="Q86" s="85"/>
      <c r="R86" s="85"/>
      <c r="S86" s="85"/>
      <c r="T86" s="85"/>
    </row>
    <row r="87" spans="2:22" ht="30" hidden="1" customHeight="1" x14ac:dyDescent="0.2">
      <c r="B87" s="33" t="e">
        <f t="shared" si="6"/>
        <v>#VALUE!</v>
      </c>
      <c r="C87" s="41" t="s">
        <v>210</v>
      </c>
      <c r="D87" s="37" t="s">
        <v>227</v>
      </c>
      <c r="E87" s="37" t="s">
        <v>228</v>
      </c>
      <c r="F87" s="41">
        <v>1</v>
      </c>
      <c r="G87" s="41" t="s">
        <v>51</v>
      </c>
      <c r="H87" s="35"/>
      <c r="I87" s="85"/>
      <c r="J87" s="86">
        <v>0.05</v>
      </c>
      <c r="K87" s="85"/>
      <c r="L87" s="85"/>
      <c r="M87" s="85"/>
      <c r="N87" s="85"/>
      <c r="O87" s="85"/>
      <c r="P87" s="85"/>
      <c r="Q87" s="85"/>
      <c r="R87" s="85"/>
      <c r="S87" s="85"/>
      <c r="T87" s="85"/>
    </row>
    <row r="88" spans="2:22" ht="30" hidden="1" customHeight="1" x14ac:dyDescent="0.2">
      <c r="B88" s="33" t="e">
        <f t="shared" si="6"/>
        <v>#VALUE!</v>
      </c>
      <c r="C88" s="41" t="s">
        <v>210</v>
      </c>
      <c r="D88" s="37" t="s">
        <v>229</v>
      </c>
      <c r="E88" s="37" t="s">
        <v>230</v>
      </c>
      <c r="F88" s="41">
        <v>1</v>
      </c>
      <c r="G88" s="41" t="s">
        <v>51</v>
      </c>
      <c r="H88" s="37"/>
      <c r="I88" s="85"/>
      <c r="J88" s="86">
        <v>0.05</v>
      </c>
      <c r="K88" s="85"/>
      <c r="L88" s="85"/>
      <c r="M88" s="85"/>
      <c r="N88" s="85"/>
      <c r="O88" s="85"/>
      <c r="P88" s="85"/>
      <c r="Q88" s="85"/>
      <c r="R88" s="85"/>
      <c r="S88" s="85"/>
      <c r="T88" s="85"/>
    </row>
    <row r="89" spans="2:22" ht="30" hidden="1" customHeight="1" x14ac:dyDescent="0.2">
      <c r="B89" s="33" t="e">
        <f t="shared" si="6"/>
        <v>#VALUE!</v>
      </c>
      <c r="C89" s="41" t="s">
        <v>210</v>
      </c>
      <c r="D89" s="73" t="s">
        <v>231</v>
      </c>
      <c r="E89" s="73" t="s">
        <v>232</v>
      </c>
      <c r="F89" s="41">
        <v>1</v>
      </c>
      <c r="G89" s="41" t="s">
        <v>51</v>
      </c>
      <c r="H89" s="37"/>
      <c r="I89" s="85"/>
      <c r="J89" s="86">
        <v>0.05</v>
      </c>
      <c r="K89" s="85"/>
      <c r="L89" s="85"/>
      <c r="M89" s="85"/>
      <c r="N89" s="85"/>
      <c r="O89" s="85"/>
      <c r="P89" s="85"/>
      <c r="Q89" s="85"/>
      <c r="R89" s="85"/>
      <c r="S89" s="85"/>
      <c r="T89" s="85"/>
    </row>
    <row r="90" spans="2:22" ht="30" hidden="1" customHeight="1" x14ac:dyDescent="0.2">
      <c r="B90" s="33" t="e">
        <f t="shared" si="6"/>
        <v>#VALUE!</v>
      </c>
      <c r="C90" s="41" t="s">
        <v>210</v>
      </c>
      <c r="D90" s="73" t="s">
        <v>233</v>
      </c>
      <c r="E90" s="73" t="s">
        <v>234</v>
      </c>
      <c r="F90" s="41">
        <v>1</v>
      </c>
      <c r="G90" s="41" t="s">
        <v>51</v>
      </c>
      <c r="H90" s="35"/>
      <c r="I90" s="86">
        <v>0</v>
      </c>
      <c r="J90" s="85"/>
      <c r="K90" s="85"/>
      <c r="L90" s="85"/>
      <c r="M90" s="85"/>
      <c r="N90" s="85"/>
      <c r="O90" s="85"/>
      <c r="P90" s="85"/>
      <c r="Q90" s="85"/>
      <c r="R90" s="85"/>
      <c r="S90" s="85"/>
      <c r="T90" s="85"/>
    </row>
    <row r="91" spans="2:22" ht="30" hidden="1" customHeight="1" x14ac:dyDescent="0.2">
      <c r="B91" s="33" t="e">
        <f t="shared" si="6"/>
        <v>#VALUE!</v>
      </c>
      <c r="C91" s="41" t="s">
        <v>210</v>
      </c>
      <c r="D91" s="73" t="s">
        <v>235</v>
      </c>
      <c r="E91" s="73" t="s">
        <v>236</v>
      </c>
      <c r="F91" s="41">
        <v>1</v>
      </c>
      <c r="G91" s="41" t="s">
        <v>51</v>
      </c>
      <c r="H91" s="35"/>
      <c r="I91" s="86">
        <v>0</v>
      </c>
      <c r="J91" s="85"/>
      <c r="K91" s="85"/>
      <c r="L91" s="85"/>
      <c r="M91" s="85"/>
      <c r="N91" s="85"/>
      <c r="O91" s="85"/>
      <c r="P91" s="85"/>
      <c r="Q91" s="85"/>
      <c r="R91" s="85"/>
      <c r="S91" s="85"/>
      <c r="T91" s="85"/>
    </row>
    <row r="92" spans="2:22" ht="30" hidden="1" customHeight="1" x14ac:dyDescent="0.2">
      <c r="B92" s="33" t="e">
        <f t="shared" si="6"/>
        <v>#VALUE!</v>
      </c>
      <c r="C92" s="41" t="s">
        <v>210</v>
      </c>
      <c r="D92" s="37" t="s">
        <v>237</v>
      </c>
      <c r="E92" s="37" t="s">
        <v>238</v>
      </c>
      <c r="F92" s="41">
        <v>1</v>
      </c>
      <c r="G92" s="41" t="s">
        <v>51</v>
      </c>
      <c r="H92" s="37"/>
      <c r="I92" s="86">
        <v>0</v>
      </c>
      <c r="J92" s="85"/>
      <c r="K92" s="85"/>
      <c r="L92" s="85"/>
      <c r="M92" s="85"/>
      <c r="N92" s="85"/>
      <c r="O92" s="85"/>
      <c r="P92" s="85"/>
      <c r="Q92" s="85"/>
      <c r="R92" s="85"/>
      <c r="S92" s="85"/>
      <c r="T92" s="85"/>
    </row>
    <row r="93" spans="2:22" ht="30" hidden="1" customHeight="1" x14ac:dyDescent="0.2">
      <c r="B93" s="33" t="e">
        <f t="shared" si="6"/>
        <v>#VALUE!</v>
      </c>
      <c r="C93" s="41" t="s">
        <v>210</v>
      </c>
      <c r="D93" s="37" t="s">
        <v>239</v>
      </c>
      <c r="E93" s="37" t="s">
        <v>240</v>
      </c>
      <c r="F93" s="41">
        <v>1</v>
      </c>
      <c r="G93" s="41" t="s">
        <v>51</v>
      </c>
      <c r="H93" s="37"/>
      <c r="I93" s="86">
        <v>0</v>
      </c>
      <c r="J93" s="85"/>
      <c r="K93" s="85"/>
      <c r="L93" s="85"/>
      <c r="M93" s="85"/>
      <c r="N93" s="85"/>
      <c r="O93" s="85"/>
      <c r="P93" s="85"/>
      <c r="Q93" s="85"/>
      <c r="R93" s="85"/>
      <c r="S93" s="85"/>
      <c r="T93" s="85"/>
    </row>
    <row r="94" spans="2:22" ht="30" hidden="1" customHeight="1" x14ac:dyDescent="0.2">
      <c r="B94" s="33" t="e">
        <f t="shared" si="6"/>
        <v>#VALUE!</v>
      </c>
      <c r="C94" s="41" t="s">
        <v>210</v>
      </c>
      <c r="D94" s="37" t="s">
        <v>241</v>
      </c>
      <c r="E94" s="37" t="s">
        <v>242</v>
      </c>
      <c r="F94" s="41">
        <v>1</v>
      </c>
      <c r="G94" s="41" t="s">
        <v>51</v>
      </c>
      <c r="H94" s="37"/>
      <c r="I94" s="85"/>
      <c r="J94" s="86">
        <v>0.05</v>
      </c>
      <c r="K94" s="85"/>
      <c r="L94" s="85"/>
      <c r="M94" s="85"/>
      <c r="N94" s="85"/>
      <c r="O94" s="85"/>
      <c r="P94" s="85"/>
      <c r="Q94" s="85"/>
      <c r="R94" s="85"/>
      <c r="S94" s="85"/>
      <c r="T94" s="85"/>
      <c r="V94" s="16"/>
    </row>
    <row r="95" spans="2:22" ht="30" hidden="1" customHeight="1" x14ac:dyDescent="0.2">
      <c r="B95" s="33" t="e">
        <f t="shared" si="6"/>
        <v>#VALUE!</v>
      </c>
      <c r="C95" s="41" t="s">
        <v>210</v>
      </c>
      <c r="D95" s="37" t="s">
        <v>243</v>
      </c>
      <c r="E95" s="37" t="s">
        <v>244</v>
      </c>
      <c r="F95" s="41">
        <v>1</v>
      </c>
      <c r="G95" s="41" t="s">
        <v>51</v>
      </c>
      <c r="H95" s="37"/>
      <c r="I95" s="86">
        <v>0</v>
      </c>
      <c r="J95" s="85"/>
      <c r="K95" s="85"/>
      <c r="L95" s="85"/>
      <c r="M95" s="85"/>
      <c r="N95" s="85"/>
      <c r="O95" s="85"/>
      <c r="P95" s="85"/>
      <c r="Q95" s="85"/>
      <c r="R95" s="85"/>
      <c r="S95" s="85"/>
      <c r="T95" s="85"/>
      <c r="V95" s="16"/>
    </row>
    <row r="96" spans="2:22" ht="30" hidden="1" customHeight="1" x14ac:dyDescent="0.2">
      <c r="B96" s="33" t="e">
        <f t="shared" si="6"/>
        <v>#VALUE!</v>
      </c>
      <c r="C96" s="41" t="s">
        <v>210</v>
      </c>
      <c r="D96" s="37" t="s">
        <v>245</v>
      </c>
      <c r="E96" s="37" t="s">
        <v>246</v>
      </c>
      <c r="F96" s="41">
        <v>1</v>
      </c>
      <c r="G96" s="41" t="s">
        <v>51</v>
      </c>
      <c r="H96" s="37"/>
      <c r="I96" s="86">
        <v>0</v>
      </c>
      <c r="J96" s="85"/>
      <c r="K96" s="85"/>
      <c r="L96" s="85"/>
      <c r="M96" s="85"/>
      <c r="N96" s="85"/>
      <c r="O96" s="85"/>
      <c r="P96" s="85"/>
      <c r="Q96" s="85"/>
      <c r="R96" s="85"/>
      <c r="S96" s="85"/>
      <c r="T96" s="85"/>
      <c r="V96" s="16"/>
    </row>
    <row r="97" spans="2:22" ht="30" hidden="1" customHeight="1" x14ac:dyDescent="0.2">
      <c r="B97" s="33" t="e">
        <f t="shared" si="6"/>
        <v>#VALUE!</v>
      </c>
      <c r="C97" s="41" t="s">
        <v>210</v>
      </c>
      <c r="D97" s="37" t="s">
        <v>247</v>
      </c>
      <c r="E97" s="37" t="s">
        <v>248</v>
      </c>
      <c r="F97" s="41">
        <v>1</v>
      </c>
      <c r="G97" s="41" t="s">
        <v>51</v>
      </c>
      <c r="H97" s="35"/>
      <c r="I97" s="86">
        <v>0</v>
      </c>
      <c r="J97" s="85"/>
      <c r="K97" s="85"/>
      <c r="L97" s="85"/>
      <c r="M97" s="85"/>
      <c r="N97" s="85"/>
      <c r="O97" s="85"/>
      <c r="P97" s="85"/>
      <c r="Q97" s="85"/>
      <c r="R97" s="85"/>
      <c r="S97" s="85"/>
      <c r="T97" s="85"/>
      <c r="V97" s="16"/>
    </row>
    <row r="98" spans="2:22" ht="30" hidden="1" customHeight="1" x14ac:dyDescent="0.2">
      <c r="B98" s="33" t="e">
        <f t="shared" si="6"/>
        <v>#VALUE!</v>
      </c>
      <c r="C98" s="41" t="s">
        <v>210</v>
      </c>
      <c r="D98" s="37" t="s">
        <v>249</v>
      </c>
      <c r="E98" s="37" t="s">
        <v>250</v>
      </c>
      <c r="F98" s="41">
        <v>1</v>
      </c>
      <c r="G98" s="41" t="s">
        <v>51</v>
      </c>
      <c r="H98" s="35"/>
      <c r="I98" s="86">
        <v>0</v>
      </c>
      <c r="J98" s="85"/>
      <c r="K98" s="85"/>
      <c r="L98" s="85"/>
      <c r="M98" s="85"/>
      <c r="N98" s="85"/>
      <c r="O98" s="85"/>
      <c r="P98" s="85"/>
      <c r="Q98" s="85"/>
      <c r="R98" s="85"/>
      <c r="S98" s="85"/>
      <c r="T98" s="85"/>
      <c r="V98" s="16"/>
    </row>
    <row r="99" spans="2:22" ht="30" hidden="1" customHeight="1" x14ac:dyDescent="0.2">
      <c r="B99" s="33" t="e">
        <f t="shared" si="6"/>
        <v>#VALUE!</v>
      </c>
      <c r="C99" s="41" t="s">
        <v>210</v>
      </c>
      <c r="D99" s="37" t="s">
        <v>251</v>
      </c>
      <c r="E99" s="37" t="s">
        <v>252</v>
      </c>
      <c r="F99" s="41">
        <v>1</v>
      </c>
      <c r="G99" s="41" t="s">
        <v>51</v>
      </c>
      <c r="H99" s="37"/>
      <c r="I99" s="85"/>
      <c r="J99" s="86">
        <v>0.05</v>
      </c>
      <c r="K99" s="85"/>
      <c r="L99" s="85"/>
      <c r="M99" s="85"/>
      <c r="N99" s="85"/>
      <c r="O99" s="85"/>
      <c r="P99" s="85"/>
      <c r="Q99" s="85"/>
      <c r="R99" s="85"/>
      <c r="S99" s="85"/>
      <c r="T99" s="85"/>
      <c r="V99" s="16"/>
    </row>
    <row r="100" spans="2:22" ht="30" hidden="1" customHeight="1" x14ac:dyDescent="0.2">
      <c r="B100" s="33" t="e">
        <f t="shared" si="6"/>
        <v>#VALUE!</v>
      </c>
      <c r="C100" s="41" t="s">
        <v>210</v>
      </c>
      <c r="D100" s="37" t="s">
        <v>253</v>
      </c>
      <c r="E100" s="37" t="s">
        <v>254</v>
      </c>
      <c r="F100" s="41">
        <v>1</v>
      </c>
      <c r="G100" s="41" t="s">
        <v>51</v>
      </c>
      <c r="H100" s="37"/>
      <c r="I100" s="86">
        <v>0</v>
      </c>
      <c r="J100" s="85"/>
      <c r="K100" s="85"/>
      <c r="L100" s="85"/>
      <c r="M100" s="85"/>
      <c r="N100" s="85"/>
      <c r="O100" s="85"/>
      <c r="P100" s="85"/>
      <c r="Q100" s="85"/>
      <c r="R100" s="85"/>
      <c r="S100" s="85"/>
      <c r="T100" s="85"/>
      <c r="V100" s="16"/>
    </row>
    <row r="101" spans="2:22" ht="30" hidden="1" customHeight="1" x14ac:dyDescent="0.2">
      <c r="B101" s="33" t="e">
        <f t="shared" si="6"/>
        <v>#VALUE!</v>
      </c>
      <c r="C101" s="41" t="s">
        <v>210</v>
      </c>
      <c r="D101" s="37" t="s">
        <v>255</v>
      </c>
      <c r="E101" s="37" t="s">
        <v>256</v>
      </c>
      <c r="F101" s="41">
        <v>1</v>
      </c>
      <c r="G101" s="41" t="s">
        <v>51</v>
      </c>
      <c r="H101" s="35"/>
      <c r="I101" s="86">
        <v>0</v>
      </c>
      <c r="J101" s="85"/>
      <c r="K101" s="85"/>
      <c r="L101" s="85"/>
      <c r="M101" s="85"/>
      <c r="N101" s="85"/>
      <c r="O101" s="85"/>
      <c r="P101" s="85"/>
      <c r="Q101" s="85"/>
      <c r="R101" s="85"/>
      <c r="S101" s="85"/>
      <c r="T101" s="85"/>
      <c r="V101" s="16"/>
    </row>
    <row r="102" spans="2:22" ht="30" hidden="1" customHeight="1" x14ac:dyDescent="0.2">
      <c r="B102" s="33" t="e">
        <f t="shared" si="6"/>
        <v>#VALUE!</v>
      </c>
      <c r="C102" s="41" t="s">
        <v>210</v>
      </c>
      <c r="D102" s="37" t="s">
        <v>257</v>
      </c>
      <c r="E102" s="37" t="s">
        <v>258</v>
      </c>
      <c r="F102" s="41">
        <v>1</v>
      </c>
      <c r="G102" s="41" t="s">
        <v>51</v>
      </c>
      <c r="H102" s="35"/>
      <c r="I102" s="86">
        <v>0</v>
      </c>
      <c r="J102" s="85"/>
      <c r="K102" s="85"/>
      <c r="L102" s="85"/>
      <c r="M102" s="85"/>
      <c r="N102" s="85"/>
      <c r="O102" s="85"/>
      <c r="P102" s="85"/>
      <c r="Q102" s="85"/>
      <c r="R102" s="85"/>
      <c r="S102" s="85"/>
      <c r="T102" s="85"/>
      <c r="V102" s="16"/>
    </row>
    <row r="103" spans="2:22" ht="30" hidden="1" customHeight="1" x14ac:dyDescent="0.2">
      <c r="B103" s="33" t="e">
        <f t="shared" si="6"/>
        <v>#VALUE!</v>
      </c>
      <c r="C103" s="41" t="s">
        <v>210</v>
      </c>
      <c r="D103" s="37" t="s">
        <v>259</v>
      </c>
      <c r="E103" s="37" t="s">
        <v>260</v>
      </c>
      <c r="F103" s="41">
        <v>1</v>
      </c>
      <c r="G103" s="41" t="s">
        <v>51</v>
      </c>
      <c r="H103" s="35"/>
      <c r="I103" s="86">
        <v>0</v>
      </c>
      <c r="J103" s="85"/>
      <c r="K103" s="85"/>
      <c r="L103" s="85"/>
      <c r="M103" s="85"/>
      <c r="N103" s="85"/>
      <c r="O103" s="85"/>
      <c r="P103" s="85"/>
      <c r="Q103" s="85"/>
      <c r="R103" s="85"/>
      <c r="S103" s="85"/>
      <c r="T103" s="85"/>
      <c r="V103" s="16"/>
    </row>
    <row r="104" spans="2:22" ht="30" hidden="1" customHeight="1" x14ac:dyDescent="0.2">
      <c r="B104" s="33" t="e">
        <f t="shared" si="6"/>
        <v>#VALUE!</v>
      </c>
      <c r="C104" s="41" t="s">
        <v>210</v>
      </c>
      <c r="D104" s="37" t="s">
        <v>261</v>
      </c>
      <c r="E104" s="37" t="s">
        <v>262</v>
      </c>
      <c r="F104" s="41">
        <v>1</v>
      </c>
      <c r="G104" s="41" t="s">
        <v>51</v>
      </c>
      <c r="H104" s="37"/>
      <c r="I104" s="86">
        <v>0</v>
      </c>
      <c r="J104" s="85"/>
      <c r="K104" s="85"/>
      <c r="L104" s="85"/>
      <c r="M104" s="85"/>
      <c r="N104" s="85"/>
      <c r="O104" s="85"/>
      <c r="P104" s="85"/>
      <c r="Q104" s="85"/>
      <c r="R104" s="85"/>
      <c r="S104" s="85"/>
      <c r="T104" s="85"/>
      <c r="V104" s="16"/>
    </row>
    <row r="105" spans="2:22" ht="30" hidden="1" customHeight="1" x14ac:dyDescent="0.2">
      <c r="B105" s="33" t="e">
        <f t="shared" si="6"/>
        <v>#VALUE!</v>
      </c>
      <c r="C105" s="41" t="s">
        <v>210</v>
      </c>
      <c r="D105" s="37" t="s">
        <v>263</v>
      </c>
      <c r="E105" s="37" t="s">
        <v>264</v>
      </c>
      <c r="F105" s="41">
        <v>1</v>
      </c>
      <c r="G105" s="41" t="s">
        <v>51</v>
      </c>
      <c r="H105" s="37"/>
      <c r="I105" s="86">
        <v>0</v>
      </c>
      <c r="J105" s="85"/>
      <c r="K105" s="85"/>
      <c r="L105" s="85"/>
      <c r="M105" s="85"/>
      <c r="N105" s="85"/>
      <c r="O105" s="85"/>
      <c r="P105" s="85"/>
      <c r="Q105" s="85"/>
      <c r="R105" s="85"/>
      <c r="S105" s="85"/>
      <c r="T105" s="85"/>
      <c r="V105" s="16"/>
    </row>
    <row r="106" spans="2:22" ht="30" hidden="1" customHeight="1" x14ac:dyDescent="0.2">
      <c r="B106" s="33" t="e">
        <f t="shared" si="6"/>
        <v>#VALUE!</v>
      </c>
      <c r="C106" s="41" t="s">
        <v>210</v>
      </c>
      <c r="D106" s="37" t="s">
        <v>265</v>
      </c>
      <c r="E106" s="37" t="s">
        <v>266</v>
      </c>
      <c r="F106" s="41">
        <v>1</v>
      </c>
      <c r="G106" s="41" t="s">
        <v>51</v>
      </c>
      <c r="H106" s="37"/>
      <c r="I106" s="86">
        <v>0</v>
      </c>
      <c r="J106" s="85"/>
      <c r="K106" s="85"/>
      <c r="L106" s="85"/>
      <c r="M106" s="85"/>
      <c r="N106" s="85"/>
      <c r="O106" s="85"/>
      <c r="P106" s="85"/>
      <c r="Q106" s="85"/>
      <c r="R106" s="85"/>
      <c r="S106" s="85"/>
      <c r="T106" s="85"/>
      <c r="V106" s="16"/>
    </row>
    <row r="107" spans="2:22" ht="30" hidden="1" customHeight="1" x14ac:dyDescent="0.2">
      <c r="B107" s="33" t="e">
        <f t="shared" si="6"/>
        <v>#VALUE!</v>
      </c>
      <c r="C107" s="41" t="s">
        <v>210</v>
      </c>
      <c r="D107" s="37" t="s">
        <v>267</v>
      </c>
      <c r="E107" s="37" t="s">
        <v>268</v>
      </c>
      <c r="F107" s="41">
        <v>1</v>
      </c>
      <c r="G107" s="41" t="s">
        <v>51</v>
      </c>
      <c r="H107" s="37"/>
      <c r="I107" s="86">
        <v>0</v>
      </c>
      <c r="J107" s="85"/>
      <c r="K107" s="85"/>
      <c r="L107" s="85"/>
      <c r="M107" s="85"/>
      <c r="N107" s="85"/>
      <c r="O107" s="85"/>
      <c r="P107" s="85"/>
      <c r="Q107" s="85"/>
      <c r="R107" s="85"/>
      <c r="S107" s="85"/>
      <c r="T107" s="85"/>
      <c r="V107" s="16"/>
    </row>
    <row r="108" spans="2:22" ht="30" hidden="1" customHeight="1" x14ac:dyDescent="0.2">
      <c r="B108" s="33" t="e">
        <f t="shared" si="6"/>
        <v>#VALUE!</v>
      </c>
      <c r="C108" s="41" t="s">
        <v>210</v>
      </c>
      <c r="D108" s="37" t="s">
        <v>269</v>
      </c>
      <c r="E108" s="37" t="s">
        <v>270</v>
      </c>
      <c r="F108" s="41">
        <v>1</v>
      </c>
      <c r="G108" s="41" t="s">
        <v>51</v>
      </c>
      <c r="H108" s="35"/>
      <c r="I108" s="86">
        <v>0</v>
      </c>
      <c r="J108" s="85"/>
      <c r="K108" s="85"/>
      <c r="L108" s="85"/>
      <c r="M108" s="85"/>
      <c r="N108" s="85"/>
      <c r="O108" s="85"/>
      <c r="P108" s="85"/>
      <c r="Q108" s="85"/>
      <c r="R108" s="85"/>
      <c r="S108" s="85"/>
      <c r="T108" s="85"/>
      <c r="V108" s="16"/>
    </row>
    <row r="109" spans="2:22" ht="30" hidden="1" customHeight="1" x14ac:dyDescent="0.2">
      <c r="B109" s="33" t="e">
        <f t="shared" si="6"/>
        <v>#VALUE!</v>
      </c>
      <c r="C109" s="41" t="s">
        <v>210</v>
      </c>
      <c r="D109" s="37" t="s">
        <v>271</v>
      </c>
      <c r="E109" s="37" t="s">
        <v>272</v>
      </c>
      <c r="F109" s="41">
        <v>1</v>
      </c>
      <c r="G109" s="41" t="s">
        <v>44</v>
      </c>
      <c r="H109" s="35"/>
      <c r="I109" s="85"/>
      <c r="J109" s="85"/>
      <c r="K109" s="85"/>
      <c r="L109" s="88">
        <v>0.25</v>
      </c>
      <c r="M109" s="85"/>
      <c r="N109" s="85"/>
      <c r="O109" s="85"/>
      <c r="P109" s="85"/>
      <c r="Q109" s="85"/>
      <c r="R109" s="85"/>
      <c r="S109" s="85"/>
      <c r="T109" s="85"/>
      <c r="V109" s="16"/>
    </row>
    <row r="110" spans="2:22" ht="30" hidden="1" customHeight="1" x14ac:dyDescent="0.2">
      <c r="B110" s="33" t="e">
        <f t="shared" si="6"/>
        <v>#VALUE!</v>
      </c>
      <c r="C110" s="41" t="s">
        <v>210</v>
      </c>
      <c r="D110" s="37" t="s">
        <v>273</v>
      </c>
      <c r="E110" s="37" t="s">
        <v>274</v>
      </c>
      <c r="F110" s="41">
        <v>1</v>
      </c>
      <c r="G110" s="41" t="s">
        <v>51</v>
      </c>
      <c r="H110" s="35"/>
      <c r="I110" s="85"/>
      <c r="J110" s="85"/>
      <c r="K110" s="85"/>
      <c r="L110" s="88">
        <v>0.25</v>
      </c>
      <c r="M110" s="85"/>
      <c r="N110" s="85"/>
      <c r="O110" s="85"/>
      <c r="P110" s="85"/>
      <c r="Q110" s="85"/>
      <c r="R110" s="85"/>
      <c r="S110" s="85"/>
      <c r="T110" s="85"/>
      <c r="V110" s="16"/>
    </row>
    <row r="111" spans="2:22" ht="30" hidden="1" customHeight="1" x14ac:dyDescent="0.2">
      <c r="B111" s="33" t="s">
        <v>176</v>
      </c>
      <c r="C111" s="40" t="s">
        <v>207</v>
      </c>
      <c r="D111" s="37" t="s">
        <v>275</v>
      </c>
      <c r="E111" s="37" t="s">
        <v>276</v>
      </c>
      <c r="F111" s="41">
        <v>8</v>
      </c>
      <c r="G111" s="41" t="s">
        <v>138</v>
      </c>
      <c r="H111" s="35"/>
      <c r="I111" s="85"/>
      <c r="J111" s="85"/>
      <c r="K111" s="85"/>
      <c r="L111" s="3"/>
      <c r="M111" s="85"/>
      <c r="N111" s="85"/>
      <c r="O111" s="85"/>
      <c r="P111" s="85"/>
      <c r="Q111" s="85"/>
      <c r="R111" s="85"/>
      <c r="S111" s="85"/>
      <c r="T111" s="138">
        <v>1</v>
      </c>
      <c r="V111" s="16"/>
    </row>
    <row r="112" spans="2:22" ht="30" hidden="1" customHeight="1" x14ac:dyDescent="0.2">
      <c r="B112" s="33" t="s">
        <v>179</v>
      </c>
      <c r="C112" s="40" t="s">
        <v>207</v>
      </c>
      <c r="D112" s="37" t="s">
        <v>277</v>
      </c>
      <c r="E112" s="37" t="s">
        <v>278</v>
      </c>
      <c r="F112" s="41">
        <v>10</v>
      </c>
      <c r="G112" s="41" t="s">
        <v>279</v>
      </c>
      <c r="H112" s="35"/>
      <c r="I112" s="85"/>
      <c r="J112" s="85"/>
      <c r="K112" s="85"/>
      <c r="L112" s="85"/>
      <c r="M112" s="85"/>
      <c r="N112" s="85"/>
      <c r="O112" s="85"/>
      <c r="P112" s="85"/>
      <c r="Q112" s="85"/>
      <c r="R112" s="85"/>
      <c r="S112" s="85"/>
      <c r="T112" s="87">
        <v>1</v>
      </c>
      <c r="V112" s="16"/>
    </row>
    <row r="113" spans="1:22" ht="30" hidden="1" customHeight="1" x14ac:dyDescent="0.2">
      <c r="B113" s="33" t="e">
        <f>B110+1</f>
        <v>#VALUE!</v>
      </c>
      <c r="C113" s="41" t="s">
        <v>280</v>
      </c>
      <c r="D113" s="37" t="s">
        <v>281</v>
      </c>
      <c r="E113" s="37" t="s">
        <v>282</v>
      </c>
      <c r="F113" s="41">
        <v>7</v>
      </c>
      <c r="G113" s="41" t="s">
        <v>135</v>
      </c>
      <c r="H113" s="37"/>
      <c r="I113" s="85"/>
      <c r="J113" s="85"/>
      <c r="K113" s="85"/>
      <c r="L113" s="85"/>
      <c r="M113" s="85"/>
      <c r="N113" s="85"/>
      <c r="O113" s="85"/>
      <c r="P113" s="85"/>
      <c r="Q113" s="85"/>
      <c r="R113" s="85"/>
      <c r="S113" s="85"/>
      <c r="T113" s="87">
        <v>1</v>
      </c>
      <c r="V113" s="16"/>
    </row>
    <row r="114" spans="1:22" s="81" customFormat="1" ht="30" hidden="1" customHeight="1" x14ac:dyDescent="0.2">
      <c r="A114" s="14"/>
      <c r="B114" s="33" t="e">
        <f t="shared" si="6"/>
        <v>#VALUE!</v>
      </c>
      <c r="C114" s="41" t="s">
        <v>280</v>
      </c>
      <c r="D114" s="37" t="s">
        <v>283</v>
      </c>
      <c r="E114" s="37" t="s">
        <v>284</v>
      </c>
      <c r="F114" s="41">
        <v>2</v>
      </c>
      <c r="G114" s="41" t="s">
        <v>44</v>
      </c>
      <c r="H114" s="37"/>
      <c r="I114" s="85"/>
      <c r="J114" s="85"/>
      <c r="K114" s="85"/>
      <c r="L114" s="88">
        <v>0.25</v>
      </c>
      <c r="M114" s="85"/>
      <c r="N114" s="85"/>
      <c r="O114" s="85"/>
      <c r="P114" s="85"/>
      <c r="Q114" s="85"/>
      <c r="R114" s="85"/>
      <c r="S114" s="85"/>
      <c r="T114" s="85"/>
      <c r="U114" s="16"/>
      <c r="V114"/>
    </row>
    <row r="115" spans="1:22" ht="30" hidden="1" customHeight="1" x14ac:dyDescent="0.2">
      <c r="B115" s="33" t="e">
        <f t="shared" si="6"/>
        <v>#VALUE!</v>
      </c>
      <c r="C115" s="41" t="s">
        <v>280</v>
      </c>
      <c r="D115" s="37" t="s">
        <v>285</v>
      </c>
      <c r="E115" s="37" t="s">
        <v>286</v>
      </c>
      <c r="F115" s="41">
        <v>1</v>
      </c>
      <c r="G115" s="41" t="s">
        <v>51</v>
      </c>
      <c r="H115" s="37"/>
      <c r="I115" s="85"/>
      <c r="J115" s="85"/>
      <c r="K115" s="85"/>
      <c r="L115" s="88">
        <v>0.25</v>
      </c>
      <c r="M115" s="85"/>
      <c r="N115" s="85"/>
      <c r="O115" s="85"/>
      <c r="P115" s="85"/>
      <c r="Q115" s="85"/>
      <c r="R115" s="85"/>
      <c r="S115" s="85"/>
      <c r="T115" s="85"/>
    </row>
    <row r="116" spans="1:22" ht="30" hidden="1" customHeight="1" x14ac:dyDescent="0.2">
      <c r="B116" s="33" t="e">
        <f t="shared" si="6"/>
        <v>#VALUE!</v>
      </c>
      <c r="C116" s="41" t="s">
        <v>280</v>
      </c>
      <c r="D116" s="72" t="s">
        <v>287</v>
      </c>
      <c r="E116" s="37" t="s">
        <v>288</v>
      </c>
      <c r="F116" s="41">
        <v>1</v>
      </c>
      <c r="G116" s="41" t="s">
        <v>51</v>
      </c>
      <c r="H116" s="37"/>
      <c r="I116" s="85"/>
      <c r="J116" s="86">
        <v>0.05</v>
      </c>
      <c r="K116" s="85"/>
      <c r="L116" s="85"/>
      <c r="M116" s="85"/>
      <c r="N116" s="85"/>
      <c r="O116" s="85"/>
      <c r="P116" s="85"/>
      <c r="Q116" s="85"/>
      <c r="R116" s="85"/>
      <c r="S116" s="85"/>
      <c r="T116" s="85"/>
    </row>
    <row r="117" spans="1:22" ht="30" hidden="1" customHeight="1" x14ac:dyDescent="0.2">
      <c r="B117" s="33" t="e">
        <f t="shared" si="6"/>
        <v>#VALUE!</v>
      </c>
      <c r="C117" s="41" t="s">
        <v>280</v>
      </c>
      <c r="D117" s="37" t="s">
        <v>289</v>
      </c>
      <c r="E117" s="37" t="s">
        <v>290</v>
      </c>
      <c r="F117" s="41">
        <v>1</v>
      </c>
      <c r="G117" s="41" t="s">
        <v>51</v>
      </c>
      <c r="H117" s="37"/>
      <c r="I117" s="85"/>
      <c r="J117" s="86">
        <v>0.05</v>
      </c>
      <c r="K117" s="85"/>
      <c r="L117" s="85"/>
      <c r="M117" s="85"/>
      <c r="N117" s="85"/>
      <c r="O117" s="85"/>
      <c r="P117" s="85"/>
      <c r="Q117" s="85"/>
      <c r="R117" s="85"/>
      <c r="S117" s="85"/>
      <c r="T117" s="85"/>
    </row>
    <row r="118" spans="1:22" ht="30" hidden="1" customHeight="1" x14ac:dyDescent="0.2">
      <c r="B118" s="33" t="e">
        <f t="shared" si="6"/>
        <v>#VALUE!</v>
      </c>
      <c r="C118" s="41" t="s">
        <v>280</v>
      </c>
      <c r="D118" s="37" t="s">
        <v>291</v>
      </c>
      <c r="E118" s="37" t="s">
        <v>292</v>
      </c>
      <c r="F118" s="41">
        <v>1</v>
      </c>
      <c r="G118" s="41" t="s">
        <v>51</v>
      </c>
      <c r="H118" s="37"/>
      <c r="I118" s="85"/>
      <c r="J118" s="86">
        <v>0.05</v>
      </c>
      <c r="K118" s="85"/>
      <c r="L118" s="85"/>
      <c r="M118" s="85"/>
      <c r="N118" s="85"/>
      <c r="O118" s="85"/>
      <c r="P118" s="85"/>
      <c r="Q118" s="85"/>
      <c r="R118" s="85"/>
      <c r="S118" s="85"/>
      <c r="T118" s="85"/>
    </row>
    <row r="119" spans="1:22" ht="30" hidden="1" customHeight="1" x14ac:dyDescent="0.2">
      <c r="B119" s="33" t="e">
        <f t="shared" si="6"/>
        <v>#VALUE!</v>
      </c>
      <c r="C119" s="41" t="s">
        <v>280</v>
      </c>
      <c r="D119" s="37" t="s">
        <v>293</v>
      </c>
      <c r="E119" s="37" t="s">
        <v>294</v>
      </c>
      <c r="F119" s="41">
        <v>1</v>
      </c>
      <c r="G119" s="41" t="s">
        <v>51</v>
      </c>
      <c r="H119" s="37"/>
      <c r="I119" s="121"/>
      <c r="J119" s="120"/>
      <c r="K119" s="121"/>
      <c r="L119" s="137">
        <v>0.25</v>
      </c>
      <c r="M119" s="125"/>
      <c r="N119" s="125"/>
      <c r="O119" s="125"/>
      <c r="P119" s="125"/>
      <c r="Q119" s="120"/>
      <c r="R119" s="121"/>
      <c r="S119" s="125"/>
      <c r="T119" s="120"/>
    </row>
    <row r="120" spans="1:22" ht="30" hidden="1" customHeight="1" x14ac:dyDescent="0.2">
      <c r="B120" s="33" t="e">
        <f>B118+1</f>
        <v>#VALUE!</v>
      </c>
      <c r="C120" s="34" t="s">
        <v>280</v>
      </c>
      <c r="D120" s="129" t="s">
        <v>295</v>
      </c>
      <c r="E120" s="73" t="s">
        <v>296</v>
      </c>
      <c r="F120" s="41">
        <v>1</v>
      </c>
      <c r="G120" s="41" t="s">
        <v>279</v>
      </c>
      <c r="H120" s="37"/>
      <c r="I120" s="85"/>
      <c r="J120" s="85"/>
      <c r="K120" s="85"/>
      <c r="L120" s="85"/>
      <c r="M120" s="85"/>
      <c r="N120" s="85"/>
      <c r="O120" s="85"/>
      <c r="P120" s="85"/>
      <c r="Q120" s="85"/>
      <c r="R120" s="85"/>
      <c r="S120" s="85"/>
      <c r="T120" s="87">
        <v>1</v>
      </c>
    </row>
    <row r="121" spans="1:22" ht="30" hidden="1" customHeight="1" x14ac:dyDescent="0.2">
      <c r="B121" s="33" t="e">
        <f t="shared" ref="B121:B134" si="7">B120+1</f>
        <v>#VALUE!</v>
      </c>
      <c r="C121" s="34" t="s">
        <v>280</v>
      </c>
      <c r="D121" s="73" t="s">
        <v>297</v>
      </c>
      <c r="E121" s="73" t="s">
        <v>298</v>
      </c>
      <c r="F121" s="41">
        <v>1</v>
      </c>
      <c r="G121" s="41" t="s">
        <v>67</v>
      </c>
      <c r="H121" s="37"/>
      <c r="I121" s="86">
        <v>0</v>
      </c>
      <c r="J121" s="85"/>
      <c r="K121" s="85"/>
      <c r="L121" s="85"/>
      <c r="M121" s="85"/>
      <c r="N121" s="85"/>
      <c r="O121" s="85"/>
      <c r="P121" s="85"/>
      <c r="Q121" s="85"/>
      <c r="R121" s="85"/>
      <c r="S121" s="85"/>
      <c r="T121" s="85"/>
    </row>
    <row r="122" spans="1:22" ht="30" hidden="1" customHeight="1" x14ac:dyDescent="0.2">
      <c r="B122" s="33" t="e">
        <f t="shared" si="7"/>
        <v>#VALUE!</v>
      </c>
      <c r="C122" s="34" t="s">
        <v>280</v>
      </c>
      <c r="D122" s="73" t="s">
        <v>299</v>
      </c>
      <c r="E122" s="73" t="s">
        <v>300</v>
      </c>
      <c r="F122" s="41">
        <v>1</v>
      </c>
      <c r="G122" s="41" t="s">
        <v>67</v>
      </c>
      <c r="H122" s="37"/>
      <c r="I122" s="86">
        <v>0</v>
      </c>
      <c r="J122" s="85"/>
      <c r="K122" s="85"/>
      <c r="L122" s="85"/>
      <c r="M122" s="85"/>
      <c r="N122" s="85"/>
      <c r="O122" s="85"/>
      <c r="P122" s="85"/>
      <c r="Q122" s="85"/>
      <c r="R122" s="85"/>
      <c r="S122" s="85"/>
      <c r="T122" s="85"/>
    </row>
    <row r="123" spans="1:22" ht="30" hidden="1" customHeight="1" x14ac:dyDescent="0.2">
      <c r="B123" s="33" t="e">
        <f t="shared" si="7"/>
        <v>#VALUE!</v>
      </c>
      <c r="C123" s="41" t="s">
        <v>280</v>
      </c>
      <c r="D123" s="37" t="s">
        <v>301</v>
      </c>
      <c r="E123" s="37" t="s">
        <v>302</v>
      </c>
      <c r="F123" s="41">
        <v>1</v>
      </c>
      <c r="G123" s="41" t="s">
        <v>67</v>
      </c>
      <c r="H123" s="37"/>
      <c r="I123" s="86">
        <v>0</v>
      </c>
      <c r="J123" s="85"/>
      <c r="K123" s="85"/>
      <c r="L123" s="85"/>
      <c r="M123" s="85"/>
      <c r="N123" s="85"/>
      <c r="O123" s="85"/>
      <c r="P123" s="85"/>
      <c r="Q123" s="85"/>
      <c r="R123" s="85"/>
      <c r="S123" s="85"/>
      <c r="T123" s="85"/>
    </row>
    <row r="124" spans="1:22" ht="30" hidden="1" customHeight="1" x14ac:dyDescent="0.2">
      <c r="B124" s="33" t="e">
        <f t="shared" si="7"/>
        <v>#VALUE!</v>
      </c>
      <c r="C124" s="41" t="s">
        <v>280</v>
      </c>
      <c r="D124" s="37" t="s">
        <v>303</v>
      </c>
      <c r="E124" s="37" t="s">
        <v>304</v>
      </c>
      <c r="F124" s="41">
        <v>1</v>
      </c>
      <c r="G124" s="41" t="s">
        <v>51</v>
      </c>
      <c r="H124" s="37"/>
      <c r="I124" s="86">
        <v>0</v>
      </c>
      <c r="J124" s="85"/>
      <c r="K124" s="85"/>
      <c r="L124" s="85"/>
      <c r="M124" s="85"/>
      <c r="N124" s="85"/>
      <c r="O124" s="85"/>
      <c r="P124" s="85"/>
      <c r="Q124" s="85"/>
      <c r="R124" s="85"/>
      <c r="S124" s="85"/>
      <c r="T124" s="85"/>
    </row>
    <row r="125" spans="1:22" ht="30" hidden="1" customHeight="1" x14ac:dyDescent="0.2">
      <c r="B125" s="33" t="e">
        <f t="shared" si="7"/>
        <v>#VALUE!</v>
      </c>
      <c r="C125" s="41" t="s">
        <v>280</v>
      </c>
      <c r="D125" s="37" t="s">
        <v>305</v>
      </c>
      <c r="E125" s="37" t="s">
        <v>306</v>
      </c>
      <c r="F125" s="41">
        <v>1</v>
      </c>
      <c r="G125" s="41" t="s">
        <v>51</v>
      </c>
      <c r="H125" s="37"/>
      <c r="I125" s="86">
        <v>0</v>
      </c>
      <c r="J125" s="85"/>
      <c r="K125" s="85"/>
      <c r="L125" s="85"/>
      <c r="M125" s="85"/>
      <c r="N125" s="85"/>
      <c r="O125" s="85"/>
      <c r="P125" s="85"/>
      <c r="Q125" s="85"/>
      <c r="R125" s="85"/>
      <c r="S125" s="85"/>
      <c r="T125" s="85"/>
    </row>
    <row r="126" spans="1:22" ht="30" hidden="1" customHeight="1" thickBot="1" x14ac:dyDescent="0.25">
      <c r="B126" s="33" t="e">
        <f t="shared" si="7"/>
        <v>#VALUE!</v>
      </c>
      <c r="C126" s="82" t="s">
        <v>280</v>
      </c>
      <c r="D126" s="72" t="s">
        <v>307</v>
      </c>
      <c r="E126" s="37" t="s">
        <v>308</v>
      </c>
      <c r="F126" s="41">
        <v>1</v>
      </c>
      <c r="G126" s="41" t="s">
        <v>51</v>
      </c>
      <c r="H126" s="37"/>
      <c r="I126" s="86">
        <v>0</v>
      </c>
      <c r="J126" s="119"/>
      <c r="K126" s="85"/>
      <c r="L126" s="85"/>
      <c r="M126" s="85"/>
      <c r="N126" s="85"/>
      <c r="O126" s="85"/>
      <c r="P126" s="85"/>
      <c r="Q126" s="85"/>
      <c r="R126" s="85"/>
      <c r="S126" s="85"/>
      <c r="T126" s="85"/>
    </row>
    <row r="127" spans="1:22" ht="30" hidden="1" customHeight="1" x14ac:dyDescent="0.2">
      <c r="B127" s="33" t="e">
        <f t="shared" si="7"/>
        <v>#VALUE!</v>
      </c>
      <c r="C127" s="41" t="s">
        <v>280</v>
      </c>
      <c r="D127" s="84" t="s">
        <v>309</v>
      </c>
      <c r="E127" s="84" t="s">
        <v>310</v>
      </c>
      <c r="F127" s="41">
        <v>1</v>
      </c>
      <c r="G127" s="41" t="s">
        <v>51</v>
      </c>
      <c r="H127" s="37"/>
      <c r="I127" s="85"/>
      <c r="J127" s="85"/>
      <c r="K127" s="85"/>
      <c r="L127" s="137">
        <v>0.25</v>
      </c>
      <c r="M127" s="85"/>
      <c r="N127" s="85"/>
      <c r="O127" s="85"/>
      <c r="P127" s="85"/>
      <c r="Q127" s="85"/>
      <c r="R127" s="85"/>
      <c r="S127" s="85"/>
      <c r="T127" s="85"/>
    </row>
    <row r="128" spans="1:22" ht="30" hidden="1" customHeight="1" x14ac:dyDescent="0.2">
      <c r="B128" s="33" t="e">
        <f t="shared" si="7"/>
        <v>#VALUE!</v>
      </c>
      <c r="C128" s="41" t="s">
        <v>280</v>
      </c>
      <c r="D128" s="37" t="s">
        <v>311</v>
      </c>
      <c r="E128" s="37" t="s">
        <v>312</v>
      </c>
      <c r="F128" s="41">
        <v>1</v>
      </c>
      <c r="G128" s="41" t="s">
        <v>51</v>
      </c>
      <c r="H128" s="37"/>
      <c r="I128" s="86">
        <v>0</v>
      </c>
      <c r="J128" s="85"/>
      <c r="K128" s="85"/>
      <c r="L128" s="85"/>
      <c r="M128" s="85"/>
      <c r="N128" s="85"/>
      <c r="O128" s="85"/>
      <c r="P128" s="85"/>
      <c r="Q128" s="85"/>
      <c r="R128" s="85"/>
      <c r="S128" s="85"/>
      <c r="T128" s="85"/>
    </row>
    <row r="129" spans="2:22" ht="30" hidden="1" customHeight="1" x14ac:dyDescent="0.2">
      <c r="B129" s="33" t="e">
        <f t="shared" si="7"/>
        <v>#VALUE!</v>
      </c>
      <c r="C129" s="41" t="s">
        <v>280</v>
      </c>
      <c r="D129" s="37" t="s">
        <v>313</v>
      </c>
      <c r="E129" s="37" t="s">
        <v>314</v>
      </c>
      <c r="F129" s="41">
        <v>1</v>
      </c>
      <c r="G129" s="41" t="s">
        <v>67</v>
      </c>
      <c r="H129" s="37"/>
      <c r="I129" s="86">
        <v>0</v>
      </c>
      <c r="J129" s="85"/>
      <c r="K129" s="85"/>
      <c r="L129" s="85"/>
      <c r="M129" s="85"/>
      <c r="N129" s="85"/>
      <c r="O129" s="85"/>
      <c r="P129" s="85"/>
      <c r="Q129" s="85"/>
      <c r="R129" s="85"/>
      <c r="S129" s="85"/>
      <c r="T129" s="85"/>
    </row>
    <row r="130" spans="2:22" ht="30" hidden="1" customHeight="1" x14ac:dyDescent="0.2">
      <c r="B130" s="33" t="e">
        <f t="shared" si="7"/>
        <v>#VALUE!</v>
      </c>
      <c r="C130" s="41" t="s">
        <v>280</v>
      </c>
      <c r="D130" s="72" t="s">
        <v>315</v>
      </c>
      <c r="E130" s="37" t="s">
        <v>316</v>
      </c>
      <c r="F130" s="41">
        <v>1</v>
      </c>
      <c r="G130" s="41" t="s">
        <v>67</v>
      </c>
      <c r="H130" s="37"/>
      <c r="I130" s="86">
        <v>0</v>
      </c>
      <c r="J130" s="85"/>
      <c r="K130" s="85"/>
      <c r="L130" s="85"/>
      <c r="M130" s="85"/>
      <c r="N130" s="85"/>
      <c r="O130" s="85"/>
      <c r="P130" s="85"/>
      <c r="Q130" s="85"/>
      <c r="R130" s="85"/>
      <c r="S130" s="85"/>
      <c r="T130" s="85"/>
    </row>
    <row r="131" spans="2:22" ht="30" hidden="1" customHeight="1" x14ac:dyDescent="0.2">
      <c r="B131" s="33" t="e">
        <f t="shared" si="7"/>
        <v>#VALUE!</v>
      </c>
      <c r="C131" s="41" t="s">
        <v>280</v>
      </c>
      <c r="D131" s="72" t="s">
        <v>317</v>
      </c>
      <c r="E131" s="37" t="s">
        <v>318</v>
      </c>
      <c r="F131" s="41">
        <v>1</v>
      </c>
      <c r="G131" s="41" t="s">
        <v>67</v>
      </c>
      <c r="H131" s="37"/>
      <c r="I131" s="86">
        <v>0</v>
      </c>
      <c r="J131" s="85"/>
      <c r="K131" s="85"/>
      <c r="L131" s="85"/>
      <c r="M131" s="85"/>
      <c r="N131" s="85"/>
      <c r="O131" s="85"/>
      <c r="P131" s="85"/>
      <c r="Q131" s="85"/>
      <c r="R131" s="85"/>
      <c r="S131" s="85"/>
      <c r="T131" s="85"/>
    </row>
    <row r="132" spans="2:22" ht="35" hidden="1" thickBot="1" x14ac:dyDescent="0.25">
      <c r="B132" s="33" t="e">
        <f t="shared" si="7"/>
        <v>#VALUE!</v>
      </c>
      <c r="C132" s="41" t="s">
        <v>280</v>
      </c>
      <c r="D132" s="37" t="s">
        <v>319</v>
      </c>
      <c r="E132" s="37" t="s">
        <v>320</v>
      </c>
      <c r="F132" s="41">
        <v>1</v>
      </c>
      <c r="G132" s="41" t="s">
        <v>279</v>
      </c>
      <c r="H132" s="37"/>
      <c r="I132" s="119"/>
      <c r="J132" s="119"/>
      <c r="K132" s="85"/>
      <c r="L132" s="85"/>
      <c r="M132" s="85"/>
      <c r="N132" s="85"/>
      <c r="O132" s="85"/>
      <c r="P132" s="85"/>
      <c r="Q132" s="85"/>
      <c r="R132" s="85"/>
      <c r="S132" s="85"/>
      <c r="T132" s="87">
        <v>1</v>
      </c>
    </row>
    <row r="133" spans="2:22" ht="30" hidden="1" customHeight="1" x14ac:dyDescent="0.2">
      <c r="B133" s="33" t="e">
        <f t="shared" si="7"/>
        <v>#VALUE!</v>
      </c>
      <c r="C133" s="41" t="s">
        <v>280</v>
      </c>
      <c r="D133" s="37" t="s">
        <v>321</v>
      </c>
      <c r="E133" s="37" t="s">
        <v>322</v>
      </c>
      <c r="F133" s="41">
        <v>1</v>
      </c>
      <c r="G133" s="41" t="s">
        <v>51</v>
      </c>
      <c r="H133" s="37"/>
      <c r="I133" s="85"/>
      <c r="J133" s="86">
        <v>0.05</v>
      </c>
      <c r="K133" s="85"/>
      <c r="L133" s="85"/>
      <c r="M133" s="85"/>
      <c r="N133" s="85"/>
      <c r="O133" s="85"/>
      <c r="P133" s="85"/>
      <c r="Q133" s="85"/>
      <c r="R133" s="85"/>
      <c r="S133" s="85"/>
      <c r="T133" s="85"/>
      <c r="V133" s="16"/>
    </row>
    <row r="134" spans="2:22" ht="30" hidden="1" customHeight="1" x14ac:dyDescent="0.2">
      <c r="B134" s="33" t="e">
        <f t="shared" si="7"/>
        <v>#VALUE!</v>
      </c>
      <c r="C134" s="41" t="s">
        <v>280</v>
      </c>
      <c r="D134" s="37" t="s">
        <v>323</v>
      </c>
      <c r="E134" s="37" t="s">
        <v>324</v>
      </c>
      <c r="F134" s="41">
        <v>1</v>
      </c>
      <c r="G134" s="41" t="s">
        <v>67</v>
      </c>
      <c r="H134" s="37"/>
      <c r="I134" s="86">
        <v>0</v>
      </c>
      <c r="J134" s="85"/>
      <c r="K134" s="85"/>
      <c r="L134" s="85"/>
      <c r="M134" s="85"/>
      <c r="N134" s="85"/>
      <c r="O134" s="85"/>
      <c r="P134" s="85"/>
      <c r="Q134" s="85"/>
      <c r="R134" s="85"/>
      <c r="S134" s="85"/>
      <c r="T134" s="85"/>
    </row>
    <row r="135" spans="2:22" ht="30" hidden="1" customHeight="1" x14ac:dyDescent="0.2">
      <c r="B135" s="33" t="e">
        <f>B133+1</f>
        <v>#VALUE!</v>
      </c>
      <c r="C135" s="40" t="s">
        <v>325</v>
      </c>
      <c r="D135" s="37" t="s">
        <v>326</v>
      </c>
      <c r="E135" s="37" t="s">
        <v>327</v>
      </c>
      <c r="F135" s="41">
        <v>1</v>
      </c>
      <c r="G135" s="41" t="s">
        <v>51</v>
      </c>
      <c r="H135" s="35"/>
      <c r="I135" s="85"/>
      <c r="J135" s="86">
        <v>0.05</v>
      </c>
      <c r="K135" s="85"/>
      <c r="L135" s="85"/>
      <c r="M135" s="85"/>
      <c r="N135" s="85"/>
      <c r="O135" s="85"/>
      <c r="P135" s="85"/>
      <c r="Q135" s="85"/>
      <c r="R135" s="85"/>
      <c r="S135" s="85"/>
      <c r="T135" s="85"/>
    </row>
    <row r="136" spans="2:22" ht="30" hidden="1" customHeight="1" x14ac:dyDescent="0.2">
      <c r="B136" s="33" t="e">
        <f t="shared" ref="B136:B161" si="8">B135+1</f>
        <v>#VALUE!</v>
      </c>
      <c r="C136" s="40" t="s">
        <v>325</v>
      </c>
      <c r="D136" s="37" t="s">
        <v>328</v>
      </c>
      <c r="E136" s="37" t="s">
        <v>329</v>
      </c>
      <c r="F136" s="41">
        <v>1</v>
      </c>
      <c r="G136" s="41" t="s">
        <v>51</v>
      </c>
      <c r="H136" s="35"/>
      <c r="I136" s="85"/>
      <c r="J136" s="86">
        <v>0.05</v>
      </c>
      <c r="K136" s="85"/>
      <c r="L136" s="85"/>
      <c r="M136" s="85"/>
      <c r="N136" s="85"/>
      <c r="O136" s="85"/>
      <c r="P136" s="85"/>
      <c r="Q136" s="85"/>
      <c r="R136" s="85"/>
      <c r="S136" s="85"/>
      <c r="T136" s="85"/>
    </row>
    <row r="137" spans="2:22" ht="30" hidden="1" customHeight="1" x14ac:dyDescent="0.2">
      <c r="B137" s="33" t="e">
        <f t="shared" si="8"/>
        <v>#VALUE!</v>
      </c>
      <c r="C137" s="40" t="s">
        <v>325</v>
      </c>
      <c r="D137" s="37" t="s">
        <v>330</v>
      </c>
      <c r="E137" s="37" t="s">
        <v>331</v>
      </c>
      <c r="F137" s="41">
        <v>1</v>
      </c>
      <c r="G137" s="41" t="s">
        <v>51</v>
      </c>
      <c r="H137" s="35"/>
      <c r="I137" s="85"/>
      <c r="J137" s="86">
        <v>0.05</v>
      </c>
      <c r="K137" s="85"/>
      <c r="L137" s="85"/>
      <c r="M137" s="85"/>
      <c r="N137" s="85"/>
      <c r="O137" s="85"/>
      <c r="P137" s="85"/>
      <c r="Q137" s="85"/>
      <c r="R137" s="85"/>
      <c r="S137" s="85"/>
      <c r="T137" s="85"/>
    </row>
    <row r="138" spans="2:22" ht="30" hidden="1" customHeight="1" x14ac:dyDescent="0.2">
      <c r="B138" s="33" t="e">
        <f t="shared" si="8"/>
        <v>#VALUE!</v>
      </c>
      <c r="C138" s="40" t="s">
        <v>325</v>
      </c>
      <c r="D138" s="37" t="s">
        <v>332</v>
      </c>
      <c r="E138" s="37" t="s">
        <v>333</v>
      </c>
      <c r="F138" s="41">
        <v>1</v>
      </c>
      <c r="G138" s="41" t="s">
        <v>51</v>
      </c>
      <c r="H138" s="35"/>
      <c r="I138" s="85"/>
      <c r="J138" s="86">
        <v>0.05</v>
      </c>
      <c r="K138" s="85"/>
      <c r="L138" s="85"/>
      <c r="M138" s="85"/>
      <c r="N138" s="85"/>
      <c r="O138" s="85"/>
      <c r="P138" s="85"/>
      <c r="Q138" s="85"/>
      <c r="R138" s="85"/>
      <c r="S138" s="85"/>
      <c r="T138" s="85"/>
    </row>
    <row r="139" spans="2:22" ht="30" hidden="1" customHeight="1" x14ac:dyDescent="0.2">
      <c r="B139" s="33" t="e">
        <f t="shared" si="8"/>
        <v>#VALUE!</v>
      </c>
      <c r="C139" s="40" t="s">
        <v>325</v>
      </c>
      <c r="D139" s="37" t="s">
        <v>334</v>
      </c>
      <c r="E139" s="37" t="s">
        <v>335</v>
      </c>
      <c r="F139" s="41">
        <v>1</v>
      </c>
      <c r="G139" s="41" t="s">
        <v>51</v>
      </c>
      <c r="H139" s="35"/>
      <c r="I139" s="85"/>
      <c r="J139" s="86">
        <v>0.05</v>
      </c>
      <c r="K139" s="85"/>
      <c r="L139" s="85"/>
      <c r="M139" s="85"/>
      <c r="N139" s="85"/>
      <c r="O139" s="85"/>
      <c r="P139" s="85"/>
      <c r="Q139" s="85"/>
      <c r="R139" s="85"/>
      <c r="S139" s="85"/>
      <c r="T139" s="85"/>
    </row>
    <row r="140" spans="2:22" ht="17" hidden="1" x14ac:dyDescent="0.2">
      <c r="B140" s="33" t="e">
        <f t="shared" si="8"/>
        <v>#VALUE!</v>
      </c>
      <c r="C140" s="40" t="s">
        <v>325</v>
      </c>
      <c r="D140" s="37" t="s">
        <v>336</v>
      </c>
      <c r="E140" s="37" t="s">
        <v>337</v>
      </c>
      <c r="F140" s="41">
        <v>1</v>
      </c>
      <c r="G140" s="41" t="s">
        <v>51</v>
      </c>
      <c r="H140" s="35"/>
      <c r="I140" s="85"/>
      <c r="J140" s="86">
        <v>0.05</v>
      </c>
      <c r="K140" s="85"/>
      <c r="L140" s="85"/>
      <c r="M140" s="85"/>
      <c r="N140" s="85"/>
      <c r="O140" s="85"/>
      <c r="P140" s="85"/>
      <c r="Q140" s="85"/>
      <c r="R140" s="85"/>
      <c r="S140" s="85"/>
      <c r="T140" s="85"/>
    </row>
    <row r="141" spans="2:22" ht="30" hidden="1" customHeight="1" x14ac:dyDescent="0.2">
      <c r="B141" s="33" t="e">
        <f t="shared" si="8"/>
        <v>#VALUE!</v>
      </c>
      <c r="C141" s="40" t="s">
        <v>325</v>
      </c>
      <c r="D141" s="37" t="s">
        <v>338</v>
      </c>
      <c r="E141" s="37" t="s">
        <v>339</v>
      </c>
      <c r="F141" s="41">
        <v>1</v>
      </c>
      <c r="G141" s="41" t="s">
        <v>51</v>
      </c>
      <c r="H141" s="35"/>
      <c r="I141" s="85"/>
      <c r="J141" s="86">
        <v>0.05</v>
      </c>
      <c r="K141" s="85"/>
      <c r="L141" s="85"/>
      <c r="M141" s="85"/>
      <c r="N141" s="85"/>
      <c r="O141" s="85"/>
      <c r="P141" s="85"/>
      <c r="Q141" s="85"/>
      <c r="R141" s="85"/>
      <c r="S141" s="85"/>
      <c r="T141" s="85"/>
    </row>
    <row r="142" spans="2:22" ht="30" hidden="1" customHeight="1" x14ac:dyDescent="0.2">
      <c r="B142" s="33" t="e">
        <f t="shared" si="8"/>
        <v>#VALUE!</v>
      </c>
      <c r="C142" s="40" t="s">
        <v>325</v>
      </c>
      <c r="D142" s="37" t="s">
        <v>340</v>
      </c>
      <c r="E142" s="37" t="s">
        <v>341</v>
      </c>
      <c r="F142" s="41">
        <v>1</v>
      </c>
      <c r="G142" s="41" t="s">
        <v>51</v>
      </c>
      <c r="H142" s="35"/>
      <c r="I142" s="121"/>
      <c r="J142" s="134">
        <v>0.05</v>
      </c>
      <c r="K142" s="121"/>
      <c r="L142" s="125"/>
      <c r="M142" s="125"/>
      <c r="N142" s="125"/>
      <c r="O142" s="125"/>
      <c r="P142" s="125"/>
      <c r="Q142" s="120"/>
      <c r="R142" s="121"/>
      <c r="S142" s="125"/>
      <c r="T142" s="120"/>
    </row>
    <row r="143" spans="2:22" ht="30" hidden="1" customHeight="1" x14ac:dyDescent="0.2">
      <c r="B143" s="33" t="e">
        <f t="shared" si="8"/>
        <v>#VALUE!</v>
      </c>
      <c r="C143" s="40" t="s">
        <v>325</v>
      </c>
      <c r="D143" s="37" t="s">
        <v>342</v>
      </c>
      <c r="E143" s="37" t="s">
        <v>343</v>
      </c>
      <c r="F143" s="41">
        <v>1</v>
      </c>
      <c r="G143" s="41" t="s">
        <v>51</v>
      </c>
      <c r="H143" s="35"/>
      <c r="I143" s="85"/>
      <c r="J143" s="86">
        <v>0.05</v>
      </c>
      <c r="K143" s="85"/>
      <c r="L143" s="85"/>
      <c r="M143" s="85"/>
      <c r="N143" s="85"/>
      <c r="O143" s="85"/>
      <c r="P143" s="85"/>
      <c r="Q143" s="85"/>
      <c r="R143" s="85"/>
      <c r="S143" s="85"/>
      <c r="T143" s="85"/>
    </row>
    <row r="144" spans="2:22" ht="30" hidden="1" customHeight="1" x14ac:dyDescent="0.2">
      <c r="B144" s="33" t="e">
        <f t="shared" si="8"/>
        <v>#VALUE!</v>
      </c>
      <c r="C144" s="40" t="s">
        <v>325</v>
      </c>
      <c r="D144" s="37" t="s">
        <v>344</v>
      </c>
      <c r="E144" s="37" t="s">
        <v>345</v>
      </c>
      <c r="F144" s="41">
        <v>1</v>
      </c>
      <c r="G144" s="41" t="s">
        <v>51</v>
      </c>
      <c r="H144" s="35"/>
      <c r="I144" s="85"/>
      <c r="J144" s="86">
        <v>0.05</v>
      </c>
      <c r="K144" s="85"/>
      <c r="L144" s="85"/>
      <c r="M144" s="85"/>
      <c r="N144" s="85"/>
      <c r="O144" s="85"/>
      <c r="P144" s="85"/>
      <c r="Q144" s="85"/>
      <c r="R144" s="85"/>
      <c r="S144" s="85"/>
      <c r="T144" s="85"/>
    </row>
    <row r="145" spans="2:20" ht="30" hidden="1" customHeight="1" x14ac:dyDescent="0.2">
      <c r="B145" s="33" t="e">
        <f t="shared" si="8"/>
        <v>#VALUE!</v>
      </c>
      <c r="C145" s="40" t="s">
        <v>325</v>
      </c>
      <c r="D145" s="37" t="s">
        <v>346</v>
      </c>
      <c r="E145" s="37" t="s">
        <v>347</v>
      </c>
      <c r="F145" s="41">
        <v>1</v>
      </c>
      <c r="G145" s="41" t="s">
        <v>51</v>
      </c>
      <c r="H145" s="35"/>
      <c r="I145" s="85"/>
      <c r="J145" s="86">
        <v>0.05</v>
      </c>
      <c r="K145" s="85"/>
      <c r="L145" s="85"/>
      <c r="M145" s="85"/>
      <c r="N145" s="85"/>
      <c r="O145" s="85"/>
      <c r="P145" s="85"/>
      <c r="Q145" s="85"/>
      <c r="R145" s="85"/>
      <c r="S145" s="85"/>
      <c r="T145" s="85"/>
    </row>
    <row r="146" spans="2:20" ht="30" hidden="1" customHeight="1" x14ac:dyDescent="0.2">
      <c r="B146" s="33" t="e">
        <f t="shared" si="8"/>
        <v>#VALUE!</v>
      </c>
      <c r="C146" s="40" t="s">
        <v>325</v>
      </c>
      <c r="D146" s="37" t="s">
        <v>348</v>
      </c>
      <c r="E146" s="37" t="s">
        <v>349</v>
      </c>
      <c r="F146" s="41">
        <v>1</v>
      </c>
      <c r="G146" s="41" t="s">
        <v>51</v>
      </c>
      <c r="H146" s="35"/>
      <c r="I146" s="85"/>
      <c r="J146" s="86">
        <v>0.05</v>
      </c>
      <c r="K146" s="85"/>
      <c r="L146" s="85"/>
      <c r="M146" s="85"/>
      <c r="N146" s="85"/>
      <c r="O146" s="85"/>
      <c r="P146" s="85"/>
      <c r="Q146" s="85"/>
      <c r="R146" s="85"/>
      <c r="S146" s="85"/>
      <c r="T146" s="85"/>
    </row>
    <row r="147" spans="2:20" ht="30" hidden="1" customHeight="1" x14ac:dyDescent="0.2">
      <c r="B147" s="33" t="e">
        <f t="shared" si="8"/>
        <v>#VALUE!</v>
      </c>
      <c r="C147" s="40" t="s">
        <v>325</v>
      </c>
      <c r="D147" s="37" t="s">
        <v>350</v>
      </c>
      <c r="E147" s="37" t="s">
        <v>351</v>
      </c>
      <c r="F147" s="41">
        <v>1</v>
      </c>
      <c r="G147" s="41" t="s">
        <v>51</v>
      </c>
      <c r="H147" s="35"/>
      <c r="I147" s="85"/>
      <c r="J147" s="86">
        <v>0.05</v>
      </c>
      <c r="K147" s="85"/>
      <c r="L147" s="85"/>
      <c r="M147" s="85"/>
      <c r="N147" s="85"/>
      <c r="O147" s="85"/>
      <c r="P147" s="85"/>
      <c r="Q147" s="85"/>
      <c r="R147" s="85"/>
      <c r="S147" s="85"/>
      <c r="T147" s="85"/>
    </row>
    <row r="148" spans="2:20" ht="30" hidden="1" customHeight="1" x14ac:dyDescent="0.2">
      <c r="B148" s="33" t="e">
        <f t="shared" si="8"/>
        <v>#VALUE!</v>
      </c>
      <c r="C148" s="40" t="s">
        <v>325</v>
      </c>
      <c r="D148" s="37" t="s">
        <v>352</v>
      </c>
      <c r="E148" s="37" t="s">
        <v>353</v>
      </c>
      <c r="F148" s="41">
        <v>1</v>
      </c>
      <c r="G148" s="41" t="s">
        <v>51</v>
      </c>
      <c r="H148" s="35"/>
      <c r="I148" s="85"/>
      <c r="J148" s="86">
        <v>0.05</v>
      </c>
      <c r="K148" s="85"/>
      <c r="L148" s="85"/>
      <c r="M148" s="85"/>
      <c r="N148" s="85"/>
      <c r="O148" s="85"/>
      <c r="P148" s="85"/>
      <c r="Q148" s="85"/>
      <c r="R148" s="85"/>
      <c r="S148" s="85"/>
      <c r="T148" s="85"/>
    </row>
    <row r="149" spans="2:20" ht="30" hidden="1" customHeight="1" x14ac:dyDescent="0.2">
      <c r="B149" s="33" t="e">
        <f t="shared" si="8"/>
        <v>#VALUE!</v>
      </c>
      <c r="C149" s="40" t="s">
        <v>325</v>
      </c>
      <c r="D149" s="37" t="s">
        <v>354</v>
      </c>
      <c r="E149" s="37" t="s">
        <v>355</v>
      </c>
      <c r="F149" s="41">
        <v>1</v>
      </c>
      <c r="G149" s="41" t="s">
        <v>51</v>
      </c>
      <c r="H149" s="35"/>
      <c r="I149" s="85"/>
      <c r="J149" s="86">
        <v>0.05</v>
      </c>
      <c r="K149" s="85"/>
      <c r="L149" s="85"/>
      <c r="M149" s="85"/>
      <c r="N149" s="85"/>
      <c r="O149" s="85"/>
      <c r="P149" s="85"/>
      <c r="Q149" s="85"/>
      <c r="R149" s="85"/>
      <c r="S149" s="85"/>
      <c r="T149" s="85"/>
    </row>
    <row r="150" spans="2:20" ht="30" hidden="1" customHeight="1" x14ac:dyDescent="0.2">
      <c r="B150" s="33" t="e">
        <f t="shared" si="8"/>
        <v>#VALUE!</v>
      </c>
      <c r="C150" s="40" t="s">
        <v>325</v>
      </c>
      <c r="D150" s="37" t="s">
        <v>356</v>
      </c>
      <c r="E150" s="37" t="s">
        <v>357</v>
      </c>
      <c r="F150" s="41">
        <v>1</v>
      </c>
      <c r="G150" s="41" t="s">
        <v>51</v>
      </c>
      <c r="H150" s="35"/>
      <c r="I150" s="85"/>
      <c r="J150" s="86">
        <v>0.05</v>
      </c>
      <c r="K150" s="85"/>
      <c r="L150" s="85"/>
      <c r="M150" s="85"/>
      <c r="N150" s="85"/>
      <c r="O150" s="85"/>
      <c r="P150" s="85"/>
      <c r="Q150" s="85"/>
      <c r="R150" s="85"/>
      <c r="S150" s="85"/>
      <c r="T150" s="85"/>
    </row>
    <row r="151" spans="2:20" ht="30" hidden="1" customHeight="1" x14ac:dyDescent="0.2">
      <c r="B151" s="33" t="e">
        <f t="shared" si="8"/>
        <v>#VALUE!</v>
      </c>
      <c r="C151" s="40" t="s">
        <v>325</v>
      </c>
      <c r="D151" s="37" t="s">
        <v>358</v>
      </c>
      <c r="E151" s="37" t="s">
        <v>359</v>
      </c>
      <c r="F151" s="41">
        <v>1</v>
      </c>
      <c r="G151" s="41" t="s">
        <v>51</v>
      </c>
      <c r="H151" s="35"/>
      <c r="I151" s="85"/>
      <c r="J151" s="86">
        <v>0.05</v>
      </c>
      <c r="K151" s="85"/>
      <c r="L151" s="85"/>
      <c r="M151" s="85"/>
      <c r="N151" s="85"/>
      <c r="O151" s="85"/>
      <c r="P151" s="85"/>
      <c r="Q151" s="85"/>
      <c r="R151" s="85"/>
      <c r="S151" s="85"/>
      <c r="T151" s="85"/>
    </row>
    <row r="152" spans="2:20" ht="30" hidden="1" customHeight="1" x14ac:dyDescent="0.2">
      <c r="B152" s="33" t="e">
        <f t="shared" si="8"/>
        <v>#VALUE!</v>
      </c>
      <c r="C152" s="40" t="s">
        <v>325</v>
      </c>
      <c r="D152" s="37" t="s">
        <v>360</v>
      </c>
      <c r="E152" s="37" t="s">
        <v>361</v>
      </c>
      <c r="F152" s="41">
        <v>1</v>
      </c>
      <c r="G152" s="41" t="s">
        <v>51</v>
      </c>
      <c r="H152" s="35"/>
      <c r="I152" s="85"/>
      <c r="J152" s="86">
        <v>0.05</v>
      </c>
      <c r="K152" s="85"/>
      <c r="L152" s="85"/>
      <c r="M152" s="85"/>
      <c r="N152" s="85"/>
      <c r="O152" s="85"/>
      <c r="P152" s="85"/>
      <c r="Q152" s="85"/>
      <c r="R152" s="85"/>
      <c r="S152" s="85"/>
      <c r="T152" s="85"/>
    </row>
    <row r="153" spans="2:20" ht="30" hidden="1" customHeight="1" x14ac:dyDescent="0.2">
      <c r="B153" s="33" t="e">
        <f t="shared" si="8"/>
        <v>#VALUE!</v>
      </c>
      <c r="C153" s="40" t="s">
        <v>362</v>
      </c>
      <c r="D153" s="37" t="s">
        <v>363</v>
      </c>
      <c r="E153" s="37" t="s">
        <v>364</v>
      </c>
      <c r="F153" s="41">
        <v>7</v>
      </c>
      <c r="G153" s="41" t="s">
        <v>135</v>
      </c>
      <c r="H153" s="35"/>
      <c r="I153" s="85"/>
      <c r="J153" s="85"/>
      <c r="K153" s="85"/>
      <c r="L153" s="85"/>
      <c r="M153" s="85"/>
      <c r="N153" s="85"/>
      <c r="O153" s="85"/>
      <c r="P153" s="85"/>
      <c r="Q153" s="85"/>
      <c r="R153" s="85"/>
      <c r="S153" s="85"/>
      <c r="T153" s="87">
        <v>1</v>
      </c>
    </row>
    <row r="154" spans="2:20" ht="30" hidden="1" customHeight="1" x14ac:dyDescent="0.2">
      <c r="B154" s="33" t="e">
        <f t="shared" si="8"/>
        <v>#VALUE!</v>
      </c>
      <c r="C154" s="40" t="s">
        <v>362</v>
      </c>
      <c r="D154" s="37" t="s">
        <v>365</v>
      </c>
      <c r="E154" s="37" t="s">
        <v>366</v>
      </c>
      <c r="F154" s="41">
        <v>2</v>
      </c>
      <c r="G154" s="41" t="s">
        <v>135</v>
      </c>
      <c r="H154" s="35"/>
      <c r="I154" s="85"/>
      <c r="J154" s="85"/>
      <c r="K154" s="85"/>
      <c r="L154" s="85"/>
      <c r="M154" s="85"/>
      <c r="N154" s="85"/>
      <c r="O154" s="85"/>
      <c r="P154" s="85"/>
      <c r="Q154" s="85"/>
      <c r="R154" s="85"/>
      <c r="S154" s="85"/>
      <c r="T154" s="87">
        <v>1</v>
      </c>
    </row>
    <row r="155" spans="2:20" ht="30" hidden="1" customHeight="1" x14ac:dyDescent="0.2">
      <c r="B155" s="33" t="e">
        <f t="shared" si="8"/>
        <v>#VALUE!</v>
      </c>
      <c r="C155" s="40" t="s">
        <v>362</v>
      </c>
      <c r="D155" s="37" t="s">
        <v>367</v>
      </c>
      <c r="E155" s="37" t="s">
        <v>368</v>
      </c>
      <c r="F155" s="41">
        <v>5</v>
      </c>
      <c r="G155" s="41" t="s">
        <v>135</v>
      </c>
      <c r="H155" s="35"/>
      <c r="I155" s="85"/>
      <c r="J155" s="85"/>
      <c r="K155" s="85"/>
      <c r="L155" s="85"/>
      <c r="M155" s="85"/>
      <c r="N155" s="85"/>
      <c r="O155" s="85"/>
      <c r="P155" s="85"/>
      <c r="Q155" s="85"/>
      <c r="R155" s="85"/>
      <c r="S155" s="85"/>
      <c r="T155" s="87">
        <v>1</v>
      </c>
    </row>
    <row r="156" spans="2:20" ht="30" hidden="1" customHeight="1" x14ac:dyDescent="0.2">
      <c r="B156" s="33" t="e">
        <f t="shared" si="8"/>
        <v>#VALUE!</v>
      </c>
      <c r="C156" s="40" t="s">
        <v>362</v>
      </c>
      <c r="D156" s="37" t="s">
        <v>369</v>
      </c>
      <c r="E156" s="37" t="s">
        <v>370</v>
      </c>
      <c r="F156" s="41">
        <v>5</v>
      </c>
      <c r="G156" s="41" t="s">
        <v>135</v>
      </c>
      <c r="H156" s="35"/>
      <c r="I156" s="85"/>
      <c r="J156" s="85"/>
      <c r="K156" s="85"/>
      <c r="L156" s="85"/>
      <c r="M156" s="85"/>
      <c r="N156" s="85"/>
      <c r="O156" s="85"/>
      <c r="P156" s="85"/>
      <c r="Q156" s="85"/>
      <c r="R156" s="85"/>
      <c r="S156" s="85"/>
      <c r="T156" s="87">
        <v>1</v>
      </c>
    </row>
    <row r="157" spans="2:20" ht="30" hidden="1" customHeight="1" x14ac:dyDescent="0.2">
      <c r="B157" s="33" t="e">
        <f t="shared" si="8"/>
        <v>#VALUE!</v>
      </c>
      <c r="C157" s="40" t="s">
        <v>362</v>
      </c>
      <c r="D157" s="37" t="s">
        <v>371</v>
      </c>
      <c r="E157" s="37" t="s">
        <v>372</v>
      </c>
      <c r="F157" s="41">
        <v>8</v>
      </c>
      <c r="G157" s="41" t="s">
        <v>135</v>
      </c>
      <c r="H157" s="35"/>
      <c r="I157" s="85"/>
      <c r="J157" s="85"/>
      <c r="K157" s="85"/>
      <c r="L157" s="85"/>
      <c r="M157" s="85"/>
      <c r="N157" s="85"/>
      <c r="O157" s="85"/>
      <c r="P157" s="85"/>
      <c r="Q157" s="85"/>
      <c r="R157" s="85"/>
      <c r="S157" s="85"/>
      <c r="T157" s="87">
        <v>1</v>
      </c>
    </row>
    <row r="158" spans="2:20" ht="30" hidden="1" customHeight="1" x14ac:dyDescent="0.2">
      <c r="B158" s="33" t="e">
        <f t="shared" si="8"/>
        <v>#VALUE!</v>
      </c>
      <c r="C158" s="40" t="s">
        <v>362</v>
      </c>
      <c r="D158" s="37" t="s">
        <v>373</v>
      </c>
      <c r="E158" s="37" t="s">
        <v>374</v>
      </c>
      <c r="F158" s="41">
        <v>1</v>
      </c>
      <c r="G158" s="41" t="s">
        <v>44</v>
      </c>
      <c r="H158" s="35"/>
      <c r="I158" s="85"/>
      <c r="J158" s="85"/>
      <c r="K158" s="85"/>
      <c r="L158" s="88">
        <v>0.25</v>
      </c>
      <c r="M158" s="85"/>
      <c r="N158" s="85"/>
      <c r="O158" s="85"/>
      <c r="P158" s="85"/>
      <c r="Q158" s="85"/>
      <c r="R158" s="85"/>
      <c r="S158" s="85"/>
      <c r="T158" s="85"/>
    </row>
    <row r="159" spans="2:20" ht="30" hidden="1" customHeight="1" x14ac:dyDescent="0.2">
      <c r="B159" s="33" t="e">
        <f t="shared" si="8"/>
        <v>#VALUE!</v>
      </c>
      <c r="C159" s="40" t="s">
        <v>362</v>
      </c>
      <c r="D159" s="37" t="s">
        <v>375</v>
      </c>
      <c r="E159" s="37" t="s">
        <v>376</v>
      </c>
      <c r="F159" s="41">
        <v>1</v>
      </c>
      <c r="G159" s="41" t="s">
        <v>44</v>
      </c>
      <c r="H159" s="35"/>
      <c r="I159" s="85"/>
      <c r="J159" s="86">
        <v>0.05</v>
      </c>
      <c r="K159" s="85"/>
      <c r="L159" s="85"/>
      <c r="M159" s="85"/>
      <c r="N159" s="85"/>
      <c r="O159" s="85"/>
      <c r="P159" s="85"/>
      <c r="Q159" s="85"/>
      <c r="R159" s="85"/>
      <c r="S159" s="85"/>
      <c r="T159" s="85"/>
    </row>
    <row r="160" spans="2:20" ht="30" hidden="1" customHeight="1" x14ac:dyDescent="0.2">
      <c r="B160" s="33" t="e">
        <f t="shared" si="8"/>
        <v>#VALUE!</v>
      </c>
      <c r="C160" s="40" t="s">
        <v>362</v>
      </c>
      <c r="D160" s="37" t="s">
        <v>377</v>
      </c>
      <c r="E160" s="37" t="s">
        <v>378</v>
      </c>
      <c r="F160" s="41">
        <v>1</v>
      </c>
      <c r="G160" s="41" t="s">
        <v>51</v>
      </c>
      <c r="H160" s="35"/>
      <c r="J160" s="86">
        <v>0.05</v>
      </c>
      <c r="K160" s="85"/>
      <c r="L160" s="85"/>
      <c r="M160" s="85"/>
      <c r="N160" s="85"/>
      <c r="O160" s="85"/>
      <c r="P160" s="85"/>
      <c r="Q160" s="85"/>
      <c r="R160" s="85"/>
      <c r="S160" s="85"/>
      <c r="T160" s="85"/>
    </row>
    <row r="161" spans="2:20" ht="30" hidden="1" customHeight="1" x14ac:dyDescent="0.2">
      <c r="B161" s="33" t="e">
        <f t="shared" si="8"/>
        <v>#VALUE!</v>
      </c>
      <c r="C161" s="40" t="s">
        <v>362</v>
      </c>
      <c r="D161" s="37" t="s">
        <v>379</v>
      </c>
      <c r="E161" s="37" t="s">
        <v>380</v>
      </c>
      <c r="F161" s="41">
        <v>1</v>
      </c>
      <c r="G161" s="41" t="s">
        <v>51</v>
      </c>
      <c r="H161" s="35"/>
      <c r="I161" s="85"/>
      <c r="J161" s="85"/>
      <c r="K161" s="88">
        <v>0.1</v>
      </c>
      <c r="L161" s="85"/>
      <c r="M161" s="85"/>
      <c r="N161" s="85"/>
      <c r="O161" s="85"/>
      <c r="P161" s="85"/>
      <c r="Q161" s="85"/>
      <c r="R161" s="85"/>
      <c r="S161" s="85"/>
      <c r="T161" s="85"/>
    </row>
    <row r="162" spans="2:20" ht="30" hidden="1" customHeight="1" thickBot="1" x14ac:dyDescent="0.25">
      <c r="B162" s="33" t="e">
        <f>B160+1</f>
        <v>#VALUE!</v>
      </c>
      <c r="C162" s="40" t="s">
        <v>362</v>
      </c>
      <c r="D162" s="37" t="s">
        <v>381</v>
      </c>
      <c r="E162" s="37" t="s">
        <v>382</v>
      </c>
      <c r="F162" s="41">
        <v>1</v>
      </c>
      <c r="G162" s="41" t="s">
        <v>67</v>
      </c>
      <c r="H162" s="35"/>
      <c r="I162" s="48">
        <v>0</v>
      </c>
      <c r="J162" s="85"/>
      <c r="K162" s="85"/>
      <c r="L162" s="85"/>
      <c r="M162" s="85"/>
      <c r="N162" s="85"/>
      <c r="O162" s="85"/>
      <c r="P162" s="85"/>
      <c r="Q162" s="85"/>
      <c r="R162" s="85"/>
      <c r="S162" s="85"/>
      <c r="T162" s="85"/>
    </row>
    <row r="163" spans="2:20" ht="30" hidden="1" customHeight="1" thickBot="1" x14ac:dyDescent="0.25">
      <c r="B163" s="33" t="e">
        <f t="shared" ref="B163:B170" si="9">B162+1</f>
        <v>#VALUE!</v>
      </c>
      <c r="C163" s="40" t="s">
        <v>362</v>
      </c>
      <c r="D163" s="37" t="s">
        <v>383</v>
      </c>
      <c r="E163" s="37" t="s">
        <v>384</v>
      </c>
      <c r="F163" s="41">
        <v>1</v>
      </c>
      <c r="G163" s="41" t="s">
        <v>51</v>
      </c>
      <c r="H163" s="35"/>
      <c r="I163" s="48">
        <v>0</v>
      </c>
      <c r="J163" s="85"/>
      <c r="K163" s="85"/>
      <c r="L163" s="85"/>
      <c r="M163" s="85"/>
      <c r="N163" s="85"/>
      <c r="O163" s="85"/>
      <c r="P163" s="85"/>
      <c r="Q163" s="85"/>
      <c r="R163" s="85"/>
      <c r="S163" s="85"/>
      <c r="T163" s="85"/>
    </row>
    <row r="164" spans="2:20" ht="37.5" hidden="1" customHeight="1" thickBot="1" x14ac:dyDescent="0.25">
      <c r="B164" s="33" t="e">
        <f t="shared" si="9"/>
        <v>#VALUE!</v>
      </c>
      <c r="C164" s="40" t="s">
        <v>362</v>
      </c>
      <c r="D164" s="37" t="s">
        <v>385</v>
      </c>
      <c r="E164" s="37" t="s">
        <v>386</v>
      </c>
      <c r="F164" s="41">
        <v>1</v>
      </c>
      <c r="G164" s="41" t="s">
        <v>44</v>
      </c>
      <c r="H164" s="35"/>
      <c r="I164" s="48">
        <v>0</v>
      </c>
      <c r="J164" s="85"/>
      <c r="K164" s="85"/>
      <c r="L164" s="85"/>
      <c r="M164" s="85"/>
      <c r="N164" s="85"/>
      <c r="O164" s="85"/>
      <c r="P164" s="85"/>
      <c r="Q164" s="85"/>
      <c r="R164" s="85"/>
      <c r="S164" s="85"/>
      <c r="T164" s="85"/>
    </row>
    <row r="165" spans="2:20" ht="30" hidden="1" customHeight="1" thickBot="1" x14ac:dyDescent="0.25">
      <c r="B165" s="33" t="e">
        <f t="shared" si="9"/>
        <v>#VALUE!</v>
      </c>
      <c r="C165" s="40" t="s">
        <v>362</v>
      </c>
      <c r="D165" s="37" t="s">
        <v>387</v>
      </c>
      <c r="E165" s="37" t="s">
        <v>388</v>
      </c>
      <c r="F165" s="41">
        <v>2</v>
      </c>
      <c r="G165" s="41" t="s">
        <v>138</v>
      </c>
      <c r="H165" s="35"/>
      <c r="I165" s="85"/>
      <c r="J165" s="85"/>
      <c r="K165" s="85"/>
      <c r="L165" s="85"/>
      <c r="M165" s="85"/>
      <c r="N165" s="85"/>
      <c r="O165" s="85"/>
      <c r="P165" s="85"/>
      <c r="Q165" s="85"/>
      <c r="R165" s="85"/>
      <c r="S165" s="85"/>
      <c r="T165" s="55">
        <v>1</v>
      </c>
    </row>
    <row r="166" spans="2:20" ht="30" hidden="1" customHeight="1" thickBot="1" x14ac:dyDescent="0.25">
      <c r="B166" s="33" t="e">
        <f t="shared" si="9"/>
        <v>#VALUE!</v>
      </c>
      <c r="C166" s="40" t="s">
        <v>362</v>
      </c>
      <c r="D166" s="37" t="s">
        <v>389</v>
      </c>
      <c r="E166" s="37" t="s">
        <v>390</v>
      </c>
      <c r="F166" s="41">
        <v>1</v>
      </c>
      <c r="G166" s="41" t="s">
        <v>51</v>
      </c>
      <c r="H166" s="35"/>
      <c r="I166" s="48">
        <v>0</v>
      </c>
      <c r="J166" s="85"/>
      <c r="K166" s="85"/>
      <c r="L166" s="85"/>
      <c r="M166" s="85"/>
      <c r="N166" s="85"/>
      <c r="O166" s="85"/>
      <c r="P166" s="85"/>
      <c r="Q166" s="85"/>
      <c r="R166" s="85"/>
      <c r="S166" s="85"/>
      <c r="T166" s="119"/>
    </row>
    <row r="167" spans="2:20" ht="30" hidden="1" customHeight="1" thickBot="1" x14ac:dyDescent="0.25">
      <c r="B167" s="33" t="e">
        <f t="shared" si="9"/>
        <v>#VALUE!</v>
      </c>
      <c r="C167" s="40" t="s">
        <v>362</v>
      </c>
      <c r="D167" s="37" t="s">
        <v>391</v>
      </c>
      <c r="E167" s="37" t="s">
        <v>392</v>
      </c>
      <c r="F167" s="41">
        <v>1</v>
      </c>
      <c r="G167" s="41" t="s">
        <v>67</v>
      </c>
      <c r="H167" s="35"/>
      <c r="I167" s="48">
        <v>0</v>
      </c>
      <c r="J167" s="85"/>
      <c r="K167" s="85"/>
      <c r="L167" s="126"/>
      <c r="M167" s="85"/>
      <c r="N167" s="85"/>
      <c r="O167" s="85"/>
      <c r="P167" s="85"/>
      <c r="Q167" s="85"/>
      <c r="R167" s="85"/>
      <c r="S167" s="85"/>
      <c r="T167" s="85"/>
    </row>
    <row r="168" spans="2:20" ht="30" hidden="1" customHeight="1" thickBot="1" x14ac:dyDescent="0.25">
      <c r="B168" s="33" t="e">
        <f t="shared" si="9"/>
        <v>#VALUE!</v>
      </c>
      <c r="C168" s="40" t="s">
        <v>362</v>
      </c>
      <c r="D168" s="84" t="s">
        <v>393</v>
      </c>
      <c r="E168" s="84" t="s">
        <v>394</v>
      </c>
      <c r="F168" s="41">
        <v>1</v>
      </c>
      <c r="G168" s="41" t="s">
        <v>67</v>
      </c>
      <c r="H168" s="35"/>
      <c r="I168" s="48">
        <v>0</v>
      </c>
      <c r="J168" s="85"/>
      <c r="K168" s="85"/>
      <c r="L168" s="85"/>
      <c r="M168" s="85"/>
      <c r="N168" s="85"/>
      <c r="O168" s="85"/>
      <c r="P168" s="85"/>
      <c r="Q168" s="85"/>
      <c r="R168" s="85"/>
      <c r="S168" s="85"/>
      <c r="T168" s="85"/>
    </row>
    <row r="169" spans="2:20" ht="30" hidden="1" customHeight="1" thickBot="1" x14ac:dyDescent="0.25">
      <c r="B169" s="33" t="e">
        <f t="shared" si="9"/>
        <v>#VALUE!</v>
      </c>
      <c r="C169" s="40" t="s">
        <v>362</v>
      </c>
      <c r="D169" s="37" t="s">
        <v>395</v>
      </c>
      <c r="E169" s="37" t="s">
        <v>396</v>
      </c>
      <c r="F169" s="41">
        <v>1</v>
      </c>
      <c r="G169" s="41" t="s">
        <v>67</v>
      </c>
      <c r="H169" s="35"/>
      <c r="I169" s="48">
        <v>0</v>
      </c>
      <c r="J169" s="85"/>
      <c r="K169" s="85"/>
      <c r="L169" s="85"/>
      <c r="M169" s="85"/>
      <c r="N169" s="85"/>
      <c r="O169" s="85"/>
      <c r="P169" s="85"/>
      <c r="Q169" s="85"/>
      <c r="R169" s="85"/>
      <c r="S169" s="85"/>
      <c r="T169" s="119"/>
    </row>
    <row r="170" spans="2:20" ht="30" hidden="1" customHeight="1" thickBot="1" x14ac:dyDescent="0.25">
      <c r="B170" s="33" t="e">
        <f t="shared" si="9"/>
        <v>#VALUE!</v>
      </c>
      <c r="C170" s="41" t="s">
        <v>362</v>
      </c>
      <c r="D170" s="37" t="s">
        <v>397</v>
      </c>
      <c r="E170" s="37" t="s">
        <v>398</v>
      </c>
      <c r="F170" s="41">
        <v>2</v>
      </c>
      <c r="G170" s="41" t="s">
        <v>51</v>
      </c>
      <c r="H170" s="37"/>
      <c r="I170" s="48">
        <v>0</v>
      </c>
      <c r="J170" s="85"/>
      <c r="K170" s="85"/>
      <c r="L170" s="85"/>
      <c r="M170" s="85"/>
      <c r="N170" s="85"/>
      <c r="O170" s="85"/>
      <c r="P170" s="85"/>
      <c r="Q170" s="85"/>
      <c r="R170" s="85"/>
      <c r="S170" s="85"/>
      <c r="T170" s="119"/>
    </row>
    <row r="171" spans="2:20" ht="39.75" hidden="1" customHeight="1" thickBot="1" x14ac:dyDescent="0.25">
      <c r="B171" s="33" t="e">
        <f>B169+1</f>
        <v>#VALUE!</v>
      </c>
      <c r="C171" s="40" t="s">
        <v>399</v>
      </c>
      <c r="D171" s="37" t="s">
        <v>400</v>
      </c>
      <c r="E171" s="37" t="s">
        <v>401</v>
      </c>
      <c r="F171" s="41">
        <v>1</v>
      </c>
      <c r="G171" s="41" t="s">
        <v>44</v>
      </c>
      <c r="H171" s="35"/>
      <c r="I171" s="85"/>
      <c r="J171" s="86">
        <v>0.05</v>
      </c>
      <c r="K171" s="85"/>
      <c r="L171" s="85"/>
      <c r="M171" s="85"/>
      <c r="N171" s="85"/>
      <c r="O171" s="85"/>
      <c r="P171" s="85"/>
      <c r="Q171" s="85"/>
      <c r="R171" s="85"/>
      <c r="S171" s="85"/>
      <c r="T171" s="119"/>
    </row>
    <row r="172" spans="2:20" ht="30" hidden="1" customHeight="1" x14ac:dyDescent="0.2">
      <c r="B172" s="33" t="e">
        <f>B171+1</f>
        <v>#VALUE!</v>
      </c>
      <c r="C172" s="41" t="s">
        <v>399</v>
      </c>
      <c r="D172" s="37" t="s">
        <v>402</v>
      </c>
      <c r="E172" s="37" t="s">
        <v>403</v>
      </c>
      <c r="F172" s="41">
        <v>1</v>
      </c>
      <c r="G172" s="41" t="s">
        <v>67</v>
      </c>
      <c r="H172" s="37"/>
      <c r="I172" s="86">
        <v>0</v>
      </c>
      <c r="J172" s="85"/>
      <c r="K172" s="85"/>
      <c r="L172" s="85"/>
      <c r="M172" s="85"/>
      <c r="N172" s="85"/>
      <c r="O172" s="85"/>
      <c r="P172" s="85"/>
      <c r="Q172" s="85"/>
      <c r="R172" s="85"/>
      <c r="S172" s="85"/>
      <c r="T172" s="85"/>
    </row>
    <row r="173" spans="2:20" ht="30" hidden="1" customHeight="1" x14ac:dyDescent="0.2">
      <c r="B173" s="33" t="e">
        <f>B172+1</f>
        <v>#VALUE!</v>
      </c>
      <c r="C173" s="41" t="s">
        <v>399</v>
      </c>
      <c r="D173" s="37" t="s">
        <v>404</v>
      </c>
      <c r="E173" s="37" t="s">
        <v>405</v>
      </c>
      <c r="F173" s="41">
        <v>1</v>
      </c>
      <c r="G173" s="41" t="s">
        <v>51</v>
      </c>
      <c r="H173" s="37"/>
      <c r="I173" s="85"/>
      <c r="J173" s="86">
        <v>0.05</v>
      </c>
      <c r="K173" s="85"/>
      <c r="L173" s="85"/>
      <c r="M173" s="85"/>
      <c r="N173" s="85"/>
      <c r="O173" s="85"/>
      <c r="P173" s="85"/>
      <c r="Q173" s="85"/>
      <c r="R173" s="85"/>
      <c r="S173" s="85"/>
      <c r="T173" s="85"/>
    </row>
    <row r="174" spans="2:20" ht="30" customHeight="1" x14ac:dyDescent="0.2">
      <c r="B174" s="33" t="e">
        <f>B173+1</f>
        <v>#VALUE!</v>
      </c>
      <c r="C174" s="41" t="s">
        <v>406</v>
      </c>
      <c r="D174" s="37" t="s">
        <v>407</v>
      </c>
      <c r="E174" s="37" t="s">
        <v>408</v>
      </c>
      <c r="F174" s="41">
        <v>1</v>
      </c>
      <c r="G174" s="41" t="s">
        <v>51</v>
      </c>
      <c r="H174" s="37"/>
      <c r="I174" s="85"/>
      <c r="J174" s="86">
        <v>0.05</v>
      </c>
      <c r="K174" s="85"/>
      <c r="L174" s="85"/>
      <c r="M174" s="85"/>
      <c r="N174" s="85"/>
      <c r="O174" s="85"/>
      <c r="P174" s="85"/>
      <c r="Q174" s="85"/>
      <c r="R174" s="85"/>
      <c r="S174" s="85"/>
      <c r="T174" s="85"/>
    </row>
    <row r="175" spans="2:20" ht="30" customHeight="1" thickBot="1" x14ac:dyDescent="0.25">
      <c r="B175" s="33" t="e">
        <f>B174+1</f>
        <v>#VALUE!</v>
      </c>
      <c r="C175" s="41" t="s">
        <v>406</v>
      </c>
      <c r="D175" s="37" t="s">
        <v>409</v>
      </c>
      <c r="E175" s="37" t="s">
        <v>410</v>
      </c>
      <c r="F175" s="41">
        <v>1</v>
      </c>
      <c r="G175" s="41" t="s">
        <v>51</v>
      </c>
      <c r="H175" s="37"/>
      <c r="I175" s="85"/>
      <c r="J175" s="86">
        <v>0.05</v>
      </c>
      <c r="K175" s="85"/>
      <c r="L175" s="85"/>
      <c r="M175" s="85"/>
      <c r="N175" s="85"/>
      <c r="O175" s="85"/>
      <c r="P175" s="85"/>
      <c r="Q175" s="85"/>
      <c r="R175" s="85"/>
      <c r="S175" s="85"/>
      <c r="T175" s="119"/>
    </row>
    <row r="176" spans="2:20" ht="30" customHeight="1" x14ac:dyDescent="0.2">
      <c r="B176" s="33" t="e">
        <f>B175+1</f>
        <v>#VALUE!</v>
      </c>
      <c r="C176" s="41" t="s">
        <v>406</v>
      </c>
      <c r="D176" s="37" t="s">
        <v>411</v>
      </c>
      <c r="E176" s="37" t="s">
        <v>412</v>
      </c>
      <c r="F176" s="41">
        <v>1</v>
      </c>
      <c r="G176" s="41" t="s">
        <v>51</v>
      </c>
      <c r="H176" s="37"/>
      <c r="I176" s="85"/>
      <c r="J176" s="86">
        <v>0.05</v>
      </c>
      <c r="K176" s="85"/>
      <c r="L176" s="85"/>
      <c r="M176" s="85"/>
      <c r="N176" s="85"/>
      <c r="O176" s="85"/>
      <c r="P176" s="85"/>
      <c r="Q176" s="85"/>
      <c r="R176" s="85"/>
      <c r="S176" s="85"/>
      <c r="T176" s="85"/>
    </row>
    <row r="177" spans="1:22" ht="79.5" customHeight="1" thickBot="1" x14ac:dyDescent="0.25">
      <c r="B177" s="33" t="e">
        <f>B175+1</f>
        <v>#VALUE!</v>
      </c>
      <c r="C177" s="41" t="s">
        <v>406</v>
      </c>
      <c r="D177" s="37" t="s">
        <v>413</v>
      </c>
      <c r="E177" s="37" t="s">
        <v>414</v>
      </c>
      <c r="F177" s="41">
        <v>1</v>
      </c>
      <c r="G177" s="41" t="s">
        <v>67</v>
      </c>
      <c r="H177" s="37"/>
      <c r="I177" s="86">
        <v>0</v>
      </c>
      <c r="J177" s="85"/>
      <c r="K177" s="115"/>
      <c r="L177" s="85"/>
      <c r="M177" s="85"/>
      <c r="N177" s="85"/>
      <c r="O177" s="85"/>
      <c r="P177" s="85"/>
      <c r="Q177" s="85"/>
      <c r="R177" s="85"/>
      <c r="S177" s="85"/>
      <c r="T177" s="85"/>
    </row>
    <row r="178" spans="1:22" ht="30" customHeight="1" x14ac:dyDescent="0.2">
      <c r="B178" s="33" t="e">
        <f t="shared" ref="B178:B192" si="10">B177+1</f>
        <v>#VALUE!</v>
      </c>
      <c r="C178" s="41" t="s">
        <v>406</v>
      </c>
      <c r="D178" s="37" t="s">
        <v>415</v>
      </c>
      <c r="E178" s="37" t="s">
        <v>416</v>
      </c>
      <c r="F178" s="41">
        <v>1</v>
      </c>
      <c r="G178" s="41" t="s">
        <v>67</v>
      </c>
      <c r="H178" s="37"/>
      <c r="I178" s="86">
        <v>0</v>
      </c>
      <c r="J178" s="85"/>
      <c r="K178" s="85"/>
      <c r="L178" s="85"/>
      <c r="M178" s="85"/>
      <c r="N178" s="85"/>
      <c r="O178" s="85"/>
      <c r="P178" s="85"/>
      <c r="Q178" s="85"/>
      <c r="R178" s="85"/>
      <c r="S178" s="85"/>
      <c r="T178" s="85"/>
    </row>
    <row r="179" spans="1:22" ht="30" customHeight="1" x14ac:dyDescent="0.2">
      <c r="B179" s="33" t="e">
        <f t="shared" si="10"/>
        <v>#VALUE!</v>
      </c>
      <c r="C179" s="41" t="s">
        <v>406</v>
      </c>
      <c r="D179" s="37" t="s">
        <v>417</v>
      </c>
      <c r="E179" s="37" t="s">
        <v>418</v>
      </c>
      <c r="F179" s="41">
        <v>1</v>
      </c>
      <c r="G179" s="41" t="s">
        <v>67</v>
      </c>
      <c r="H179" s="37"/>
      <c r="I179" s="86">
        <v>0</v>
      </c>
      <c r="J179" s="85"/>
      <c r="K179" s="85"/>
      <c r="L179" s="85"/>
      <c r="M179" s="85"/>
      <c r="N179" s="85"/>
      <c r="O179" s="85"/>
      <c r="P179" s="85"/>
      <c r="Q179" s="85"/>
      <c r="R179" s="85"/>
      <c r="S179" s="85"/>
      <c r="T179" s="85"/>
    </row>
    <row r="180" spans="1:22" ht="30" customHeight="1" x14ac:dyDescent="0.2">
      <c r="B180" s="33" t="e">
        <f t="shared" si="10"/>
        <v>#VALUE!</v>
      </c>
      <c r="C180" s="41" t="s">
        <v>406</v>
      </c>
      <c r="D180" s="37" t="s">
        <v>419</v>
      </c>
      <c r="E180" s="37" t="s">
        <v>420</v>
      </c>
      <c r="F180" s="41">
        <v>1</v>
      </c>
      <c r="G180" s="41" t="s">
        <v>67</v>
      </c>
      <c r="H180" s="37"/>
      <c r="I180" s="86">
        <v>0</v>
      </c>
      <c r="J180" s="85"/>
      <c r="K180" s="85"/>
      <c r="L180" s="85"/>
      <c r="M180" s="85"/>
      <c r="N180" s="85"/>
      <c r="O180" s="85"/>
      <c r="P180" s="85"/>
      <c r="Q180" s="85"/>
      <c r="R180" s="85"/>
      <c r="S180" s="85"/>
      <c r="T180" s="85"/>
    </row>
    <row r="181" spans="1:22" s="16" customFormat="1" ht="30" customHeight="1" thickBot="1" x14ac:dyDescent="0.25">
      <c r="A181" s="14"/>
      <c r="B181" s="33" t="e">
        <f t="shared" si="10"/>
        <v>#VALUE!</v>
      </c>
      <c r="C181" s="41" t="s">
        <v>406</v>
      </c>
      <c r="D181" s="37" t="s">
        <v>421</v>
      </c>
      <c r="E181" s="37" t="s">
        <v>422</v>
      </c>
      <c r="F181" s="41">
        <v>1</v>
      </c>
      <c r="G181" s="41" t="s">
        <v>67</v>
      </c>
      <c r="H181" s="37"/>
      <c r="I181" s="86">
        <v>0</v>
      </c>
      <c r="J181" s="119"/>
      <c r="K181" s="85"/>
      <c r="L181" s="85"/>
      <c r="M181" s="85"/>
      <c r="N181" s="85"/>
      <c r="O181" s="85"/>
      <c r="P181" s="85"/>
      <c r="Q181" s="85"/>
      <c r="R181" s="85"/>
      <c r="S181" s="85"/>
      <c r="T181" s="85"/>
      <c r="V181"/>
    </row>
    <row r="182" spans="1:22" s="16" customFormat="1" ht="30" customHeight="1" x14ac:dyDescent="0.2">
      <c r="A182" s="14"/>
      <c r="B182" s="33" t="e">
        <f t="shared" si="10"/>
        <v>#VALUE!</v>
      </c>
      <c r="C182" s="41" t="s">
        <v>406</v>
      </c>
      <c r="D182" s="37" t="s">
        <v>423</v>
      </c>
      <c r="E182" s="37" t="s">
        <v>424</v>
      </c>
      <c r="F182" s="41">
        <v>1</v>
      </c>
      <c r="G182" s="41" t="s">
        <v>67</v>
      </c>
      <c r="H182" s="37"/>
      <c r="I182" s="86">
        <v>0</v>
      </c>
      <c r="J182" s="85"/>
      <c r="K182" s="85"/>
      <c r="L182" s="85"/>
      <c r="M182" s="85"/>
      <c r="N182" s="85"/>
      <c r="O182" s="85"/>
      <c r="P182" s="85"/>
      <c r="Q182" s="85"/>
      <c r="R182" s="85"/>
      <c r="S182" s="85"/>
      <c r="T182" s="85"/>
      <c r="V182"/>
    </row>
    <row r="183" spans="1:22" s="16" customFormat="1" ht="30" customHeight="1" x14ac:dyDescent="0.2">
      <c r="A183" s="14"/>
      <c r="B183" s="33" t="e">
        <f t="shared" si="10"/>
        <v>#VALUE!</v>
      </c>
      <c r="C183" s="41" t="s">
        <v>406</v>
      </c>
      <c r="D183" s="37" t="s">
        <v>425</v>
      </c>
      <c r="E183" s="37" t="s">
        <v>426</v>
      </c>
      <c r="F183" s="41">
        <v>1</v>
      </c>
      <c r="G183" s="41" t="s">
        <v>51</v>
      </c>
      <c r="H183" s="37"/>
      <c r="I183" s="85"/>
      <c r="J183" s="86">
        <v>0.05</v>
      </c>
      <c r="K183" s="85"/>
      <c r="L183" s="85"/>
      <c r="M183" s="85"/>
      <c r="N183" s="85"/>
      <c r="O183" s="85"/>
      <c r="P183" s="85"/>
      <c r="Q183" s="85"/>
      <c r="R183" s="85"/>
      <c r="S183" s="85"/>
      <c r="T183" s="85"/>
      <c r="V183"/>
    </row>
    <row r="184" spans="1:22" s="16" customFormat="1" ht="30" customHeight="1" x14ac:dyDescent="0.2">
      <c r="A184" s="14"/>
      <c r="B184" s="33" t="e">
        <f t="shared" si="10"/>
        <v>#VALUE!</v>
      </c>
      <c r="C184" s="41" t="s">
        <v>406</v>
      </c>
      <c r="D184" s="37" t="s">
        <v>427</v>
      </c>
      <c r="E184" s="37" t="s">
        <v>428</v>
      </c>
      <c r="F184" s="41">
        <v>1</v>
      </c>
      <c r="G184" s="41" t="s">
        <v>67</v>
      </c>
      <c r="H184" s="37"/>
      <c r="I184" s="86">
        <v>0</v>
      </c>
      <c r="J184" s="85"/>
      <c r="K184" s="85"/>
      <c r="L184" s="85"/>
      <c r="M184" s="85"/>
      <c r="N184" s="85"/>
      <c r="O184" s="85"/>
      <c r="P184" s="85"/>
      <c r="Q184" s="85"/>
      <c r="R184" s="85"/>
      <c r="S184" s="85"/>
      <c r="T184" s="85"/>
      <c r="V184"/>
    </row>
    <row r="185" spans="1:22" s="16" customFormat="1" ht="52.5" customHeight="1" x14ac:dyDescent="0.2">
      <c r="A185" s="14"/>
      <c r="B185" s="33" t="e">
        <f t="shared" si="10"/>
        <v>#VALUE!</v>
      </c>
      <c r="C185" s="41" t="s">
        <v>406</v>
      </c>
      <c r="D185" s="37" t="s">
        <v>429</v>
      </c>
      <c r="E185" s="37" t="s">
        <v>430</v>
      </c>
      <c r="F185" s="41">
        <v>1</v>
      </c>
      <c r="G185" s="41" t="s">
        <v>67</v>
      </c>
      <c r="H185" s="37"/>
      <c r="I185" s="86">
        <v>0</v>
      </c>
      <c r="J185" s="85"/>
      <c r="K185" s="85"/>
      <c r="L185" s="85"/>
      <c r="M185" s="85"/>
      <c r="N185" s="85"/>
      <c r="O185" s="85"/>
      <c r="P185" s="85"/>
      <c r="Q185" s="85"/>
      <c r="R185" s="85"/>
      <c r="S185" s="85"/>
      <c r="T185" s="85"/>
      <c r="V185"/>
    </row>
    <row r="186" spans="1:22" s="16" customFormat="1" ht="30" customHeight="1" x14ac:dyDescent="0.2">
      <c r="A186" s="14"/>
      <c r="B186" s="33" t="e">
        <f t="shared" si="10"/>
        <v>#VALUE!</v>
      </c>
      <c r="C186" s="41" t="s">
        <v>406</v>
      </c>
      <c r="D186" s="37" t="s">
        <v>431</v>
      </c>
      <c r="E186" s="37" t="s">
        <v>432</v>
      </c>
      <c r="F186" s="41">
        <v>1</v>
      </c>
      <c r="G186" s="41" t="s">
        <v>67</v>
      </c>
      <c r="H186" s="37"/>
      <c r="I186" s="86">
        <v>0</v>
      </c>
      <c r="J186" s="85"/>
      <c r="K186" s="85"/>
      <c r="L186" s="85"/>
      <c r="M186" s="85"/>
      <c r="N186" s="85"/>
      <c r="O186" s="85"/>
      <c r="P186" s="85"/>
      <c r="Q186" s="85"/>
      <c r="R186" s="85"/>
      <c r="S186" s="85"/>
      <c r="T186" s="85"/>
      <c r="V186"/>
    </row>
    <row r="187" spans="1:22" s="16" customFormat="1" ht="30.75" customHeight="1" x14ac:dyDescent="0.2">
      <c r="A187" s="14"/>
      <c r="B187" s="33" t="e">
        <f t="shared" si="10"/>
        <v>#VALUE!</v>
      </c>
      <c r="C187" s="41" t="s">
        <v>406</v>
      </c>
      <c r="D187" s="37" t="s">
        <v>433</v>
      </c>
      <c r="E187" s="37" t="s">
        <v>434</v>
      </c>
      <c r="F187" s="41">
        <v>1</v>
      </c>
      <c r="G187" s="41" t="s">
        <v>67</v>
      </c>
      <c r="H187" s="37"/>
      <c r="I187" s="86">
        <v>0</v>
      </c>
      <c r="J187" s="85"/>
      <c r="K187" s="85"/>
      <c r="L187" s="85"/>
      <c r="M187" s="85"/>
      <c r="N187" s="85"/>
      <c r="O187" s="85"/>
      <c r="P187" s="85"/>
      <c r="Q187" s="85"/>
      <c r="R187" s="85"/>
      <c r="S187" s="85"/>
      <c r="T187" s="85"/>
      <c r="V187"/>
    </row>
    <row r="188" spans="1:22" s="16" customFormat="1" ht="34" x14ac:dyDescent="0.2">
      <c r="A188" s="14"/>
      <c r="B188" s="33" t="e">
        <f t="shared" si="10"/>
        <v>#VALUE!</v>
      </c>
      <c r="C188" s="41" t="s">
        <v>406</v>
      </c>
      <c r="D188" s="37" t="s">
        <v>435</v>
      </c>
      <c r="E188" s="37" t="s">
        <v>436</v>
      </c>
      <c r="F188" s="41">
        <v>1</v>
      </c>
      <c r="G188" s="41" t="s">
        <v>67</v>
      </c>
      <c r="H188" s="37"/>
      <c r="I188" s="86">
        <v>0</v>
      </c>
      <c r="J188" s="85"/>
      <c r="K188" s="85"/>
      <c r="L188" s="85"/>
      <c r="M188" s="85"/>
      <c r="N188" s="85"/>
      <c r="O188" s="85"/>
      <c r="P188" s="85"/>
      <c r="Q188" s="85"/>
      <c r="R188" s="85"/>
      <c r="S188" s="85"/>
      <c r="T188" s="85"/>
      <c r="V188"/>
    </row>
    <row r="189" spans="1:22" s="16" customFormat="1" ht="30" customHeight="1" x14ac:dyDescent="0.2">
      <c r="A189" s="14"/>
      <c r="B189" s="33" t="e">
        <f t="shared" si="10"/>
        <v>#VALUE!</v>
      </c>
      <c r="C189" s="41" t="s">
        <v>406</v>
      </c>
      <c r="D189" s="37" t="s">
        <v>437</v>
      </c>
      <c r="E189" s="37" t="s">
        <v>438</v>
      </c>
      <c r="F189" s="41">
        <v>1</v>
      </c>
      <c r="G189" s="41" t="s">
        <v>51</v>
      </c>
      <c r="H189" s="37"/>
      <c r="I189" s="85"/>
      <c r="J189" s="86">
        <v>0.05</v>
      </c>
      <c r="K189" s="85"/>
      <c r="L189" s="85"/>
      <c r="M189" s="85"/>
      <c r="N189" s="85"/>
      <c r="O189" s="85"/>
      <c r="P189" s="85"/>
      <c r="Q189" s="85"/>
      <c r="R189" s="85"/>
      <c r="S189" s="85"/>
      <c r="T189" s="85"/>
      <c r="V189"/>
    </row>
    <row r="190" spans="1:22" s="16" customFormat="1" ht="30" customHeight="1" thickBot="1" x14ac:dyDescent="0.25">
      <c r="A190" s="14"/>
      <c r="B190" s="33" t="e">
        <f t="shared" si="10"/>
        <v>#VALUE!</v>
      </c>
      <c r="C190" s="41" t="s">
        <v>406</v>
      </c>
      <c r="D190" s="37" t="s">
        <v>439</v>
      </c>
      <c r="E190" s="37" t="s">
        <v>440</v>
      </c>
      <c r="F190" s="41">
        <v>1</v>
      </c>
      <c r="G190" s="41" t="s">
        <v>67</v>
      </c>
      <c r="H190" s="37"/>
      <c r="I190" s="86">
        <v>0</v>
      </c>
      <c r="J190" s="119"/>
      <c r="K190" s="85"/>
      <c r="L190" s="85"/>
      <c r="M190" s="85"/>
      <c r="N190" s="85"/>
      <c r="O190" s="85"/>
      <c r="P190" s="85"/>
      <c r="Q190" s="85"/>
      <c r="R190" s="85"/>
      <c r="S190" s="85"/>
      <c r="T190" s="85"/>
      <c r="V190"/>
    </row>
    <row r="191" spans="1:22" s="16" customFormat="1" ht="30" customHeight="1" x14ac:dyDescent="0.2">
      <c r="A191" s="14"/>
      <c r="B191" s="33" t="e">
        <f t="shared" si="10"/>
        <v>#VALUE!</v>
      </c>
      <c r="C191" s="41" t="s">
        <v>406</v>
      </c>
      <c r="D191" s="37" t="s">
        <v>441</v>
      </c>
      <c r="E191" s="37" t="s">
        <v>442</v>
      </c>
      <c r="F191" s="41">
        <v>1</v>
      </c>
      <c r="G191" s="41" t="s">
        <v>67</v>
      </c>
      <c r="H191" s="37"/>
      <c r="I191" s="86">
        <v>0</v>
      </c>
      <c r="J191" s="85"/>
      <c r="K191" s="85"/>
      <c r="L191" s="85"/>
      <c r="M191" s="85"/>
      <c r="N191" s="85"/>
      <c r="O191" s="85"/>
      <c r="P191" s="85"/>
      <c r="Q191" s="85"/>
      <c r="R191" s="85"/>
      <c r="S191" s="85"/>
      <c r="T191" s="85"/>
      <c r="V191"/>
    </row>
    <row r="192" spans="1:22" s="16" customFormat="1" ht="30" hidden="1" customHeight="1" x14ac:dyDescent="0.2">
      <c r="A192" s="14"/>
      <c r="B192" s="33" t="e">
        <f t="shared" si="10"/>
        <v>#VALUE!</v>
      </c>
      <c r="C192" s="40" t="s">
        <v>443</v>
      </c>
      <c r="D192" s="37" t="s">
        <v>444</v>
      </c>
      <c r="E192" s="37" t="s">
        <v>445</v>
      </c>
      <c r="F192" s="41">
        <v>2</v>
      </c>
      <c r="G192" s="41" t="s">
        <v>279</v>
      </c>
      <c r="H192" s="35"/>
      <c r="I192" s="85"/>
      <c r="J192" s="85"/>
      <c r="K192" s="85"/>
      <c r="L192" s="85"/>
      <c r="M192" s="85"/>
      <c r="N192" s="85"/>
      <c r="O192" s="85"/>
      <c r="P192" s="85"/>
      <c r="Q192" s="85"/>
      <c r="R192" s="85"/>
      <c r="S192" s="85"/>
      <c r="T192" s="87">
        <v>1</v>
      </c>
      <c r="V192"/>
    </row>
    <row r="193" spans="1:22" s="16" customFormat="1" ht="17" hidden="1" x14ac:dyDescent="0.2">
      <c r="A193" s="14"/>
      <c r="B193" s="33" t="e">
        <f>B191+1</f>
        <v>#VALUE!</v>
      </c>
      <c r="C193" s="40" t="s">
        <v>443</v>
      </c>
      <c r="D193" s="37" t="s">
        <v>446</v>
      </c>
      <c r="E193" s="37" t="s">
        <v>447</v>
      </c>
      <c r="F193" s="41">
        <v>1</v>
      </c>
      <c r="G193" s="41" t="s">
        <v>279</v>
      </c>
      <c r="H193" s="35"/>
      <c r="I193" s="85"/>
      <c r="J193" s="85"/>
      <c r="K193" s="85"/>
      <c r="L193" s="85"/>
      <c r="M193" s="85"/>
      <c r="N193" s="85"/>
      <c r="O193" s="85"/>
      <c r="P193" s="85"/>
      <c r="Q193" s="85"/>
      <c r="R193" s="85"/>
      <c r="S193" s="85"/>
      <c r="T193" s="87">
        <v>1</v>
      </c>
      <c r="V193"/>
    </row>
    <row r="194" spans="1:22" s="16" customFormat="1" ht="30" hidden="1" customHeight="1" x14ac:dyDescent="0.2">
      <c r="A194" s="14"/>
      <c r="B194" s="33" t="e">
        <f>B193+1</f>
        <v>#VALUE!</v>
      </c>
      <c r="C194" s="40" t="s">
        <v>448</v>
      </c>
      <c r="D194" s="37" t="s">
        <v>449</v>
      </c>
      <c r="E194" s="37" t="s">
        <v>450</v>
      </c>
      <c r="F194" s="41">
        <v>2</v>
      </c>
      <c r="G194" s="41" t="s">
        <v>138</v>
      </c>
      <c r="H194" s="35"/>
      <c r="I194" s="85"/>
      <c r="J194" s="85"/>
      <c r="K194" s="85"/>
      <c r="L194" s="85"/>
      <c r="M194" s="85"/>
      <c r="N194" s="85"/>
      <c r="O194" s="85"/>
      <c r="P194" s="85"/>
      <c r="Q194" s="85"/>
      <c r="R194" s="85"/>
      <c r="S194" s="85"/>
      <c r="T194" s="87">
        <v>1</v>
      </c>
      <c r="V194"/>
    </row>
    <row r="195" spans="1:22" s="16" customFormat="1" ht="30" hidden="1" customHeight="1" thickBot="1" x14ac:dyDescent="0.25">
      <c r="A195" s="14"/>
      <c r="B195" s="33" t="e">
        <f>B194+1</f>
        <v>#VALUE!</v>
      </c>
      <c r="C195" s="40" t="s">
        <v>448</v>
      </c>
      <c r="D195" s="37" t="s">
        <v>451</v>
      </c>
      <c r="E195" s="37" t="s">
        <v>452</v>
      </c>
      <c r="F195" s="41">
        <v>3</v>
      </c>
      <c r="G195" s="41" t="s">
        <v>138</v>
      </c>
      <c r="H195" s="35"/>
      <c r="I195" s="85"/>
      <c r="J195" s="119"/>
      <c r="K195" s="85"/>
      <c r="L195" s="85"/>
      <c r="M195" s="85"/>
      <c r="N195" s="85"/>
      <c r="O195" s="85"/>
      <c r="P195" s="85"/>
      <c r="Q195" s="85"/>
      <c r="R195" s="85"/>
      <c r="S195" s="85"/>
      <c r="T195" s="87">
        <v>1</v>
      </c>
      <c r="V195"/>
    </row>
    <row r="196" spans="1:22" s="16" customFormat="1" ht="30" hidden="1" customHeight="1" x14ac:dyDescent="0.2">
      <c r="A196" s="14"/>
      <c r="B196" s="33" t="e">
        <f>B195+1</f>
        <v>#VALUE!</v>
      </c>
      <c r="C196" s="40" t="s">
        <v>448</v>
      </c>
      <c r="D196" s="37" t="s">
        <v>453</v>
      </c>
      <c r="E196" s="37" t="s">
        <v>454</v>
      </c>
      <c r="F196" s="41">
        <v>3</v>
      </c>
      <c r="G196" s="41" t="s">
        <v>138</v>
      </c>
      <c r="H196" s="35"/>
      <c r="I196" s="85"/>
      <c r="J196" s="85"/>
      <c r="K196" s="85"/>
      <c r="L196" s="85"/>
      <c r="M196" s="85"/>
      <c r="N196" s="85"/>
      <c r="O196" s="85"/>
      <c r="P196" s="85"/>
      <c r="Q196" s="85"/>
      <c r="R196" s="85"/>
      <c r="S196" s="85"/>
      <c r="T196" s="87">
        <v>1</v>
      </c>
      <c r="V196"/>
    </row>
    <row r="197" spans="1:22" s="16" customFormat="1" ht="30" hidden="1" customHeight="1" x14ac:dyDescent="0.2">
      <c r="A197" s="14"/>
      <c r="B197" s="33" t="e">
        <f>B196+1</f>
        <v>#VALUE!</v>
      </c>
      <c r="C197" s="40" t="s">
        <v>448</v>
      </c>
      <c r="D197" s="73" t="s">
        <v>455</v>
      </c>
      <c r="E197" s="73" t="s">
        <v>456</v>
      </c>
      <c r="F197" s="41">
        <v>2</v>
      </c>
      <c r="G197" s="41" t="s">
        <v>44</v>
      </c>
      <c r="H197" s="35"/>
      <c r="I197" s="85"/>
      <c r="J197" s="85"/>
      <c r="K197" s="85"/>
      <c r="L197" s="88">
        <v>0.25</v>
      </c>
      <c r="M197" s="85"/>
      <c r="N197" s="85"/>
      <c r="O197" s="85"/>
      <c r="P197" s="85"/>
      <c r="Q197" s="85"/>
      <c r="R197" s="85"/>
      <c r="S197" s="85"/>
      <c r="T197" s="85"/>
      <c r="V197"/>
    </row>
    <row r="198" spans="1:22" s="16" customFormat="1" ht="30" hidden="1" customHeight="1" x14ac:dyDescent="0.2">
      <c r="A198" s="14"/>
      <c r="B198" s="33" t="e">
        <f>B196+1</f>
        <v>#VALUE!</v>
      </c>
      <c r="C198" s="33" t="s">
        <v>457</v>
      </c>
      <c r="D198" s="73" t="s">
        <v>458</v>
      </c>
      <c r="E198" s="37" t="s">
        <v>459</v>
      </c>
      <c r="F198" s="41">
        <v>1</v>
      </c>
      <c r="G198" s="41" t="s">
        <v>51</v>
      </c>
      <c r="H198" s="35"/>
      <c r="I198" s="86">
        <v>0</v>
      </c>
      <c r="J198" s="85"/>
      <c r="K198" s="85"/>
      <c r="L198" s="85"/>
      <c r="M198" s="85"/>
      <c r="N198" s="85"/>
      <c r="O198" s="85"/>
      <c r="P198" s="85"/>
      <c r="Q198" s="85"/>
      <c r="R198" s="85"/>
      <c r="S198" s="85"/>
      <c r="T198" s="85"/>
      <c r="V198"/>
    </row>
    <row r="199" spans="1:22" s="16" customFormat="1" ht="36.75" hidden="1" customHeight="1" x14ac:dyDescent="0.2">
      <c r="A199" s="14"/>
      <c r="B199" s="33" t="e">
        <f t="shared" ref="B199:B214" si="11">B198+1</f>
        <v>#VALUE!</v>
      </c>
      <c r="C199" s="33" t="s">
        <v>457</v>
      </c>
      <c r="D199" s="73" t="s">
        <v>460</v>
      </c>
      <c r="E199" s="37" t="s">
        <v>461</v>
      </c>
      <c r="F199" s="41">
        <v>2</v>
      </c>
      <c r="G199" s="41" t="s">
        <v>51</v>
      </c>
      <c r="H199" s="35"/>
      <c r="I199" s="86">
        <v>0</v>
      </c>
      <c r="J199" s="85"/>
      <c r="K199" s="85"/>
      <c r="L199" s="85"/>
      <c r="M199" s="85"/>
      <c r="N199" s="85"/>
      <c r="O199" s="85"/>
      <c r="P199" s="85"/>
      <c r="Q199" s="85"/>
      <c r="R199" s="85"/>
      <c r="S199" s="85"/>
      <c r="T199" s="85"/>
    </row>
    <row r="200" spans="1:22" s="16" customFormat="1" ht="30" hidden="1" customHeight="1" thickBot="1" x14ac:dyDescent="0.25">
      <c r="A200" s="14"/>
      <c r="B200" s="33" t="e">
        <f t="shared" si="11"/>
        <v>#VALUE!</v>
      </c>
      <c r="C200" s="40" t="s">
        <v>457</v>
      </c>
      <c r="D200" s="37" t="s">
        <v>462</v>
      </c>
      <c r="E200" s="37" t="s">
        <v>463</v>
      </c>
      <c r="F200" s="41">
        <v>2</v>
      </c>
      <c r="G200" s="41" t="s">
        <v>51</v>
      </c>
      <c r="H200" s="35"/>
      <c r="I200" s="86">
        <v>0</v>
      </c>
      <c r="J200" s="119"/>
      <c r="K200" s="85"/>
      <c r="L200" s="85"/>
      <c r="M200" s="85"/>
      <c r="N200" s="85"/>
      <c r="O200" s="85"/>
      <c r="P200" s="85"/>
      <c r="Q200" s="85"/>
      <c r="R200" s="85"/>
      <c r="S200" s="85"/>
      <c r="T200" s="85"/>
    </row>
    <row r="201" spans="1:22" s="16" customFormat="1" ht="30" hidden="1" customHeight="1" x14ac:dyDescent="0.2">
      <c r="A201" s="14"/>
      <c r="B201" s="33" t="e">
        <f t="shared" si="11"/>
        <v>#VALUE!</v>
      </c>
      <c r="C201" s="40" t="s">
        <v>457</v>
      </c>
      <c r="D201" s="37" t="s">
        <v>464</v>
      </c>
      <c r="E201" s="37" t="s">
        <v>465</v>
      </c>
      <c r="F201" s="41">
        <v>1</v>
      </c>
      <c r="G201" s="41" t="s">
        <v>51</v>
      </c>
      <c r="H201" s="35"/>
      <c r="I201" s="86">
        <v>0</v>
      </c>
      <c r="J201" s="85"/>
      <c r="K201" s="85"/>
      <c r="L201" s="85"/>
      <c r="M201" s="85"/>
      <c r="N201" s="85"/>
      <c r="O201" s="85"/>
      <c r="P201" s="85"/>
      <c r="Q201" s="85"/>
      <c r="R201" s="85"/>
      <c r="S201" s="85"/>
      <c r="T201" s="85"/>
    </row>
    <row r="202" spans="1:22" s="16" customFormat="1" ht="30" hidden="1" customHeight="1" x14ac:dyDescent="0.2">
      <c r="A202" s="14"/>
      <c r="B202" s="33" t="e">
        <f t="shared" si="11"/>
        <v>#VALUE!</v>
      </c>
      <c r="C202" s="40" t="s">
        <v>457</v>
      </c>
      <c r="D202" s="37" t="s">
        <v>466</v>
      </c>
      <c r="E202" s="37" t="s">
        <v>467</v>
      </c>
      <c r="F202" s="41">
        <v>1</v>
      </c>
      <c r="G202" s="41" t="s">
        <v>51</v>
      </c>
      <c r="H202" s="35"/>
      <c r="I202" s="86">
        <v>0</v>
      </c>
      <c r="J202" s="85"/>
      <c r="K202" s="85"/>
      <c r="L202" s="85"/>
      <c r="M202" s="85"/>
      <c r="N202" s="85"/>
      <c r="O202" s="85"/>
      <c r="P202" s="85"/>
      <c r="Q202" s="85"/>
      <c r="R202" s="85"/>
      <c r="S202" s="85"/>
      <c r="T202" s="85"/>
    </row>
    <row r="203" spans="1:22" s="16" customFormat="1" ht="30" hidden="1" customHeight="1" x14ac:dyDescent="0.2">
      <c r="A203" s="14"/>
      <c r="B203" s="33" t="e">
        <f t="shared" si="11"/>
        <v>#VALUE!</v>
      </c>
      <c r="C203" s="40" t="s">
        <v>457</v>
      </c>
      <c r="D203" s="37" t="s">
        <v>468</v>
      </c>
      <c r="E203" s="37" t="s">
        <v>469</v>
      </c>
      <c r="F203" s="41">
        <v>1</v>
      </c>
      <c r="G203" s="41" t="s">
        <v>51</v>
      </c>
      <c r="H203" s="35"/>
      <c r="I203" s="86">
        <v>0</v>
      </c>
      <c r="J203" s="85"/>
      <c r="K203" s="85"/>
      <c r="L203" s="85"/>
      <c r="M203" s="85"/>
      <c r="N203" s="85"/>
      <c r="O203" s="85"/>
      <c r="P203" s="85"/>
      <c r="Q203" s="85"/>
      <c r="R203" s="85"/>
      <c r="S203" s="85"/>
      <c r="T203" s="85"/>
    </row>
    <row r="204" spans="1:22" s="16" customFormat="1" ht="30" hidden="1" customHeight="1" x14ac:dyDescent="0.2">
      <c r="A204" s="14"/>
      <c r="B204" s="33" t="e">
        <f t="shared" si="11"/>
        <v>#VALUE!</v>
      </c>
      <c r="C204" s="40" t="s">
        <v>457</v>
      </c>
      <c r="D204" s="37" t="s">
        <v>470</v>
      </c>
      <c r="E204" s="37" t="s">
        <v>471</v>
      </c>
      <c r="F204" s="41">
        <v>1</v>
      </c>
      <c r="G204" s="41" t="s">
        <v>51</v>
      </c>
      <c r="H204" s="35"/>
      <c r="I204" s="86">
        <v>0</v>
      </c>
      <c r="J204" s="85"/>
      <c r="K204" s="85"/>
      <c r="L204" s="85"/>
      <c r="M204" s="85"/>
      <c r="N204" s="85"/>
      <c r="O204" s="85"/>
      <c r="P204" s="85"/>
      <c r="Q204" s="85"/>
      <c r="R204" s="85"/>
      <c r="S204" s="85"/>
      <c r="T204" s="85"/>
    </row>
    <row r="205" spans="1:22" s="16" customFormat="1" ht="30" hidden="1" customHeight="1" x14ac:dyDescent="0.2">
      <c r="A205" s="14"/>
      <c r="B205" s="33" t="e">
        <f t="shared" si="11"/>
        <v>#VALUE!</v>
      </c>
      <c r="C205" s="40" t="s">
        <v>457</v>
      </c>
      <c r="D205" s="37" t="s">
        <v>472</v>
      </c>
      <c r="E205" s="37" t="s">
        <v>473</v>
      </c>
      <c r="F205" s="41">
        <v>1</v>
      </c>
      <c r="G205" s="41" t="s">
        <v>51</v>
      </c>
      <c r="H205" s="35"/>
      <c r="I205" s="86">
        <v>0</v>
      </c>
      <c r="J205" s="85"/>
      <c r="K205" s="85"/>
      <c r="L205" s="85"/>
      <c r="M205" s="85"/>
      <c r="N205" s="85"/>
      <c r="O205" s="85"/>
      <c r="P205" s="85"/>
      <c r="Q205" s="85"/>
      <c r="R205" s="85"/>
      <c r="S205" s="85"/>
      <c r="T205" s="85"/>
    </row>
    <row r="206" spans="1:22" s="16" customFormat="1" ht="30" hidden="1" customHeight="1" x14ac:dyDescent="0.2">
      <c r="A206" s="14"/>
      <c r="B206" s="33" t="e">
        <f t="shared" si="11"/>
        <v>#VALUE!</v>
      </c>
      <c r="C206" s="33" t="s">
        <v>457</v>
      </c>
      <c r="D206" s="73" t="s">
        <v>474</v>
      </c>
      <c r="E206" s="73" t="s">
        <v>475</v>
      </c>
      <c r="F206" s="41">
        <v>1</v>
      </c>
      <c r="G206" s="41" t="s">
        <v>51</v>
      </c>
      <c r="H206" s="35"/>
      <c r="I206" s="86">
        <v>0</v>
      </c>
      <c r="J206" s="85"/>
      <c r="K206" s="85"/>
      <c r="L206" s="85"/>
      <c r="M206" s="85"/>
      <c r="N206" s="85"/>
      <c r="O206" s="85"/>
      <c r="P206" s="85"/>
      <c r="Q206" s="85"/>
      <c r="R206" s="85"/>
      <c r="S206" s="85"/>
      <c r="T206" s="85"/>
    </row>
    <row r="207" spans="1:22" s="16" customFormat="1" ht="30" hidden="1" customHeight="1" thickBot="1" x14ac:dyDescent="0.25">
      <c r="A207" s="14"/>
      <c r="B207" s="33" t="e">
        <f t="shared" si="11"/>
        <v>#VALUE!</v>
      </c>
      <c r="C207" s="33" t="s">
        <v>457</v>
      </c>
      <c r="D207" s="73" t="s">
        <v>476</v>
      </c>
      <c r="E207" s="73" t="s">
        <v>477</v>
      </c>
      <c r="F207" s="41">
        <v>1</v>
      </c>
      <c r="G207" s="41" t="s">
        <v>51</v>
      </c>
      <c r="H207" s="35"/>
      <c r="I207" s="86">
        <v>0</v>
      </c>
      <c r="J207" s="85"/>
      <c r="K207" s="85"/>
      <c r="L207" s="126"/>
      <c r="M207" s="85"/>
      <c r="N207" s="85"/>
      <c r="O207" s="85"/>
      <c r="P207" s="85"/>
      <c r="Q207" s="85"/>
      <c r="R207" s="85"/>
      <c r="S207" s="85"/>
      <c r="T207" s="85"/>
    </row>
    <row r="208" spans="1:22" s="16" customFormat="1" ht="30" hidden="1" customHeight="1" x14ac:dyDescent="0.2">
      <c r="A208" s="14"/>
      <c r="B208" s="33" t="e">
        <f t="shared" si="11"/>
        <v>#VALUE!</v>
      </c>
      <c r="C208" s="40" t="s">
        <v>457</v>
      </c>
      <c r="D208" s="37" t="s">
        <v>478</v>
      </c>
      <c r="E208" s="37" t="s">
        <v>479</v>
      </c>
      <c r="F208" s="41">
        <v>1</v>
      </c>
      <c r="G208" s="41" t="s">
        <v>51</v>
      </c>
      <c r="H208" s="35"/>
      <c r="I208" s="86">
        <v>0</v>
      </c>
      <c r="J208" s="85"/>
      <c r="K208" s="85"/>
      <c r="L208" s="85"/>
      <c r="M208" s="85"/>
      <c r="N208" s="85"/>
      <c r="O208" s="85"/>
      <c r="P208" s="85"/>
      <c r="Q208" s="85"/>
      <c r="R208" s="85"/>
      <c r="S208" s="85"/>
      <c r="T208" s="85"/>
    </row>
    <row r="209" spans="1:20" s="16" customFormat="1" ht="30" hidden="1" customHeight="1" x14ac:dyDescent="0.2">
      <c r="A209" s="14"/>
      <c r="B209" s="33" t="e">
        <f t="shared" si="11"/>
        <v>#VALUE!</v>
      </c>
      <c r="C209" s="40" t="s">
        <v>457</v>
      </c>
      <c r="D209" s="37" t="s">
        <v>480</v>
      </c>
      <c r="E209" s="37" t="s">
        <v>481</v>
      </c>
      <c r="F209" s="41">
        <v>1</v>
      </c>
      <c r="G209" s="41" t="s">
        <v>51</v>
      </c>
      <c r="H209" s="35"/>
      <c r="I209" s="86">
        <v>0</v>
      </c>
      <c r="J209" s="85"/>
      <c r="K209" s="85"/>
      <c r="L209" s="85"/>
      <c r="M209" s="85"/>
      <c r="N209" s="85"/>
      <c r="O209" s="85"/>
      <c r="P209" s="85"/>
      <c r="Q209" s="85"/>
      <c r="R209" s="85"/>
      <c r="S209" s="85"/>
      <c r="T209" s="85"/>
    </row>
    <row r="210" spans="1:20" s="16" customFormat="1" ht="30" hidden="1" customHeight="1" x14ac:dyDescent="0.2">
      <c r="A210" s="14"/>
      <c r="B210" s="33" t="e">
        <f t="shared" si="11"/>
        <v>#VALUE!</v>
      </c>
      <c r="C210" s="40" t="s">
        <v>457</v>
      </c>
      <c r="D210" s="37" t="s">
        <v>482</v>
      </c>
      <c r="E210" s="37" t="s">
        <v>483</v>
      </c>
      <c r="F210" s="41">
        <v>1</v>
      </c>
      <c r="G210" s="41" t="s">
        <v>51</v>
      </c>
      <c r="H210" s="35"/>
      <c r="I210" s="86">
        <v>0</v>
      </c>
      <c r="J210" s="85"/>
      <c r="K210" s="85"/>
      <c r="L210" s="85"/>
      <c r="M210" s="85"/>
      <c r="N210" s="85"/>
      <c r="O210" s="85"/>
      <c r="P210" s="85"/>
      <c r="Q210" s="85"/>
      <c r="R210" s="85"/>
      <c r="S210" s="85"/>
      <c r="T210" s="85"/>
    </row>
    <row r="211" spans="1:20" s="16" customFormat="1" ht="30" hidden="1" customHeight="1" x14ac:dyDescent="0.2">
      <c r="A211" s="14"/>
      <c r="B211" s="33" t="e">
        <f t="shared" si="11"/>
        <v>#VALUE!</v>
      </c>
      <c r="C211" s="40" t="s">
        <v>484</v>
      </c>
      <c r="D211" s="37" t="s">
        <v>485</v>
      </c>
      <c r="E211" s="37" t="s">
        <v>486</v>
      </c>
      <c r="F211" s="41">
        <v>2</v>
      </c>
      <c r="G211" s="41" t="s">
        <v>135</v>
      </c>
      <c r="H211" s="35"/>
      <c r="I211" s="91"/>
      <c r="J211" s="91"/>
      <c r="K211" s="91"/>
      <c r="L211" s="85"/>
      <c r="M211" s="85"/>
      <c r="N211" s="85"/>
      <c r="O211" s="85"/>
      <c r="P211" s="89"/>
      <c r="Q211" s="85"/>
      <c r="R211" s="85"/>
      <c r="S211" s="85"/>
      <c r="T211" s="87">
        <v>1</v>
      </c>
    </row>
    <row r="212" spans="1:20" s="16" customFormat="1" ht="30" hidden="1" customHeight="1" x14ac:dyDescent="0.2">
      <c r="A212" s="14"/>
      <c r="B212" s="33" t="e">
        <f t="shared" si="11"/>
        <v>#VALUE!</v>
      </c>
      <c r="C212" s="40" t="s">
        <v>484</v>
      </c>
      <c r="D212" s="37" t="s">
        <v>487</v>
      </c>
      <c r="E212" s="37" t="s">
        <v>488</v>
      </c>
      <c r="F212" s="41">
        <v>5</v>
      </c>
      <c r="G212" s="41" t="s">
        <v>135</v>
      </c>
      <c r="H212" s="35"/>
      <c r="I212" s="85"/>
      <c r="J212" s="85"/>
      <c r="K212" s="85"/>
      <c r="L212" s="85"/>
      <c r="M212" s="85"/>
      <c r="N212" s="85"/>
      <c r="O212" s="85"/>
      <c r="P212" s="89"/>
      <c r="Q212" s="85"/>
      <c r="R212" s="85"/>
      <c r="S212" s="85"/>
      <c r="T212" s="87">
        <v>1</v>
      </c>
    </row>
    <row r="213" spans="1:20" s="16" customFormat="1" ht="30" hidden="1" customHeight="1" x14ac:dyDescent="0.2">
      <c r="A213" s="14"/>
      <c r="B213" s="33" t="e">
        <f t="shared" si="11"/>
        <v>#VALUE!</v>
      </c>
      <c r="C213" s="40" t="s">
        <v>484</v>
      </c>
      <c r="D213" s="37" t="s">
        <v>489</v>
      </c>
      <c r="E213" s="37" t="s">
        <v>490</v>
      </c>
      <c r="F213" s="41">
        <v>2</v>
      </c>
      <c r="G213" s="41" t="s">
        <v>138</v>
      </c>
      <c r="H213" s="35"/>
      <c r="I213" s="85"/>
      <c r="J213" s="85"/>
      <c r="K213" s="85"/>
      <c r="L213" s="91"/>
      <c r="M213" s="91"/>
      <c r="N213" s="91"/>
      <c r="O213" s="91"/>
      <c r="P213" s="89"/>
      <c r="Q213" s="85"/>
      <c r="R213" s="85"/>
      <c r="S213" s="85"/>
      <c r="T213" s="87">
        <v>1</v>
      </c>
    </row>
    <row r="214" spans="1:20" s="16" customFormat="1" ht="30" hidden="1" customHeight="1" x14ac:dyDescent="0.2">
      <c r="A214" s="14"/>
      <c r="B214" s="33" t="e">
        <f t="shared" si="11"/>
        <v>#VALUE!</v>
      </c>
      <c r="C214" s="40" t="s">
        <v>484</v>
      </c>
      <c r="D214" s="37" t="s">
        <v>491</v>
      </c>
      <c r="E214" s="37" t="s">
        <v>492</v>
      </c>
      <c r="F214" s="41">
        <v>2</v>
      </c>
      <c r="G214" s="41" t="s">
        <v>44</v>
      </c>
      <c r="H214" s="37"/>
      <c r="I214" s="85"/>
      <c r="J214" s="85"/>
      <c r="K214" s="85"/>
      <c r="L214" s="88">
        <v>0.25</v>
      </c>
      <c r="M214" s="85"/>
      <c r="N214" s="85"/>
      <c r="O214" s="85"/>
      <c r="P214" s="85"/>
      <c r="Q214" s="85"/>
      <c r="R214" s="85"/>
      <c r="S214" s="85"/>
      <c r="T214" s="85"/>
    </row>
    <row r="215" spans="1:20" s="16" customFormat="1" ht="30" hidden="1" customHeight="1" x14ac:dyDescent="0.2">
      <c r="A215" s="14"/>
      <c r="B215" s="33">
        <v>2</v>
      </c>
      <c r="C215" s="40" t="s">
        <v>484</v>
      </c>
      <c r="D215" s="37" t="s">
        <v>493</v>
      </c>
      <c r="E215" s="37" t="s">
        <v>494</v>
      </c>
      <c r="F215" s="41">
        <v>1</v>
      </c>
      <c r="G215" s="41" t="s">
        <v>51</v>
      </c>
      <c r="H215" s="35"/>
      <c r="I215" s="85"/>
      <c r="J215" s="85"/>
      <c r="K215" s="85"/>
      <c r="L215" s="88">
        <v>0.25</v>
      </c>
      <c r="M215" s="85"/>
      <c r="N215" s="85"/>
      <c r="O215" s="85"/>
      <c r="P215" s="85"/>
      <c r="Q215" s="85"/>
      <c r="R215" s="85"/>
      <c r="S215" s="85"/>
      <c r="T215" s="85"/>
    </row>
    <row r="216" spans="1:20" s="16" customFormat="1" ht="30" hidden="1" customHeight="1" x14ac:dyDescent="0.2">
      <c r="A216" s="14"/>
      <c r="B216" s="33">
        <f>B215+1</f>
        <v>3</v>
      </c>
      <c r="C216" s="40" t="s">
        <v>484</v>
      </c>
      <c r="D216" s="37" t="s">
        <v>495</v>
      </c>
      <c r="E216" s="37" t="s">
        <v>496</v>
      </c>
      <c r="F216" s="41">
        <v>1</v>
      </c>
      <c r="G216" s="41" t="s">
        <v>51</v>
      </c>
      <c r="H216" s="35"/>
      <c r="I216" s="85"/>
      <c r="J216" s="85"/>
      <c r="K216" s="85"/>
      <c r="L216" s="85"/>
      <c r="M216" s="88">
        <v>0.35</v>
      </c>
      <c r="N216" s="85"/>
      <c r="O216" s="85"/>
      <c r="P216" s="85"/>
      <c r="Q216" s="85"/>
      <c r="R216" s="85"/>
      <c r="S216" s="85"/>
      <c r="T216" s="85"/>
    </row>
    <row r="217" spans="1:20" s="16" customFormat="1" ht="30" hidden="1" customHeight="1" x14ac:dyDescent="0.2">
      <c r="A217" s="14"/>
      <c r="B217" s="33">
        <f>B216+1</f>
        <v>4</v>
      </c>
      <c r="C217" s="40" t="s">
        <v>484</v>
      </c>
      <c r="D217" s="37" t="s">
        <v>497</v>
      </c>
      <c r="E217" s="37" t="s">
        <v>498</v>
      </c>
      <c r="F217" s="41">
        <v>1</v>
      </c>
      <c r="G217" s="41" t="s">
        <v>51</v>
      </c>
      <c r="H217" s="35"/>
      <c r="I217" s="86">
        <v>0</v>
      </c>
      <c r="J217" s="85"/>
      <c r="K217" s="89"/>
      <c r="L217" s="101"/>
      <c r="M217" s="101"/>
      <c r="N217" s="101"/>
      <c r="O217" s="101"/>
      <c r="P217" s="101"/>
      <c r="Q217" s="101"/>
      <c r="R217" s="101"/>
      <c r="S217" s="101"/>
      <c r="T217" s="101"/>
    </row>
    <row r="218" spans="1:20" s="16" customFormat="1" ht="30" hidden="1" customHeight="1" x14ac:dyDescent="0.2">
      <c r="A218" s="14"/>
      <c r="B218" s="33">
        <f>B217+1</f>
        <v>5</v>
      </c>
      <c r="C218" s="40" t="s">
        <v>484</v>
      </c>
      <c r="D218" s="37" t="s">
        <v>499</v>
      </c>
      <c r="E218" s="37" t="s">
        <v>500</v>
      </c>
      <c r="F218" s="41">
        <v>1</v>
      </c>
      <c r="G218" s="41" t="s">
        <v>51</v>
      </c>
      <c r="H218" s="35"/>
      <c r="I218" s="85"/>
      <c r="J218" s="85"/>
      <c r="K218" s="85"/>
      <c r="L218" s="88">
        <v>0.25</v>
      </c>
      <c r="M218" s="85"/>
      <c r="N218" s="85"/>
      <c r="O218" s="85"/>
      <c r="P218" s="85"/>
      <c r="Q218" s="85"/>
      <c r="R218" s="85"/>
      <c r="S218" s="85"/>
      <c r="T218" s="85"/>
    </row>
    <row r="219" spans="1:20" s="16" customFormat="1" ht="30" hidden="1" customHeight="1" x14ac:dyDescent="0.2">
      <c r="A219" s="14"/>
      <c r="B219" s="33">
        <f>B218+1</f>
        <v>6</v>
      </c>
      <c r="C219" s="40" t="s">
        <v>484</v>
      </c>
      <c r="D219" s="37" t="s">
        <v>501</v>
      </c>
      <c r="E219" s="37" t="s">
        <v>502</v>
      </c>
      <c r="F219" s="41">
        <v>1</v>
      </c>
      <c r="G219" s="41" t="s">
        <v>51</v>
      </c>
      <c r="H219" s="35"/>
      <c r="I219" s="85"/>
      <c r="J219" s="85"/>
      <c r="K219" s="85"/>
      <c r="L219" s="85"/>
      <c r="M219" s="85"/>
      <c r="N219" s="85"/>
      <c r="O219" s="85"/>
      <c r="P219" s="85"/>
      <c r="Q219" s="85"/>
      <c r="R219" s="85"/>
      <c r="S219" s="85"/>
      <c r="T219" s="85"/>
    </row>
    <row r="220" spans="1:20" s="16" customFormat="1" ht="30" hidden="1" customHeight="1" thickBot="1" x14ac:dyDescent="0.25">
      <c r="A220" s="14"/>
      <c r="B220" s="33">
        <f>B218+1</f>
        <v>6</v>
      </c>
      <c r="C220" s="40" t="s">
        <v>503</v>
      </c>
      <c r="D220" s="37" t="s">
        <v>504</v>
      </c>
      <c r="E220" s="37" t="s">
        <v>505</v>
      </c>
      <c r="F220" s="41">
        <v>2</v>
      </c>
      <c r="G220" s="41" t="s">
        <v>51</v>
      </c>
      <c r="H220" s="35"/>
      <c r="I220" s="85"/>
      <c r="J220" s="49">
        <v>0.05</v>
      </c>
      <c r="K220" s="85"/>
      <c r="L220" s="85"/>
      <c r="M220" s="85"/>
      <c r="N220" s="85"/>
      <c r="O220" s="85"/>
      <c r="P220" s="85"/>
      <c r="Q220" s="85"/>
      <c r="R220" s="85"/>
      <c r="S220" s="85"/>
      <c r="T220" s="85"/>
    </row>
    <row r="221" spans="1:20" s="16" customFormat="1" ht="30" hidden="1" customHeight="1" thickBot="1" x14ac:dyDescent="0.25">
      <c r="A221" s="14"/>
      <c r="B221" s="33">
        <f t="shared" ref="B221:B231" si="12">B220+1</f>
        <v>7</v>
      </c>
      <c r="C221" s="40" t="s">
        <v>503</v>
      </c>
      <c r="D221" s="37" t="s">
        <v>506</v>
      </c>
      <c r="E221" s="37" t="s">
        <v>507</v>
      </c>
      <c r="F221" s="41">
        <v>1</v>
      </c>
      <c r="G221" s="41" t="s">
        <v>51</v>
      </c>
      <c r="H221" s="35"/>
      <c r="I221" s="85"/>
      <c r="J221" s="49">
        <v>0.05</v>
      </c>
      <c r="K221" s="85"/>
      <c r="L221" s="85"/>
      <c r="M221" s="85"/>
      <c r="N221" s="85"/>
      <c r="O221" s="85"/>
      <c r="P221" s="85"/>
      <c r="Q221" s="85"/>
      <c r="R221" s="85"/>
      <c r="S221" s="85"/>
      <c r="T221" s="85"/>
    </row>
    <row r="222" spans="1:20" s="16" customFormat="1" ht="30" hidden="1" customHeight="1" thickBot="1" x14ac:dyDescent="0.25">
      <c r="A222" s="14"/>
      <c r="B222" s="33">
        <f t="shared" si="12"/>
        <v>8</v>
      </c>
      <c r="C222" s="40" t="s">
        <v>503</v>
      </c>
      <c r="D222" s="37" t="s">
        <v>508</v>
      </c>
      <c r="E222" s="37" t="s">
        <v>509</v>
      </c>
      <c r="F222" s="41">
        <v>1</v>
      </c>
      <c r="G222" s="41" t="s">
        <v>51</v>
      </c>
      <c r="H222" s="35"/>
      <c r="I222" s="85"/>
      <c r="J222" s="49">
        <v>0.05</v>
      </c>
      <c r="K222" s="85"/>
      <c r="L222" s="85"/>
      <c r="M222" s="85"/>
      <c r="N222" s="85"/>
      <c r="O222" s="85"/>
      <c r="P222" s="85"/>
      <c r="Q222" s="85"/>
      <c r="R222" s="85"/>
      <c r="S222" s="85"/>
      <c r="T222" s="85"/>
    </row>
    <row r="223" spans="1:20" s="16" customFormat="1" ht="30" hidden="1" customHeight="1" thickBot="1" x14ac:dyDescent="0.25">
      <c r="A223" s="14"/>
      <c r="B223" s="33">
        <f t="shared" si="12"/>
        <v>9</v>
      </c>
      <c r="C223" s="40" t="s">
        <v>503</v>
      </c>
      <c r="D223" s="37" t="s">
        <v>510</v>
      </c>
      <c r="E223" s="37" t="s">
        <v>511</v>
      </c>
      <c r="F223" s="41">
        <v>1</v>
      </c>
      <c r="G223" s="41" t="s">
        <v>51</v>
      </c>
      <c r="H223" s="35"/>
      <c r="I223" s="85"/>
      <c r="J223" s="49">
        <v>0.05</v>
      </c>
      <c r="K223" s="85"/>
      <c r="L223" s="85"/>
      <c r="M223" s="85"/>
      <c r="N223" s="85"/>
      <c r="O223" s="85"/>
      <c r="P223" s="85"/>
      <c r="Q223" s="85"/>
      <c r="R223" s="85"/>
      <c r="S223" s="85"/>
      <c r="T223" s="85"/>
    </row>
    <row r="224" spans="1:20" s="16" customFormat="1" ht="30" hidden="1" customHeight="1" thickBot="1" x14ac:dyDescent="0.25">
      <c r="A224" s="14"/>
      <c r="B224" s="33">
        <f t="shared" si="12"/>
        <v>10</v>
      </c>
      <c r="C224" s="40" t="s">
        <v>503</v>
      </c>
      <c r="D224" s="37" t="s">
        <v>512</v>
      </c>
      <c r="E224" s="37" t="s">
        <v>513</v>
      </c>
      <c r="F224" s="41">
        <v>1</v>
      </c>
      <c r="G224" s="41" t="s">
        <v>51</v>
      </c>
      <c r="H224" s="35"/>
      <c r="I224" s="85"/>
      <c r="J224" s="49">
        <v>0.05</v>
      </c>
      <c r="K224" s="85"/>
      <c r="L224" s="85"/>
      <c r="M224" s="85"/>
      <c r="N224" s="85"/>
      <c r="O224" s="85"/>
      <c r="P224" s="85"/>
      <c r="Q224" s="85"/>
      <c r="R224" s="85"/>
      <c r="S224" s="85"/>
      <c r="T224" s="85"/>
    </row>
    <row r="225" spans="1:22" s="16" customFormat="1" ht="30" hidden="1" customHeight="1" thickBot="1" x14ac:dyDescent="0.25">
      <c r="A225" s="14"/>
      <c r="B225" s="33">
        <f t="shared" si="12"/>
        <v>11</v>
      </c>
      <c r="C225" s="40" t="s">
        <v>503</v>
      </c>
      <c r="D225" s="37" t="s">
        <v>514</v>
      </c>
      <c r="E225" s="37" t="s">
        <v>515</v>
      </c>
      <c r="F225" s="41">
        <v>1</v>
      </c>
      <c r="G225" s="41" t="s">
        <v>51</v>
      </c>
      <c r="H225" s="35"/>
      <c r="I225" s="85"/>
      <c r="J225" s="49">
        <v>0.05</v>
      </c>
      <c r="K225" s="85"/>
      <c r="L225" s="85"/>
      <c r="M225" s="85"/>
      <c r="N225" s="85"/>
      <c r="O225" s="85"/>
      <c r="P225" s="85"/>
      <c r="Q225" s="85"/>
      <c r="R225" s="85"/>
      <c r="S225" s="85"/>
      <c r="T225" s="85"/>
    </row>
    <row r="226" spans="1:22" s="16" customFormat="1" ht="30" hidden="1" customHeight="1" thickBot="1" x14ac:dyDescent="0.25">
      <c r="A226" s="14"/>
      <c r="B226" s="33">
        <f t="shared" si="12"/>
        <v>12</v>
      </c>
      <c r="C226" s="40" t="s">
        <v>503</v>
      </c>
      <c r="D226" s="37" t="s">
        <v>516</v>
      </c>
      <c r="E226" s="37" t="s">
        <v>517</v>
      </c>
      <c r="F226" s="41">
        <v>1</v>
      </c>
      <c r="G226" s="41" t="s">
        <v>51</v>
      </c>
      <c r="H226" s="35"/>
      <c r="I226" s="85"/>
      <c r="J226" s="49">
        <v>0.05</v>
      </c>
      <c r="K226" s="85"/>
      <c r="L226" s="85"/>
      <c r="M226" s="85"/>
      <c r="N226" s="85"/>
      <c r="O226" s="85"/>
      <c r="P226" s="85"/>
      <c r="Q226" s="85"/>
      <c r="R226" s="85"/>
      <c r="S226" s="85"/>
      <c r="T226" s="85"/>
    </row>
    <row r="227" spans="1:22" s="16" customFormat="1" ht="30" hidden="1" customHeight="1" thickBot="1" x14ac:dyDescent="0.25">
      <c r="A227" s="14"/>
      <c r="B227" s="33">
        <f t="shared" si="12"/>
        <v>13</v>
      </c>
      <c r="C227" s="40" t="s">
        <v>503</v>
      </c>
      <c r="D227" s="37" t="s">
        <v>518</v>
      </c>
      <c r="E227" s="37" t="s">
        <v>519</v>
      </c>
      <c r="F227" s="41">
        <v>1</v>
      </c>
      <c r="G227" s="41" t="s">
        <v>51</v>
      </c>
      <c r="H227" s="35"/>
      <c r="I227" s="85"/>
      <c r="J227" s="49">
        <v>0.05</v>
      </c>
      <c r="K227" s="85"/>
      <c r="L227" s="85"/>
      <c r="M227" s="85"/>
      <c r="N227" s="85"/>
      <c r="O227" s="85"/>
      <c r="P227" s="85"/>
      <c r="Q227" s="85"/>
      <c r="R227" s="85"/>
      <c r="S227" s="85"/>
      <c r="T227" s="85"/>
    </row>
    <row r="228" spans="1:22" s="16" customFormat="1" ht="30" hidden="1" customHeight="1" thickBot="1" x14ac:dyDescent="0.25">
      <c r="A228" s="14"/>
      <c r="B228" s="33">
        <f t="shared" si="12"/>
        <v>14</v>
      </c>
      <c r="C228" s="40" t="s">
        <v>503</v>
      </c>
      <c r="D228" s="37" t="s">
        <v>520</v>
      </c>
      <c r="E228" s="37" t="s">
        <v>521</v>
      </c>
      <c r="F228" s="41">
        <v>1</v>
      </c>
      <c r="G228" s="41" t="s">
        <v>51</v>
      </c>
      <c r="H228" s="35"/>
      <c r="I228" s="85"/>
      <c r="J228" s="49">
        <v>0.05</v>
      </c>
      <c r="K228" s="85"/>
      <c r="L228" s="85"/>
      <c r="M228" s="85"/>
      <c r="N228" s="85"/>
      <c r="O228" s="85"/>
      <c r="P228" s="85"/>
      <c r="Q228" s="85"/>
      <c r="R228" s="85"/>
      <c r="S228" s="85"/>
      <c r="T228" s="85"/>
    </row>
    <row r="229" spans="1:22" s="16" customFormat="1" ht="30" hidden="1" customHeight="1" thickBot="1" x14ac:dyDescent="0.25">
      <c r="A229" s="14"/>
      <c r="B229" s="33">
        <f t="shared" si="12"/>
        <v>15</v>
      </c>
      <c r="C229" s="40" t="s">
        <v>503</v>
      </c>
      <c r="D229" s="37" t="s">
        <v>522</v>
      </c>
      <c r="E229" s="37" t="s">
        <v>523</v>
      </c>
      <c r="F229" s="41">
        <v>1</v>
      </c>
      <c r="G229" s="41" t="s">
        <v>51</v>
      </c>
      <c r="H229" s="35"/>
      <c r="I229" s="85"/>
      <c r="J229" s="49">
        <v>0.05</v>
      </c>
      <c r="K229" s="85"/>
      <c r="L229" s="85"/>
      <c r="M229" s="85"/>
      <c r="N229" s="85"/>
      <c r="O229" s="85"/>
      <c r="P229" s="85"/>
      <c r="Q229" s="85"/>
      <c r="R229" s="85"/>
      <c r="S229" s="85"/>
      <c r="T229" s="85"/>
    </row>
    <row r="230" spans="1:22" s="16" customFormat="1" ht="30" hidden="1" customHeight="1" thickBot="1" x14ac:dyDescent="0.25">
      <c r="A230" s="14"/>
      <c r="B230" s="33">
        <f t="shared" si="12"/>
        <v>16</v>
      </c>
      <c r="C230" s="40" t="s">
        <v>503</v>
      </c>
      <c r="D230" s="37" t="s">
        <v>524</v>
      </c>
      <c r="E230" s="37" t="s">
        <v>525</v>
      </c>
      <c r="F230" s="41">
        <v>2</v>
      </c>
      <c r="G230" s="41" t="s">
        <v>51</v>
      </c>
      <c r="H230" s="35"/>
      <c r="I230" s="85"/>
      <c r="J230" s="49">
        <v>0.05</v>
      </c>
      <c r="K230" s="85"/>
      <c r="L230" s="85"/>
      <c r="M230" s="85"/>
      <c r="N230" s="85"/>
      <c r="O230" s="85"/>
      <c r="P230" s="85"/>
      <c r="Q230" s="85"/>
      <c r="R230" s="85"/>
      <c r="S230" s="85"/>
      <c r="T230" s="85"/>
    </row>
    <row r="231" spans="1:22" s="16" customFormat="1" ht="30" hidden="1" customHeight="1" thickBot="1" x14ac:dyDescent="0.25">
      <c r="A231" s="14"/>
      <c r="B231" s="33">
        <f t="shared" si="12"/>
        <v>17</v>
      </c>
      <c r="C231" s="40" t="s">
        <v>503</v>
      </c>
      <c r="D231" s="37" t="s">
        <v>526</v>
      </c>
      <c r="E231" s="37" t="s">
        <v>527</v>
      </c>
      <c r="F231" s="41">
        <v>1</v>
      </c>
      <c r="G231" s="41" t="s">
        <v>51</v>
      </c>
      <c r="H231" s="35"/>
      <c r="I231" s="85"/>
      <c r="J231" s="49">
        <v>0.05</v>
      </c>
      <c r="K231" s="85"/>
      <c r="L231" s="85"/>
      <c r="M231" s="85"/>
      <c r="N231" s="85"/>
      <c r="O231" s="85"/>
      <c r="P231" s="85"/>
      <c r="Q231" s="85"/>
      <c r="R231" s="85"/>
      <c r="S231" s="85"/>
      <c r="T231" s="85"/>
    </row>
    <row r="232" spans="1:22" s="16" customFormat="1" ht="30" hidden="1" customHeight="1" x14ac:dyDescent="0.2">
      <c r="A232" s="14"/>
      <c r="B232" s="93"/>
      <c r="C232" s="98"/>
      <c r="D232" s="95"/>
      <c r="E232" s="111"/>
      <c r="F232" s="113">
        <v>50</v>
      </c>
      <c r="G232" s="113"/>
      <c r="H232" s="95"/>
      <c r="I232" s="116"/>
      <c r="J232" s="96"/>
      <c r="K232" s="96"/>
      <c r="L232" s="96"/>
      <c r="M232" s="96"/>
      <c r="N232" s="96"/>
      <c r="O232" s="96"/>
      <c r="P232" s="96"/>
      <c r="Q232" s="96"/>
      <c r="R232" s="96"/>
      <c r="S232" s="96"/>
      <c r="T232" s="100"/>
    </row>
    <row r="233" spans="1:22" s="16" customFormat="1" ht="30" hidden="1" customHeight="1" x14ac:dyDescent="0.2">
      <c r="A233" s="14"/>
      <c r="B233" s="93"/>
      <c r="C233" s="98"/>
      <c r="D233" s="94"/>
      <c r="E233" s="94"/>
      <c r="F233" s="97"/>
      <c r="G233" s="97"/>
      <c r="H233" s="95"/>
      <c r="I233" s="96"/>
      <c r="J233" s="96"/>
      <c r="K233" s="96"/>
      <c r="L233" s="100"/>
      <c r="M233" s="96"/>
      <c r="N233" s="96"/>
      <c r="O233" s="96"/>
      <c r="P233" s="96"/>
      <c r="Q233" s="96"/>
      <c r="R233" s="96"/>
      <c r="S233" s="96"/>
      <c r="T233" s="96"/>
      <c r="V233"/>
    </row>
    <row r="234" spans="1:22" s="16" customFormat="1" ht="30" hidden="1" customHeight="1" x14ac:dyDescent="0.2">
      <c r="A234" s="14"/>
      <c r="B234" s="93"/>
      <c r="C234" s="97"/>
      <c r="D234" s="94"/>
      <c r="E234" s="94"/>
      <c r="F234" s="97"/>
      <c r="G234" s="97"/>
      <c r="H234" s="94"/>
      <c r="I234" s="96"/>
      <c r="J234" s="96"/>
      <c r="K234" s="96"/>
      <c r="L234" s="96"/>
      <c r="M234" s="96"/>
      <c r="N234" s="96"/>
      <c r="O234" s="96"/>
      <c r="P234" s="96"/>
      <c r="Q234" s="96"/>
      <c r="R234" s="96"/>
      <c r="S234" s="96"/>
      <c r="T234" s="96"/>
      <c r="V234"/>
    </row>
    <row r="235" spans="1:22" hidden="1" x14ac:dyDescent="0.2">
      <c r="B235" s="93"/>
      <c r="C235" s="97"/>
      <c r="D235" s="94"/>
      <c r="E235" s="94"/>
      <c r="F235" s="97"/>
      <c r="G235" s="97"/>
      <c r="H235" s="94"/>
      <c r="I235" s="96"/>
      <c r="J235" s="96"/>
      <c r="K235" s="96"/>
      <c r="L235" s="96"/>
      <c r="M235" s="96"/>
      <c r="N235" s="96"/>
      <c r="O235" s="96"/>
      <c r="P235" s="96"/>
      <c r="Q235" s="96"/>
      <c r="R235" s="96"/>
      <c r="S235" s="96"/>
      <c r="T235" s="96"/>
    </row>
    <row r="236" spans="1:22" hidden="1" x14ac:dyDescent="0.2">
      <c r="B236" s="93"/>
      <c r="C236" s="98"/>
      <c r="D236" s="94"/>
      <c r="E236" s="94"/>
      <c r="F236" s="97"/>
      <c r="G236" s="97"/>
      <c r="H236" s="95"/>
      <c r="I236" s="96"/>
      <c r="J236" s="96"/>
      <c r="K236" s="96"/>
      <c r="L236" s="96"/>
      <c r="M236" s="96"/>
      <c r="N236" s="96"/>
      <c r="O236" s="96"/>
      <c r="P236" s="96"/>
      <c r="Q236" s="96"/>
      <c r="R236" s="96"/>
      <c r="S236" s="96"/>
      <c r="T236" s="96"/>
    </row>
    <row r="237" spans="1:22" ht="114" hidden="1" customHeight="1" x14ac:dyDescent="0.2">
      <c r="B237" s="93"/>
      <c r="C237" s="97"/>
      <c r="D237" s="94"/>
      <c r="E237" s="94"/>
      <c r="F237" s="97"/>
      <c r="G237" s="97"/>
      <c r="H237" s="94"/>
      <c r="I237" s="96"/>
      <c r="J237" s="96"/>
      <c r="K237" s="96"/>
      <c r="L237" s="96"/>
      <c r="M237" s="96"/>
      <c r="N237" s="96"/>
      <c r="O237" s="96"/>
      <c r="P237" s="96"/>
      <c r="Q237" s="96"/>
      <c r="R237" s="96"/>
      <c r="S237" s="96"/>
      <c r="T237" s="96"/>
    </row>
    <row r="238" spans="1:22" ht="114" hidden="1" customHeight="1" x14ac:dyDescent="0.2">
      <c r="B238" s="93"/>
      <c r="C238" s="97"/>
      <c r="D238" s="94"/>
      <c r="E238" s="94"/>
      <c r="F238" s="97"/>
      <c r="G238" s="97"/>
      <c r="H238" s="95"/>
      <c r="I238" s="96"/>
      <c r="J238" s="96"/>
      <c r="K238" s="96"/>
      <c r="L238" s="96"/>
      <c r="M238" s="96"/>
      <c r="N238" s="96"/>
      <c r="O238" s="96"/>
      <c r="P238" s="96"/>
      <c r="Q238" s="96"/>
      <c r="R238" s="96"/>
      <c r="S238" s="96"/>
      <c r="T238" s="96"/>
    </row>
    <row r="239" spans="1:22" ht="114" hidden="1" customHeight="1" x14ac:dyDescent="0.2">
      <c r="B239" s="93"/>
      <c r="C239" s="97"/>
      <c r="D239" s="94"/>
      <c r="E239" s="94"/>
      <c r="F239" s="97"/>
      <c r="G239" s="97"/>
      <c r="H239" s="94"/>
      <c r="I239" s="96"/>
      <c r="J239" s="96"/>
      <c r="K239" s="96"/>
      <c r="L239" s="96"/>
      <c r="M239" s="96"/>
      <c r="N239" s="96"/>
      <c r="O239" s="96"/>
      <c r="P239" s="96"/>
      <c r="Q239" s="96"/>
      <c r="R239" s="96"/>
      <c r="S239" s="96"/>
      <c r="T239" s="96"/>
    </row>
    <row r="240" spans="1:22" hidden="1" x14ac:dyDescent="0.2">
      <c r="B240" s="93"/>
      <c r="C240" s="98"/>
      <c r="D240" s="94"/>
      <c r="E240" s="94"/>
      <c r="F240" s="97"/>
      <c r="G240" s="97"/>
      <c r="H240" s="95"/>
      <c r="I240" s="96"/>
      <c r="J240" s="96"/>
      <c r="K240" s="96"/>
      <c r="L240" s="96"/>
      <c r="M240" s="96"/>
      <c r="N240" s="96"/>
      <c r="O240" s="96"/>
      <c r="P240" s="96"/>
      <c r="Q240" s="96"/>
      <c r="R240" s="96"/>
      <c r="S240" s="96"/>
      <c r="T240" s="96"/>
    </row>
    <row r="241" spans="2:22" hidden="1" x14ac:dyDescent="0.2">
      <c r="B241" s="93"/>
      <c r="C241" s="97"/>
      <c r="D241" s="94"/>
      <c r="E241" s="94"/>
      <c r="F241" s="97"/>
      <c r="G241" s="97"/>
      <c r="H241" s="94"/>
      <c r="I241" s="96"/>
      <c r="J241" s="96"/>
      <c r="K241" s="96"/>
      <c r="L241" s="96"/>
      <c r="M241" s="96"/>
      <c r="N241" s="96"/>
      <c r="O241" s="96"/>
      <c r="P241" s="96"/>
      <c r="Q241" s="96"/>
      <c r="R241" s="96"/>
      <c r="S241" s="96"/>
      <c r="T241" s="96"/>
    </row>
    <row r="242" spans="2:22" ht="30" hidden="1" customHeight="1" x14ac:dyDescent="0.2">
      <c r="B242" s="93"/>
      <c r="C242" s="97"/>
      <c r="D242" s="94"/>
      <c r="E242" s="94"/>
      <c r="F242" s="97"/>
      <c r="G242" s="97"/>
      <c r="H242" s="94"/>
      <c r="I242" s="96"/>
      <c r="J242" s="96"/>
      <c r="K242" s="100"/>
      <c r="L242" s="96"/>
      <c r="M242" s="96"/>
      <c r="N242" s="96"/>
      <c r="O242" s="96"/>
      <c r="P242" s="96"/>
      <c r="Q242" s="96"/>
      <c r="R242" s="96"/>
      <c r="S242" s="96"/>
      <c r="T242" s="96"/>
      <c r="V242" s="16"/>
    </row>
    <row r="243" spans="2:22" ht="30" hidden="1" customHeight="1" x14ac:dyDescent="0.2">
      <c r="B243" s="93"/>
      <c r="C243" s="97"/>
      <c r="D243" s="94"/>
      <c r="E243" s="94"/>
      <c r="F243" s="97"/>
      <c r="G243" s="97"/>
      <c r="H243" s="94"/>
      <c r="I243" s="96"/>
      <c r="J243" s="96"/>
      <c r="K243" s="96"/>
      <c r="L243" s="96"/>
      <c r="M243" s="96"/>
      <c r="N243" s="96"/>
      <c r="O243" s="96"/>
      <c r="P243" s="96"/>
      <c r="Q243" s="96"/>
      <c r="R243" s="96"/>
      <c r="S243" s="96"/>
      <c r="T243" s="96"/>
      <c r="V243" s="16"/>
    </row>
    <row r="244" spans="2:22" hidden="1" x14ac:dyDescent="0.2">
      <c r="B244" s="93"/>
      <c r="C244" s="98"/>
      <c r="D244" s="94"/>
      <c r="E244" s="94"/>
      <c r="F244" s="97"/>
      <c r="G244" s="97"/>
      <c r="H244" s="95"/>
      <c r="I244" s="96"/>
      <c r="J244" s="96"/>
      <c r="K244" s="96"/>
      <c r="L244" s="96"/>
      <c r="M244" s="96"/>
      <c r="N244" s="96"/>
      <c r="O244" s="96"/>
      <c r="P244" s="96"/>
      <c r="Q244" s="96"/>
      <c r="R244" s="96"/>
      <c r="S244" s="96"/>
      <c r="T244" s="100"/>
      <c r="V244" s="16"/>
    </row>
    <row r="245" spans="2:22" ht="30" hidden="1" customHeight="1" x14ac:dyDescent="0.2">
      <c r="B245" s="93"/>
      <c r="C245" s="98"/>
      <c r="D245" s="94"/>
      <c r="E245" s="94"/>
      <c r="F245" s="97"/>
      <c r="G245" s="97"/>
      <c r="H245" s="95"/>
      <c r="I245" s="100"/>
      <c r="J245" s="96"/>
      <c r="K245" s="96"/>
      <c r="L245" s="96"/>
      <c r="M245" s="96"/>
      <c r="N245" s="96"/>
      <c r="O245" s="96"/>
      <c r="P245" s="96"/>
      <c r="Q245" s="96"/>
      <c r="R245" s="96"/>
      <c r="S245" s="96"/>
      <c r="T245" s="96"/>
      <c r="V245" s="16"/>
    </row>
    <row r="246" spans="2:22" ht="30" hidden="1" customHeight="1" x14ac:dyDescent="0.2">
      <c r="B246" s="93"/>
      <c r="C246" s="98"/>
      <c r="D246" s="94"/>
      <c r="E246" s="94"/>
      <c r="F246" s="97"/>
      <c r="G246" s="97"/>
      <c r="H246" s="95"/>
      <c r="I246" s="100"/>
      <c r="J246" s="96"/>
      <c r="K246" s="96"/>
      <c r="L246" s="96"/>
      <c r="M246" s="96"/>
      <c r="N246" s="96"/>
      <c r="O246" s="96"/>
      <c r="P246" s="96"/>
      <c r="Q246" s="96"/>
      <c r="R246" s="96"/>
      <c r="S246" s="96"/>
      <c r="T246" s="96"/>
      <c r="V246" s="16"/>
    </row>
  </sheetData>
  <autoFilter ref="A1:V246" xr:uid="{24895DE3-536A-4043-972B-8A1FA2760D28}">
    <filterColumn colId="2">
      <filters>
        <filter val="Dashboards (Power BI)"/>
        <filter val="Reports"/>
      </filters>
    </filterColumn>
  </autoFilter>
  <sortState xmlns:xlrd2="http://schemas.microsoft.com/office/spreadsheetml/2017/richdata2" ref="B7:T246">
    <sortCondition ref="C7:C246"/>
  </sortState>
  <mergeCells count="9">
    <mergeCell ref="I4:J4"/>
    <mergeCell ref="K4:Q4"/>
    <mergeCell ref="R4:T4"/>
    <mergeCell ref="B4:E4"/>
    <mergeCell ref="B5:B6"/>
    <mergeCell ref="C5:C6"/>
    <mergeCell ref="D5:D6"/>
    <mergeCell ref="E5:E6"/>
    <mergeCell ref="H4:H6"/>
  </mergeCells>
  <pageMargins left="0.7" right="0.7" top="0.75" bottom="0.75" header="0.3" footer="0.3"/>
  <pageSetup paperSize="9" scale="33"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14D49828-B87C-4200-9B90-DEEEB59B2CA0}">
          <x14:formula1>
            <xm:f>Dropdowns!$B$4:$B$24</xm:f>
          </x14:formula1>
          <xm:sqref>C7:C234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FB797-36C7-4775-9BAB-0628EECB8A78}">
  <dimension ref="B2:Q726"/>
  <sheetViews>
    <sheetView topLeftCell="A664" workbookViewId="0">
      <selection activeCell="C677" sqref="C677:C680"/>
    </sheetView>
  </sheetViews>
  <sheetFormatPr baseColWidth="10" defaultColWidth="8.7109375" defaultRowHeight="16" x14ac:dyDescent="0.2"/>
  <cols>
    <col min="1" max="1" width="2.7109375" customWidth="1"/>
    <col min="2" max="2" width="15" customWidth="1"/>
    <col min="3" max="3" width="65.5703125" customWidth="1"/>
    <col min="4" max="4" width="98" customWidth="1"/>
    <col min="5" max="5" width="19.7109375" customWidth="1"/>
    <col min="6" max="17" width="24.5703125" customWidth="1"/>
  </cols>
  <sheetData>
    <row r="2" spans="2:17" x14ac:dyDescent="0.2">
      <c r="B2" s="47" t="s">
        <v>528</v>
      </c>
    </row>
    <row r="4" spans="2:17" ht="29" customHeight="1" x14ac:dyDescent="0.2">
      <c r="B4" s="57" t="s">
        <v>529</v>
      </c>
      <c r="C4" s="58" t="s">
        <v>530</v>
      </c>
      <c r="D4" s="32" t="s">
        <v>531</v>
      </c>
      <c r="E4" s="57" t="s">
        <v>532</v>
      </c>
      <c r="F4" s="57" t="s">
        <v>533</v>
      </c>
      <c r="G4" s="57" t="s">
        <v>534</v>
      </c>
      <c r="H4" s="57" t="s">
        <v>535</v>
      </c>
      <c r="I4" s="57" t="s">
        <v>536</v>
      </c>
      <c r="J4" s="57" t="s">
        <v>537</v>
      </c>
      <c r="K4" s="57" t="s">
        <v>538</v>
      </c>
      <c r="L4" s="57" t="s">
        <v>539</v>
      </c>
      <c r="M4" s="57" t="s">
        <v>540</v>
      </c>
      <c r="N4" s="57" t="s">
        <v>541</v>
      </c>
      <c r="O4" s="57" t="s">
        <v>542</v>
      </c>
      <c r="P4" s="57" t="s">
        <v>543</v>
      </c>
      <c r="Q4" s="57" t="s">
        <v>544</v>
      </c>
    </row>
    <row r="5" spans="2:17" ht="34" x14ac:dyDescent="0.2">
      <c r="B5" s="156">
        <v>570</v>
      </c>
      <c r="C5" s="157" t="s">
        <v>545</v>
      </c>
      <c r="D5" s="60" t="s">
        <v>546</v>
      </c>
      <c r="E5" s="156">
        <v>1</v>
      </c>
      <c r="F5" s="45"/>
      <c r="G5" s="45"/>
      <c r="H5" s="45"/>
      <c r="I5" s="45"/>
      <c r="J5" s="45"/>
      <c r="K5" s="45"/>
      <c r="L5" s="45"/>
      <c r="M5" s="45"/>
      <c r="N5" s="45"/>
      <c r="O5" s="45"/>
      <c r="P5" s="45"/>
      <c r="Q5" s="45"/>
    </row>
    <row r="6" spans="2:17" ht="17" x14ac:dyDescent="0.2">
      <c r="B6" s="156"/>
      <c r="C6" s="157"/>
      <c r="D6" s="61" t="s">
        <v>547</v>
      </c>
      <c r="E6" s="156"/>
      <c r="F6" s="45"/>
      <c r="G6" s="45"/>
      <c r="H6" s="45"/>
      <c r="I6" s="45"/>
      <c r="J6" s="45"/>
      <c r="K6" s="45"/>
      <c r="L6" s="45"/>
      <c r="M6" s="45"/>
      <c r="N6" s="45"/>
      <c r="O6" s="45"/>
      <c r="P6" s="45"/>
      <c r="Q6" s="45"/>
    </row>
    <row r="7" spans="2:17" ht="17" x14ac:dyDescent="0.2">
      <c r="B7" s="156"/>
      <c r="C7" s="157"/>
      <c r="D7" s="61" t="s">
        <v>548</v>
      </c>
      <c r="E7" s="156"/>
      <c r="F7" s="45"/>
      <c r="G7" s="45"/>
      <c r="H7" s="45"/>
      <c r="I7" s="45"/>
      <c r="J7" s="45"/>
      <c r="K7" s="45"/>
      <c r="L7" s="45"/>
      <c r="M7" s="45"/>
      <c r="N7" s="45"/>
      <c r="O7" s="45"/>
      <c r="P7" s="45"/>
      <c r="Q7" s="45"/>
    </row>
    <row r="8" spans="2:17" ht="17" x14ac:dyDescent="0.2">
      <c r="B8" s="156"/>
      <c r="C8" s="157"/>
      <c r="D8" s="61" t="s">
        <v>549</v>
      </c>
      <c r="E8" s="156"/>
      <c r="F8" s="45"/>
      <c r="G8" s="45"/>
      <c r="H8" s="45"/>
      <c r="I8" s="45"/>
      <c r="J8" s="45"/>
      <c r="K8" s="45"/>
      <c r="L8" s="45"/>
      <c r="M8" s="45"/>
      <c r="N8" s="45"/>
      <c r="O8" s="45"/>
      <c r="P8" s="45"/>
      <c r="Q8" s="45"/>
    </row>
    <row r="9" spans="2:17" ht="45.5" customHeight="1" x14ac:dyDescent="0.2">
      <c r="B9" s="156"/>
      <c r="C9" s="157" t="s">
        <v>550</v>
      </c>
      <c r="D9" s="60" t="s">
        <v>551</v>
      </c>
      <c r="E9" s="156">
        <v>1</v>
      </c>
      <c r="F9" s="45"/>
      <c r="G9" s="45"/>
      <c r="H9" s="45"/>
      <c r="I9" s="45"/>
      <c r="J9" s="45"/>
      <c r="K9" s="45"/>
      <c r="L9" s="45"/>
      <c r="M9" s="45"/>
      <c r="N9" s="45"/>
      <c r="O9" s="45"/>
      <c r="P9" s="45"/>
      <c r="Q9" s="45"/>
    </row>
    <row r="10" spans="2:17" ht="34" x14ac:dyDescent="0.2">
      <c r="B10" s="156"/>
      <c r="C10" s="157"/>
      <c r="D10" s="60" t="s">
        <v>552</v>
      </c>
      <c r="E10" s="156"/>
      <c r="F10" s="45"/>
      <c r="G10" s="45"/>
      <c r="H10" s="45"/>
      <c r="I10" s="45"/>
      <c r="J10" s="45"/>
      <c r="K10" s="45"/>
      <c r="L10" s="45"/>
      <c r="M10" s="45"/>
      <c r="N10" s="45"/>
      <c r="O10" s="45"/>
      <c r="P10" s="45"/>
      <c r="Q10" s="45"/>
    </row>
    <row r="11" spans="2:17" ht="68" x14ac:dyDescent="0.2">
      <c r="B11" s="156"/>
      <c r="C11" s="59" t="s">
        <v>553</v>
      </c>
      <c r="D11" s="60" t="s">
        <v>554</v>
      </c>
      <c r="E11" s="46">
        <v>1</v>
      </c>
      <c r="F11" s="45"/>
      <c r="G11" s="45"/>
      <c r="H11" s="45"/>
      <c r="I11" s="45"/>
      <c r="J11" s="45"/>
      <c r="K11" s="45"/>
      <c r="L11" s="45"/>
      <c r="M11" s="45"/>
      <c r="N11" s="45"/>
      <c r="O11" s="45"/>
      <c r="P11" s="45"/>
      <c r="Q11" s="45"/>
    </row>
    <row r="12" spans="2:17" ht="136" x14ac:dyDescent="0.2">
      <c r="B12" s="156"/>
      <c r="C12" s="59" t="s">
        <v>555</v>
      </c>
      <c r="D12" s="60" t="s">
        <v>556</v>
      </c>
      <c r="E12" s="46">
        <v>1</v>
      </c>
      <c r="F12" s="45"/>
      <c r="G12" s="45"/>
      <c r="H12" s="45"/>
      <c r="I12" s="45"/>
      <c r="J12" s="45"/>
      <c r="K12" s="45"/>
      <c r="L12" s="45"/>
      <c r="M12" s="45"/>
      <c r="N12" s="45"/>
      <c r="O12" s="45"/>
      <c r="P12" s="45"/>
      <c r="Q12" s="45"/>
    </row>
    <row r="13" spans="2:17" ht="34" x14ac:dyDescent="0.2">
      <c r="B13" s="46">
        <v>800</v>
      </c>
      <c r="C13" s="59" t="s">
        <v>557</v>
      </c>
      <c r="D13" s="59" t="s">
        <v>558</v>
      </c>
      <c r="E13" s="46">
        <v>1</v>
      </c>
      <c r="F13" s="45"/>
      <c r="G13" s="45"/>
      <c r="H13" s="45"/>
      <c r="I13" s="45"/>
      <c r="J13" s="45"/>
      <c r="K13" s="45"/>
      <c r="L13" s="45"/>
      <c r="M13" s="45"/>
      <c r="N13" s="45"/>
      <c r="O13" s="45"/>
      <c r="P13" s="45"/>
      <c r="Q13" s="45"/>
    </row>
    <row r="14" spans="2:17" ht="51" x14ac:dyDescent="0.2">
      <c r="B14" s="156">
        <v>670</v>
      </c>
      <c r="C14" s="59" t="s">
        <v>559</v>
      </c>
      <c r="D14" s="59" t="s">
        <v>560</v>
      </c>
      <c r="E14" s="156">
        <v>1</v>
      </c>
      <c r="F14" s="45"/>
      <c r="G14" s="45"/>
      <c r="H14" s="45"/>
      <c r="I14" s="45"/>
      <c r="J14" s="45"/>
      <c r="K14" s="45"/>
      <c r="L14" s="45"/>
      <c r="M14" s="45"/>
      <c r="N14" s="45"/>
      <c r="O14" s="45"/>
      <c r="P14" s="45"/>
      <c r="Q14" s="45"/>
    </row>
    <row r="15" spans="2:17" ht="85" x14ac:dyDescent="0.2">
      <c r="B15" s="156"/>
      <c r="C15" s="59" t="s">
        <v>561</v>
      </c>
      <c r="D15" s="59" t="s">
        <v>562</v>
      </c>
      <c r="E15" s="156"/>
      <c r="F15" s="45"/>
      <c r="G15" s="45"/>
      <c r="H15" s="45"/>
      <c r="I15" s="45"/>
      <c r="J15" s="45"/>
      <c r="K15" s="45"/>
      <c r="L15" s="45"/>
      <c r="M15" s="45"/>
      <c r="N15" s="45"/>
      <c r="O15" s="45"/>
      <c r="P15" s="45"/>
      <c r="Q15" s="45"/>
    </row>
    <row r="16" spans="2:17" ht="17" x14ac:dyDescent="0.2">
      <c r="B16" s="46">
        <v>1080</v>
      </c>
      <c r="C16" s="59" t="s">
        <v>563</v>
      </c>
      <c r="D16" s="59" t="s">
        <v>564</v>
      </c>
      <c r="E16" s="46">
        <v>1</v>
      </c>
      <c r="F16" s="45"/>
      <c r="G16" s="45"/>
      <c r="H16" s="45"/>
      <c r="I16" s="45"/>
      <c r="J16" s="45"/>
      <c r="K16" s="45"/>
      <c r="L16" s="45"/>
      <c r="M16" s="45"/>
      <c r="N16" s="45"/>
      <c r="O16" s="45"/>
      <c r="P16" s="45"/>
      <c r="Q16" s="45"/>
    </row>
    <row r="17" spans="2:17" ht="34" x14ac:dyDescent="0.2">
      <c r="B17" s="46">
        <v>1400</v>
      </c>
      <c r="C17" s="59" t="s">
        <v>565</v>
      </c>
      <c r="D17" s="59" t="s">
        <v>566</v>
      </c>
      <c r="E17" s="46">
        <v>1</v>
      </c>
      <c r="F17" s="45"/>
      <c r="G17" s="45"/>
      <c r="H17" s="45"/>
      <c r="I17" s="45"/>
      <c r="J17" s="45"/>
      <c r="K17" s="45"/>
      <c r="L17" s="45"/>
      <c r="M17" s="45"/>
      <c r="N17" s="45"/>
      <c r="O17" s="45"/>
      <c r="P17" s="45"/>
      <c r="Q17" s="45"/>
    </row>
    <row r="18" spans="2:17" ht="34" x14ac:dyDescent="0.2">
      <c r="B18" s="156">
        <v>1090</v>
      </c>
      <c r="C18" s="157" t="s">
        <v>567</v>
      </c>
      <c r="D18" s="59" t="s">
        <v>568</v>
      </c>
      <c r="E18" s="156">
        <v>1</v>
      </c>
      <c r="F18" s="45"/>
      <c r="G18" s="45"/>
      <c r="H18" s="45"/>
      <c r="I18" s="45"/>
      <c r="J18" s="45"/>
      <c r="K18" s="45"/>
      <c r="L18" s="45"/>
      <c r="M18" s="45"/>
      <c r="N18" s="45"/>
      <c r="O18" s="45"/>
      <c r="P18" s="45"/>
      <c r="Q18" s="45"/>
    </row>
    <row r="19" spans="2:17" ht="34" x14ac:dyDescent="0.2">
      <c r="B19" s="156"/>
      <c r="C19" s="157"/>
      <c r="D19" s="59" t="s">
        <v>569</v>
      </c>
      <c r="E19" s="156"/>
      <c r="F19" s="45"/>
      <c r="G19" s="45"/>
      <c r="H19" s="45"/>
      <c r="I19" s="45"/>
      <c r="J19" s="45"/>
      <c r="K19" s="45"/>
      <c r="L19" s="45"/>
      <c r="M19" s="45"/>
      <c r="N19" s="45"/>
      <c r="O19" s="45"/>
      <c r="P19" s="45"/>
      <c r="Q19" s="45"/>
    </row>
    <row r="20" spans="2:17" ht="34" x14ac:dyDescent="0.2">
      <c r="B20" s="156"/>
      <c r="C20" s="157"/>
      <c r="D20" s="59" t="s">
        <v>570</v>
      </c>
      <c r="E20" s="156"/>
      <c r="F20" s="45"/>
      <c r="G20" s="45"/>
      <c r="H20" s="45"/>
      <c r="I20" s="45"/>
      <c r="J20" s="45"/>
      <c r="K20" s="45"/>
      <c r="L20" s="45"/>
      <c r="M20" s="45"/>
      <c r="N20" s="45"/>
      <c r="O20" s="45"/>
      <c r="P20" s="45"/>
      <c r="Q20" s="45"/>
    </row>
    <row r="21" spans="2:17" ht="34" x14ac:dyDescent="0.2">
      <c r="B21" s="156"/>
      <c r="C21" s="157"/>
      <c r="D21" s="59" t="s">
        <v>571</v>
      </c>
      <c r="E21" s="156"/>
      <c r="F21" s="45"/>
      <c r="G21" s="45"/>
      <c r="H21" s="45"/>
      <c r="I21" s="45"/>
      <c r="J21" s="45"/>
      <c r="K21" s="45"/>
      <c r="L21" s="45"/>
      <c r="M21" s="45"/>
      <c r="N21" s="45"/>
      <c r="O21" s="45"/>
      <c r="P21" s="45"/>
      <c r="Q21" s="45"/>
    </row>
    <row r="22" spans="2:17" ht="34" x14ac:dyDescent="0.2">
      <c r="B22" s="156">
        <v>1270</v>
      </c>
      <c r="C22" s="59" t="s">
        <v>572</v>
      </c>
      <c r="D22" s="59" t="s">
        <v>573</v>
      </c>
      <c r="E22" s="156">
        <v>1</v>
      </c>
      <c r="F22" s="45"/>
      <c r="G22" s="45"/>
      <c r="H22" s="45"/>
      <c r="I22" s="45"/>
      <c r="J22" s="45"/>
      <c r="K22" s="45"/>
      <c r="L22" s="45"/>
      <c r="M22" s="45"/>
      <c r="N22" s="45"/>
      <c r="O22" s="45"/>
      <c r="P22" s="45"/>
      <c r="Q22" s="45"/>
    </row>
    <row r="23" spans="2:17" ht="51" x14ac:dyDescent="0.2">
      <c r="B23" s="156"/>
      <c r="C23" s="59" t="s">
        <v>574</v>
      </c>
      <c r="D23" s="59" t="s">
        <v>575</v>
      </c>
      <c r="E23" s="156"/>
      <c r="F23" s="45"/>
      <c r="G23" s="45"/>
      <c r="H23" s="45"/>
      <c r="I23" s="45"/>
      <c r="J23" s="45"/>
      <c r="K23" s="45"/>
      <c r="L23" s="45"/>
      <c r="M23" s="45"/>
      <c r="N23" s="45"/>
      <c r="O23" s="45"/>
      <c r="P23" s="45"/>
      <c r="Q23" s="45"/>
    </row>
    <row r="24" spans="2:17" ht="34" x14ac:dyDescent="0.2">
      <c r="B24" s="156"/>
      <c r="C24" s="59" t="s">
        <v>576</v>
      </c>
      <c r="D24" s="59" t="s">
        <v>577</v>
      </c>
      <c r="E24" s="156"/>
      <c r="F24" s="45"/>
      <c r="G24" s="45"/>
      <c r="H24" s="45"/>
      <c r="I24" s="45"/>
      <c r="J24" s="45"/>
      <c r="K24" s="45"/>
      <c r="L24" s="45"/>
      <c r="M24" s="45"/>
      <c r="N24" s="45"/>
      <c r="O24" s="45"/>
      <c r="P24" s="45"/>
      <c r="Q24" s="45"/>
    </row>
    <row r="25" spans="2:17" ht="34" x14ac:dyDescent="0.2">
      <c r="B25" s="46">
        <v>1280</v>
      </c>
      <c r="C25" s="59" t="s">
        <v>578</v>
      </c>
      <c r="D25" s="59" t="s">
        <v>579</v>
      </c>
      <c r="E25" s="46">
        <v>1</v>
      </c>
      <c r="F25" s="45"/>
      <c r="G25" s="45"/>
      <c r="H25" s="45"/>
      <c r="I25" s="45"/>
      <c r="J25" s="45"/>
      <c r="K25" s="45"/>
      <c r="L25" s="45"/>
      <c r="M25" s="45"/>
      <c r="N25" s="45"/>
      <c r="O25" s="45"/>
      <c r="P25" s="45"/>
      <c r="Q25" s="45"/>
    </row>
    <row r="26" spans="2:17" ht="51" x14ac:dyDescent="0.2">
      <c r="B26" s="46">
        <v>490</v>
      </c>
      <c r="C26" s="59" t="s">
        <v>580</v>
      </c>
      <c r="D26" s="59" t="s">
        <v>581</v>
      </c>
      <c r="E26" s="46">
        <v>1</v>
      </c>
      <c r="F26" s="45"/>
      <c r="G26" s="45"/>
      <c r="H26" s="45"/>
      <c r="I26" s="45"/>
      <c r="J26" s="45"/>
      <c r="K26" s="45"/>
      <c r="L26" s="45"/>
      <c r="M26" s="45"/>
      <c r="N26" s="45"/>
      <c r="O26" s="45"/>
      <c r="P26" s="45"/>
      <c r="Q26" s="45"/>
    </row>
    <row r="27" spans="2:17" ht="34" x14ac:dyDescent="0.2">
      <c r="B27" s="156">
        <v>511</v>
      </c>
      <c r="C27" s="59" t="s">
        <v>582</v>
      </c>
      <c r="D27" s="59" t="s">
        <v>583</v>
      </c>
      <c r="E27" s="46">
        <v>1</v>
      </c>
      <c r="F27" s="45"/>
      <c r="G27" s="45"/>
      <c r="H27" s="45"/>
      <c r="I27" s="45"/>
      <c r="J27" s="45"/>
      <c r="K27" s="45"/>
      <c r="L27" s="45"/>
      <c r="M27" s="45"/>
      <c r="N27" s="45"/>
      <c r="O27" s="45"/>
      <c r="P27" s="45"/>
      <c r="Q27" s="45"/>
    </row>
    <row r="28" spans="2:17" ht="17" x14ac:dyDescent="0.2">
      <c r="B28" s="156"/>
      <c r="C28" s="157" t="s">
        <v>584</v>
      </c>
      <c r="D28" s="59" t="s">
        <v>585</v>
      </c>
      <c r="E28" s="46">
        <v>1</v>
      </c>
      <c r="F28" s="45"/>
      <c r="G28" s="45"/>
      <c r="H28" s="45"/>
      <c r="I28" s="45"/>
      <c r="J28" s="45"/>
      <c r="K28" s="45"/>
      <c r="L28" s="45"/>
      <c r="M28" s="45"/>
      <c r="N28" s="45"/>
      <c r="O28" s="45"/>
      <c r="P28" s="45"/>
      <c r="Q28" s="45"/>
    </row>
    <row r="29" spans="2:17" ht="34" x14ac:dyDescent="0.2">
      <c r="B29" s="156"/>
      <c r="C29" s="157"/>
      <c r="D29" s="59" t="s">
        <v>586</v>
      </c>
      <c r="E29" s="156">
        <v>1</v>
      </c>
      <c r="F29" s="45"/>
      <c r="G29" s="45"/>
      <c r="H29" s="45"/>
      <c r="I29" s="45"/>
      <c r="J29" s="45"/>
      <c r="K29" s="45"/>
      <c r="L29" s="45"/>
      <c r="M29" s="45"/>
      <c r="N29" s="45"/>
      <c r="O29" s="45"/>
      <c r="P29" s="45"/>
      <c r="Q29" s="45"/>
    </row>
    <row r="30" spans="2:17" ht="34" x14ac:dyDescent="0.2">
      <c r="B30" s="156"/>
      <c r="C30" s="157"/>
      <c r="D30" s="59" t="s">
        <v>587</v>
      </c>
      <c r="E30" s="156"/>
      <c r="F30" s="45"/>
      <c r="G30" s="45"/>
      <c r="H30" s="45"/>
      <c r="I30" s="45"/>
      <c r="J30" s="45"/>
      <c r="K30" s="45"/>
      <c r="L30" s="45"/>
      <c r="M30" s="45"/>
      <c r="N30" s="45"/>
      <c r="O30" s="45"/>
      <c r="P30" s="45"/>
      <c r="Q30" s="45"/>
    </row>
    <row r="31" spans="2:17" ht="17" x14ac:dyDescent="0.2">
      <c r="B31" s="156"/>
      <c r="C31" s="157"/>
      <c r="D31" s="59" t="s">
        <v>588</v>
      </c>
      <c r="E31" s="156"/>
      <c r="F31" s="45"/>
      <c r="G31" s="45"/>
      <c r="H31" s="45"/>
      <c r="I31" s="45"/>
      <c r="J31" s="45"/>
      <c r="K31" s="45"/>
      <c r="L31" s="45"/>
      <c r="M31" s="45"/>
      <c r="N31" s="45"/>
      <c r="O31" s="45"/>
      <c r="P31" s="45"/>
      <c r="Q31" s="45"/>
    </row>
    <row r="32" spans="2:17" ht="34" x14ac:dyDescent="0.2">
      <c r="B32" s="156"/>
      <c r="C32" s="157"/>
      <c r="D32" s="59" t="s">
        <v>589</v>
      </c>
      <c r="E32" s="156"/>
      <c r="F32" s="45"/>
      <c r="G32" s="45"/>
      <c r="H32" s="45"/>
      <c r="I32" s="45"/>
      <c r="J32" s="45"/>
      <c r="K32" s="45"/>
      <c r="L32" s="45"/>
      <c r="M32" s="45"/>
      <c r="N32" s="45"/>
      <c r="O32" s="45"/>
      <c r="P32" s="45"/>
      <c r="Q32" s="45"/>
    </row>
    <row r="33" spans="2:17" ht="34" x14ac:dyDescent="0.2">
      <c r="B33" s="156"/>
      <c r="C33" s="157"/>
      <c r="D33" s="59" t="s">
        <v>590</v>
      </c>
      <c r="E33" s="156"/>
      <c r="F33" s="45"/>
      <c r="G33" s="45"/>
      <c r="H33" s="45"/>
      <c r="I33" s="45"/>
      <c r="J33" s="45"/>
      <c r="K33" s="45"/>
      <c r="L33" s="45"/>
      <c r="M33" s="45"/>
      <c r="N33" s="45"/>
      <c r="O33" s="45"/>
      <c r="P33" s="45"/>
      <c r="Q33" s="45"/>
    </row>
    <row r="34" spans="2:17" ht="51" x14ac:dyDescent="0.2">
      <c r="B34" s="156"/>
      <c r="C34" s="157"/>
      <c r="D34" s="59" t="s">
        <v>591</v>
      </c>
      <c r="E34" s="156"/>
      <c r="F34" s="45"/>
      <c r="G34" s="45"/>
      <c r="H34" s="45"/>
      <c r="I34" s="45"/>
      <c r="J34" s="45"/>
      <c r="K34" s="45"/>
      <c r="L34" s="45"/>
      <c r="M34" s="45"/>
      <c r="N34" s="45"/>
      <c r="O34" s="45"/>
      <c r="P34" s="45"/>
      <c r="Q34" s="45"/>
    </row>
    <row r="35" spans="2:17" ht="17" x14ac:dyDescent="0.2">
      <c r="B35" s="156">
        <v>560</v>
      </c>
      <c r="C35" s="157" t="s">
        <v>592</v>
      </c>
      <c r="D35" s="59" t="s">
        <v>593</v>
      </c>
      <c r="E35" s="156">
        <v>1</v>
      </c>
      <c r="F35" s="45"/>
      <c r="G35" s="45"/>
      <c r="H35" s="45"/>
      <c r="I35" s="45"/>
      <c r="J35" s="45"/>
      <c r="K35" s="45"/>
      <c r="L35" s="45"/>
      <c r="M35" s="45"/>
      <c r="N35" s="45"/>
      <c r="O35" s="45"/>
      <c r="P35" s="45"/>
      <c r="Q35" s="45"/>
    </row>
    <row r="36" spans="2:17" ht="34" x14ac:dyDescent="0.2">
      <c r="B36" s="156"/>
      <c r="C36" s="157"/>
      <c r="D36" s="59" t="s">
        <v>594</v>
      </c>
      <c r="E36" s="156">
        <v>1</v>
      </c>
      <c r="F36" s="45"/>
      <c r="G36" s="45"/>
      <c r="H36" s="45"/>
      <c r="I36" s="45"/>
      <c r="J36" s="45"/>
      <c r="K36" s="45"/>
      <c r="L36" s="45"/>
      <c r="M36" s="45"/>
      <c r="N36" s="45"/>
      <c r="O36" s="45"/>
      <c r="P36" s="45"/>
      <c r="Q36" s="45"/>
    </row>
    <row r="37" spans="2:17" ht="34" x14ac:dyDescent="0.2">
      <c r="B37" s="156"/>
      <c r="C37" s="157"/>
      <c r="D37" s="59" t="s">
        <v>595</v>
      </c>
      <c r="E37" s="156">
        <v>1</v>
      </c>
      <c r="F37" s="45"/>
      <c r="G37" s="45"/>
      <c r="H37" s="45"/>
      <c r="I37" s="45"/>
      <c r="J37" s="45"/>
      <c r="K37" s="45"/>
      <c r="L37" s="45"/>
      <c r="M37" s="45"/>
      <c r="N37" s="45"/>
      <c r="O37" s="45"/>
      <c r="P37" s="45"/>
      <c r="Q37" s="45"/>
    </row>
    <row r="38" spans="2:17" ht="34" x14ac:dyDescent="0.2">
      <c r="B38" s="156">
        <v>960</v>
      </c>
      <c r="C38" s="157" t="s">
        <v>596</v>
      </c>
      <c r="D38" s="59" t="s">
        <v>597</v>
      </c>
      <c r="E38" s="156">
        <v>1</v>
      </c>
      <c r="F38" s="45"/>
      <c r="G38" s="45"/>
      <c r="H38" s="45"/>
      <c r="I38" s="45"/>
      <c r="J38" s="45"/>
      <c r="K38" s="45"/>
      <c r="L38" s="45"/>
      <c r="M38" s="45"/>
      <c r="N38" s="45"/>
      <c r="O38" s="45"/>
      <c r="P38" s="45"/>
      <c r="Q38" s="45"/>
    </row>
    <row r="39" spans="2:17" ht="51" x14ac:dyDescent="0.2">
      <c r="B39" s="156"/>
      <c r="C39" s="157"/>
      <c r="D39" s="59" t="s">
        <v>598</v>
      </c>
      <c r="E39" s="156">
        <v>1</v>
      </c>
      <c r="F39" s="45"/>
      <c r="G39" s="45"/>
      <c r="H39" s="45"/>
      <c r="I39" s="45"/>
      <c r="J39" s="45"/>
      <c r="K39" s="45"/>
      <c r="L39" s="45"/>
      <c r="M39" s="45"/>
      <c r="N39" s="45"/>
      <c r="O39" s="45"/>
      <c r="P39" s="45"/>
      <c r="Q39" s="45"/>
    </row>
    <row r="40" spans="2:17" ht="51" x14ac:dyDescent="0.2">
      <c r="B40" s="156"/>
      <c r="C40" s="157"/>
      <c r="D40" s="59" t="s">
        <v>599</v>
      </c>
      <c r="E40" s="156">
        <v>1</v>
      </c>
      <c r="F40" s="45"/>
      <c r="G40" s="45"/>
      <c r="H40" s="45"/>
      <c r="I40" s="45"/>
      <c r="J40" s="45"/>
      <c r="K40" s="45"/>
      <c r="L40" s="45"/>
      <c r="M40" s="45"/>
      <c r="N40" s="45"/>
      <c r="O40" s="45"/>
      <c r="P40" s="45"/>
      <c r="Q40" s="45"/>
    </row>
    <row r="41" spans="2:17" ht="51" x14ac:dyDescent="0.2">
      <c r="B41" s="156"/>
      <c r="C41" s="157"/>
      <c r="D41" s="59" t="s">
        <v>600</v>
      </c>
      <c r="E41" s="156">
        <v>1</v>
      </c>
      <c r="F41" s="45"/>
      <c r="G41" s="45"/>
      <c r="H41" s="45"/>
      <c r="I41" s="45"/>
      <c r="J41" s="45"/>
      <c r="K41" s="45"/>
      <c r="L41" s="45"/>
      <c r="M41" s="45"/>
      <c r="N41" s="45"/>
      <c r="O41" s="45"/>
      <c r="P41" s="45"/>
      <c r="Q41" s="45"/>
    </row>
    <row r="42" spans="2:17" ht="34" x14ac:dyDescent="0.2">
      <c r="B42" s="156">
        <v>590</v>
      </c>
      <c r="C42" s="157" t="s">
        <v>601</v>
      </c>
      <c r="D42" s="59" t="s">
        <v>602</v>
      </c>
      <c r="E42" s="156">
        <v>1</v>
      </c>
      <c r="F42" s="45"/>
      <c r="G42" s="45"/>
      <c r="H42" s="45"/>
      <c r="I42" s="45"/>
      <c r="J42" s="45"/>
      <c r="K42" s="45"/>
      <c r="L42" s="45"/>
      <c r="M42" s="45"/>
      <c r="N42" s="45"/>
      <c r="O42" s="45"/>
      <c r="P42" s="45"/>
      <c r="Q42" s="45"/>
    </row>
    <row r="43" spans="2:17" ht="34" x14ac:dyDescent="0.2">
      <c r="B43" s="156"/>
      <c r="C43" s="157"/>
      <c r="D43" s="59" t="s">
        <v>603</v>
      </c>
      <c r="E43" s="156">
        <v>1</v>
      </c>
      <c r="F43" s="45"/>
      <c r="G43" s="45"/>
      <c r="H43" s="45"/>
      <c r="I43" s="45"/>
      <c r="J43" s="45"/>
      <c r="K43" s="45"/>
      <c r="L43" s="45"/>
      <c r="M43" s="45"/>
      <c r="N43" s="45"/>
      <c r="O43" s="45"/>
      <c r="P43" s="45"/>
      <c r="Q43" s="45"/>
    </row>
    <row r="44" spans="2:17" ht="34" x14ac:dyDescent="0.2">
      <c r="B44" s="156">
        <v>990</v>
      </c>
      <c r="C44" s="157" t="s">
        <v>604</v>
      </c>
      <c r="D44" s="59" t="s">
        <v>605</v>
      </c>
      <c r="E44" s="156">
        <v>1</v>
      </c>
      <c r="F44" s="45"/>
      <c r="G44" s="45"/>
      <c r="H44" s="45"/>
      <c r="I44" s="45"/>
      <c r="J44" s="45"/>
      <c r="K44" s="45"/>
      <c r="L44" s="45"/>
      <c r="M44" s="45"/>
      <c r="N44" s="45"/>
      <c r="O44" s="45"/>
      <c r="P44" s="45"/>
      <c r="Q44" s="45"/>
    </row>
    <row r="45" spans="2:17" ht="51" x14ac:dyDescent="0.2">
      <c r="B45" s="156"/>
      <c r="C45" s="157"/>
      <c r="D45" s="59" t="s">
        <v>606</v>
      </c>
      <c r="E45" s="156"/>
      <c r="F45" s="45"/>
      <c r="G45" s="45"/>
      <c r="H45" s="45"/>
      <c r="I45" s="45"/>
      <c r="J45" s="45"/>
      <c r="K45" s="45"/>
      <c r="L45" s="45"/>
      <c r="M45" s="45"/>
      <c r="N45" s="45"/>
      <c r="O45" s="45"/>
      <c r="P45" s="45"/>
      <c r="Q45" s="45"/>
    </row>
    <row r="46" spans="2:17" ht="102" x14ac:dyDescent="0.2">
      <c r="B46" s="46">
        <v>263</v>
      </c>
      <c r="C46" s="59" t="s">
        <v>607</v>
      </c>
      <c r="D46" s="59" t="s">
        <v>608</v>
      </c>
      <c r="E46" s="46">
        <v>1</v>
      </c>
      <c r="F46" s="45"/>
      <c r="G46" s="45"/>
      <c r="H46" s="45"/>
      <c r="I46" s="45"/>
      <c r="J46" s="45"/>
      <c r="K46" s="45"/>
      <c r="L46" s="45"/>
      <c r="M46" s="45"/>
      <c r="N46" s="45"/>
      <c r="O46" s="45"/>
      <c r="P46" s="45"/>
      <c r="Q46" s="45"/>
    </row>
    <row r="47" spans="2:17" ht="34" x14ac:dyDescent="0.2">
      <c r="B47" s="156">
        <v>1410</v>
      </c>
      <c r="C47" s="157" t="s">
        <v>609</v>
      </c>
      <c r="D47" s="59" t="s">
        <v>610</v>
      </c>
      <c r="E47" s="156">
        <v>1</v>
      </c>
      <c r="F47" s="45"/>
      <c r="G47" s="45"/>
      <c r="H47" s="45"/>
      <c r="I47" s="45"/>
      <c r="J47" s="45"/>
      <c r="K47" s="45"/>
      <c r="L47" s="45"/>
      <c r="M47" s="45"/>
      <c r="N47" s="45"/>
      <c r="O47" s="45"/>
      <c r="P47" s="45"/>
      <c r="Q47" s="45"/>
    </row>
    <row r="48" spans="2:17" ht="34" x14ac:dyDescent="0.2">
      <c r="B48" s="156"/>
      <c r="C48" s="157"/>
      <c r="D48" s="59" t="s">
        <v>611</v>
      </c>
      <c r="E48" s="156">
        <v>1</v>
      </c>
      <c r="F48" s="45"/>
      <c r="G48" s="45"/>
      <c r="H48" s="45"/>
      <c r="I48" s="45"/>
      <c r="J48" s="45"/>
      <c r="K48" s="45"/>
      <c r="L48" s="45"/>
      <c r="M48" s="45"/>
      <c r="N48" s="45"/>
      <c r="O48" s="45"/>
      <c r="P48" s="45"/>
      <c r="Q48" s="45"/>
    </row>
    <row r="49" spans="2:17" ht="51" x14ac:dyDescent="0.2">
      <c r="B49" s="156"/>
      <c r="C49" s="157"/>
      <c r="D49" s="59" t="s">
        <v>612</v>
      </c>
      <c r="E49" s="156">
        <v>1</v>
      </c>
      <c r="F49" s="45"/>
      <c r="G49" s="45"/>
      <c r="H49" s="45"/>
      <c r="I49" s="45"/>
      <c r="J49" s="45"/>
      <c r="K49" s="45"/>
      <c r="L49" s="45"/>
      <c r="M49" s="45"/>
      <c r="N49" s="45"/>
      <c r="O49" s="45"/>
      <c r="P49" s="45"/>
      <c r="Q49" s="45"/>
    </row>
    <row r="50" spans="2:17" ht="170" x14ac:dyDescent="0.2">
      <c r="B50" s="46">
        <v>739</v>
      </c>
      <c r="C50" s="59" t="s">
        <v>613</v>
      </c>
      <c r="D50" s="59" t="s">
        <v>614</v>
      </c>
      <c r="E50" s="46">
        <v>2</v>
      </c>
      <c r="F50" s="45"/>
      <c r="G50" s="45"/>
      <c r="H50" s="45"/>
      <c r="I50" s="45"/>
      <c r="J50" s="45"/>
      <c r="K50" s="45"/>
      <c r="L50" s="45"/>
      <c r="M50" s="45"/>
      <c r="N50" s="45"/>
      <c r="O50" s="45"/>
      <c r="P50" s="45"/>
      <c r="Q50" s="45"/>
    </row>
    <row r="51" spans="2:17" ht="85" x14ac:dyDescent="0.2">
      <c r="B51" s="46">
        <v>11</v>
      </c>
      <c r="C51" s="59" t="s">
        <v>615</v>
      </c>
      <c r="D51" s="59" t="s">
        <v>616</v>
      </c>
      <c r="E51" s="46">
        <v>2</v>
      </c>
      <c r="F51" s="45"/>
      <c r="G51" s="45"/>
      <c r="H51" s="45"/>
      <c r="I51" s="45"/>
      <c r="J51" s="45"/>
      <c r="K51" s="45"/>
      <c r="L51" s="45"/>
      <c r="M51" s="45"/>
      <c r="N51" s="45"/>
      <c r="O51" s="45"/>
      <c r="P51" s="45"/>
      <c r="Q51" s="45"/>
    </row>
    <row r="52" spans="2:17" ht="102" x14ac:dyDescent="0.2">
      <c r="B52" s="46">
        <v>262</v>
      </c>
      <c r="C52" s="59" t="s">
        <v>617</v>
      </c>
      <c r="D52" s="59" t="s">
        <v>618</v>
      </c>
      <c r="E52" s="46">
        <v>2</v>
      </c>
      <c r="F52" s="45"/>
      <c r="G52" s="45"/>
      <c r="H52" s="45"/>
      <c r="I52" s="45"/>
      <c r="J52" s="45"/>
      <c r="K52" s="45"/>
      <c r="L52" s="45"/>
      <c r="M52" s="45"/>
      <c r="N52" s="45"/>
      <c r="O52" s="45"/>
      <c r="P52" s="45"/>
      <c r="Q52" s="45"/>
    </row>
    <row r="53" spans="2:17" ht="30" customHeight="1" x14ac:dyDescent="0.2">
      <c r="B53" s="46">
        <v>10</v>
      </c>
      <c r="C53" s="59" t="s">
        <v>619</v>
      </c>
      <c r="D53" s="157" t="s">
        <v>620</v>
      </c>
      <c r="E53" s="46">
        <v>2</v>
      </c>
      <c r="F53" s="45"/>
      <c r="G53" s="45"/>
      <c r="H53" s="45"/>
      <c r="I53" s="45"/>
      <c r="J53" s="45"/>
      <c r="K53" s="45"/>
      <c r="L53" s="45"/>
      <c r="M53" s="45"/>
      <c r="N53" s="45"/>
      <c r="O53" s="45"/>
      <c r="P53" s="45"/>
      <c r="Q53" s="45"/>
    </row>
    <row r="54" spans="2:17" ht="34" x14ac:dyDescent="0.2">
      <c r="B54" s="46">
        <v>20</v>
      </c>
      <c r="C54" s="59" t="s">
        <v>621</v>
      </c>
      <c r="D54" s="157"/>
      <c r="E54" s="46">
        <v>2</v>
      </c>
      <c r="F54" s="45"/>
      <c r="G54" s="45"/>
      <c r="H54" s="45"/>
      <c r="I54" s="45"/>
      <c r="J54" s="45"/>
      <c r="K54" s="45"/>
      <c r="L54" s="45"/>
      <c r="M54" s="45"/>
      <c r="N54" s="45"/>
      <c r="O54" s="45"/>
      <c r="P54" s="45"/>
      <c r="Q54" s="45"/>
    </row>
    <row r="55" spans="2:17" ht="119" x14ac:dyDescent="0.2">
      <c r="B55" s="46">
        <v>1460</v>
      </c>
      <c r="C55" s="59" t="s">
        <v>622</v>
      </c>
      <c r="D55" s="59" t="s">
        <v>623</v>
      </c>
      <c r="E55" s="46">
        <v>2</v>
      </c>
      <c r="F55" s="45"/>
      <c r="G55" s="45"/>
      <c r="H55" s="45"/>
      <c r="I55" s="45"/>
      <c r="J55" s="45"/>
      <c r="K55" s="45"/>
      <c r="L55" s="45"/>
      <c r="M55" s="45"/>
      <c r="N55" s="45"/>
      <c r="O55" s="45"/>
      <c r="P55" s="45"/>
      <c r="Q55" s="45"/>
    </row>
    <row r="56" spans="2:17" ht="204" x14ac:dyDescent="0.2">
      <c r="B56" s="46">
        <v>13</v>
      </c>
      <c r="C56" s="59" t="s">
        <v>624</v>
      </c>
      <c r="D56" s="59" t="s">
        <v>625</v>
      </c>
      <c r="E56" s="46">
        <v>2</v>
      </c>
      <c r="F56" s="45"/>
      <c r="G56" s="45"/>
      <c r="H56" s="45"/>
      <c r="I56" s="45"/>
      <c r="J56" s="45"/>
      <c r="K56" s="45"/>
      <c r="L56" s="45"/>
      <c r="M56" s="45"/>
      <c r="N56" s="45"/>
      <c r="O56" s="45"/>
      <c r="P56" s="45"/>
      <c r="Q56" s="45"/>
    </row>
    <row r="57" spans="2:17" ht="34" x14ac:dyDescent="0.2">
      <c r="B57" s="46">
        <v>90</v>
      </c>
      <c r="C57" s="59" t="s">
        <v>626</v>
      </c>
      <c r="D57" s="158" t="s">
        <v>627</v>
      </c>
      <c r="E57" s="46">
        <v>2</v>
      </c>
      <c r="F57" s="45"/>
      <c r="G57" s="45"/>
      <c r="H57" s="45"/>
      <c r="I57" s="45"/>
      <c r="J57" s="45"/>
      <c r="K57" s="45"/>
      <c r="L57" s="45"/>
      <c r="M57" s="45"/>
      <c r="N57" s="45"/>
      <c r="O57" s="45"/>
      <c r="P57" s="45"/>
      <c r="Q57" s="45"/>
    </row>
    <row r="58" spans="2:17" ht="51" x14ac:dyDescent="0.2">
      <c r="B58" s="46">
        <v>1490</v>
      </c>
      <c r="C58" s="59" t="s">
        <v>628</v>
      </c>
      <c r="D58" s="158"/>
      <c r="E58" s="46">
        <v>2</v>
      </c>
      <c r="F58" s="45"/>
      <c r="G58" s="45"/>
      <c r="H58" s="45"/>
      <c r="I58" s="45"/>
      <c r="J58" s="45"/>
      <c r="K58" s="45"/>
      <c r="L58" s="45"/>
      <c r="M58" s="45"/>
      <c r="N58" s="45"/>
      <c r="O58" s="45"/>
      <c r="P58" s="45"/>
      <c r="Q58" s="45"/>
    </row>
    <row r="59" spans="2:17" ht="51" x14ac:dyDescent="0.2">
      <c r="B59" s="46">
        <v>1440</v>
      </c>
      <c r="C59" s="59" t="s">
        <v>629</v>
      </c>
      <c r="D59" s="158" t="s">
        <v>630</v>
      </c>
      <c r="E59" s="46">
        <v>2</v>
      </c>
      <c r="F59" s="45"/>
      <c r="G59" s="45"/>
      <c r="H59" s="45"/>
      <c r="I59" s="45"/>
      <c r="J59" s="45"/>
      <c r="K59" s="45"/>
      <c r="L59" s="45"/>
      <c r="M59" s="45"/>
      <c r="N59" s="45"/>
      <c r="O59" s="45"/>
      <c r="P59" s="45"/>
      <c r="Q59" s="45"/>
    </row>
    <row r="60" spans="2:17" ht="51" x14ac:dyDescent="0.2">
      <c r="B60" s="46">
        <v>1450</v>
      </c>
      <c r="C60" s="59" t="s">
        <v>631</v>
      </c>
      <c r="D60" s="158"/>
      <c r="E60" s="46">
        <v>2</v>
      </c>
      <c r="F60" s="45"/>
      <c r="G60" s="45"/>
      <c r="H60" s="45"/>
      <c r="I60" s="45"/>
      <c r="J60" s="45"/>
      <c r="K60" s="45"/>
      <c r="L60" s="45"/>
      <c r="M60" s="45"/>
      <c r="N60" s="45"/>
      <c r="O60" s="45"/>
      <c r="P60" s="45"/>
      <c r="Q60" s="45"/>
    </row>
    <row r="61" spans="2:17" ht="68" x14ac:dyDescent="0.2">
      <c r="B61" s="46">
        <v>11</v>
      </c>
      <c r="C61" s="59" t="s">
        <v>632</v>
      </c>
      <c r="D61" s="59" t="s">
        <v>633</v>
      </c>
      <c r="E61" s="46">
        <v>2</v>
      </c>
      <c r="F61" s="45"/>
      <c r="G61" s="45"/>
      <c r="H61" s="45"/>
      <c r="I61" s="45"/>
      <c r="J61" s="45"/>
      <c r="K61" s="45"/>
      <c r="L61" s="45"/>
      <c r="M61" s="45"/>
      <c r="N61" s="45"/>
      <c r="O61" s="45"/>
      <c r="P61" s="45"/>
      <c r="Q61" s="45"/>
    </row>
    <row r="62" spans="2:17" ht="119" x14ac:dyDescent="0.2">
      <c r="B62" s="46">
        <v>262</v>
      </c>
      <c r="C62" s="59" t="s">
        <v>617</v>
      </c>
      <c r="D62" s="59" t="s">
        <v>634</v>
      </c>
      <c r="E62" s="46">
        <v>2</v>
      </c>
      <c r="F62" s="45"/>
      <c r="G62" s="45"/>
      <c r="H62" s="45"/>
      <c r="I62" s="45"/>
      <c r="J62" s="45"/>
      <c r="K62" s="45"/>
      <c r="L62" s="45"/>
      <c r="M62" s="45"/>
      <c r="N62" s="45"/>
      <c r="O62" s="45"/>
      <c r="P62" s="45"/>
      <c r="Q62" s="45"/>
    </row>
    <row r="63" spans="2:17" ht="153" x14ac:dyDescent="0.2">
      <c r="B63" s="46">
        <v>782</v>
      </c>
      <c r="C63" s="59" t="s">
        <v>635</v>
      </c>
      <c r="D63" s="59" t="s">
        <v>636</v>
      </c>
      <c r="E63" s="46">
        <v>2</v>
      </c>
      <c r="F63" s="45"/>
      <c r="G63" s="45"/>
      <c r="H63" s="45"/>
      <c r="I63" s="45"/>
      <c r="J63" s="45"/>
      <c r="K63" s="45"/>
      <c r="L63" s="45"/>
      <c r="M63" s="45"/>
      <c r="N63" s="45"/>
      <c r="O63" s="45"/>
      <c r="P63" s="45"/>
      <c r="Q63" s="45"/>
    </row>
    <row r="64" spans="2:17" ht="102" x14ac:dyDescent="0.2">
      <c r="B64" s="46">
        <v>900</v>
      </c>
      <c r="C64" s="59" t="s">
        <v>637</v>
      </c>
      <c r="D64" s="158" t="s">
        <v>638</v>
      </c>
      <c r="E64" s="46">
        <v>2</v>
      </c>
      <c r="F64" s="45"/>
      <c r="G64" s="45"/>
      <c r="H64" s="45"/>
      <c r="I64" s="45"/>
      <c r="J64" s="45"/>
      <c r="K64" s="45"/>
      <c r="L64" s="45"/>
      <c r="M64" s="45"/>
      <c r="N64" s="45"/>
      <c r="O64" s="45"/>
      <c r="P64" s="45"/>
      <c r="Q64" s="45"/>
    </row>
    <row r="65" spans="2:17" ht="102" x14ac:dyDescent="0.2">
      <c r="B65" s="46">
        <v>880</v>
      </c>
      <c r="C65" s="59" t="s">
        <v>639</v>
      </c>
      <c r="D65" s="158"/>
      <c r="E65" s="46">
        <v>2</v>
      </c>
      <c r="F65" s="45"/>
      <c r="G65" s="45"/>
      <c r="H65" s="45"/>
      <c r="I65" s="45"/>
      <c r="J65" s="45"/>
      <c r="K65" s="45"/>
      <c r="L65" s="45"/>
      <c r="M65" s="45"/>
      <c r="N65" s="45"/>
      <c r="O65" s="45"/>
      <c r="P65" s="45"/>
      <c r="Q65" s="45"/>
    </row>
    <row r="66" spans="2:17" ht="187" x14ac:dyDescent="0.2">
      <c r="B66" s="46">
        <v>1161</v>
      </c>
      <c r="C66" s="59" t="s">
        <v>640</v>
      </c>
      <c r="D66" s="158" t="s">
        <v>641</v>
      </c>
      <c r="E66" s="46">
        <v>2</v>
      </c>
      <c r="F66" s="45"/>
      <c r="G66" s="45"/>
      <c r="H66" s="45"/>
      <c r="I66" s="45"/>
      <c r="J66" s="45"/>
      <c r="K66" s="45"/>
      <c r="L66" s="45"/>
      <c r="M66" s="45"/>
      <c r="N66" s="45"/>
      <c r="O66" s="45"/>
      <c r="P66" s="45"/>
      <c r="Q66" s="45"/>
    </row>
    <row r="67" spans="2:17" ht="51" x14ac:dyDescent="0.2">
      <c r="B67" s="46">
        <v>1430</v>
      </c>
      <c r="C67" s="59" t="s">
        <v>642</v>
      </c>
      <c r="D67" s="158"/>
      <c r="E67" s="46">
        <v>2</v>
      </c>
      <c r="F67" s="45"/>
      <c r="G67" s="45"/>
      <c r="H67" s="45"/>
      <c r="I67" s="45"/>
      <c r="J67" s="45"/>
      <c r="K67" s="45"/>
      <c r="L67" s="45"/>
      <c r="M67" s="45"/>
      <c r="N67" s="45"/>
      <c r="O67" s="45"/>
      <c r="P67" s="45"/>
      <c r="Q67" s="45"/>
    </row>
    <row r="68" spans="2:17" ht="85" x14ac:dyDescent="0.2">
      <c r="B68" s="46">
        <v>1193</v>
      </c>
      <c r="C68" s="59" t="s">
        <v>643</v>
      </c>
      <c r="D68" s="158"/>
      <c r="E68" s="46">
        <v>2</v>
      </c>
      <c r="F68" s="45"/>
      <c r="G68" s="45"/>
      <c r="H68" s="45"/>
      <c r="I68" s="45"/>
      <c r="J68" s="45"/>
      <c r="K68" s="45"/>
      <c r="L68" s="45"/>
      <c r="M68" s="45"/>
      <c r="N68" s="45"/>
      <c r="O68" s="45"/>
      <c r="P68" s="45"/>
      <c r="Q68" s="45"/>
    </row>
    <row r="69" spans="2:17" ht="34" x14ac:dyDescent="0.2">
      <c r="B69" s="46">
        <v>1470</v>
      </c>
      <c r="C69" s="59" t="s">
        <v>644</v>
      </c>
      <c r="D69" s="158"/>
      <c r="E69" s="46">
        <v>2</v>
      </c>
      <c r="F69" s="45"/>
      <c r="G69" s="45"/>
      <c r="H69" s="45"/>
      <c r="I69" s="45"/>
      <c r="J69" s="45"/>
      <c r="K69" s="45"/>
      <c r="L69" s="45"/>
      <c r="M69" s="45"/>
      <c r="N69" s="45"/>
      <c r="O69" s="45"/>
      <c r="P69" s="45"/>
      <c r="Q69" s="45"/>
    </row>
    <row r="70" spans="2:17" ht="68" x14ac:dyDescent="0.2">
      <c r="B70" s="46">
        <v>1220</v>
      </c>
      <c r="C70" s="59" t="s">
        <v>645</v>
      </c>
      <c r="D70" s="158" t="s">
        <v>646</v>
      </c>
      <c r="E70" s="46">
        <v>2</v>
      </c>
      <c r="F70" s="45"/>
      <c r="G70" s="45"/>
      <c r="H70" s="45"/>
      <c r="I70" s="45"/>
      <c r="J70" s="45"/>
      <c r="K70" s="45"/>
      <c r="L70" s="45"/>
      <c r="M70" s="45"/>
      <c r="N70" s="45"/>
      <c r="O70" s="45"/>
      <c r="P70" s="45"/>
      <c r="Q70" s="45"/>
    </row>
    <row r="71" spans="2:17" ht="170" x14ac:dyDescent="0.2">
      <c r="B71" s="46">
        <v>1420</v>
      </c>
      <c r="C71" s="59" t="s">
        <v>647</v>
      </c>
      <c r="D71" s="158"/>
      <c r="E71" s="46">
        <v>2</v>
      </c>
      <c r="F71" s="45"/>
      <c r="G71" s="45"/>
      <c r="H71" s="45"/>
      <c r="I71" s="45"/>
      <c r="J71" s="45"/>
      <c r="K71" s="45"/>
      <c r="L71" s="45"/>
      <c r="M71" s="45"/>
      <c r="N71" s="45"/>
      <c r="O71" s="45"/>
      <c r="P71" s="45"/>
      <c r="Q71" s="45"/>
    </row>
    <row r="72" spans="2:17" ht="187" x14ac:dyDescent="0.2">
      <c r="B72" s="46">
        <v>601</v>
      </c>
      <c r="C72" s="59" t="s">
        <v>648</v>
      </c>
      <c r="D72" s="59" t="s">
        <v>649</v>
      </c>
      <c r="E72" s="46">
        <v>2</v>
      </c>
      <c r="F72" s="45"/>
      <c r="G72" s="45"/>
      <c r="H72" s="45"/>
      <c r="I72" s="45"/>
      <c r="J72" s="45"/>
      <c r="K72" s="45"/>
      <c r="L72" s="45"/>
      <c r="M72" s="45"/>
      <c r="N72" s="45"/>
      <c r="O72" s="45"/>
      <c r="P72" s="45"/>
      <c r="Q72" s="45"/>
    </row>
    <row r="73" spans="2:17" ht="51" x14ac:dyDescent="0.2">
      <c r="B73" s="46">
        <v>150</v>
      </c>
      <c r="C73" s="59" t="s">
        <v>650</v>
      </c>
      <c r="D73" s="158" t="s">
        <v>651</v>
      </c>
      <c r="E73" s="46">
        <v>2</v>
      </c>
      <c r="F73" s="45"/>
      <c r="G73" s="45"/>
      <c r="H73" s="45"/>
      <c r="I73" s="45"/>
      <c r="J73" s="45"/>
      <c r="K73" s="45"/>
      <c r="L73" s="45"/>
      <c r="M73" s="45"/>
      <c r="N73" s="45"/>
      <c r="O73" s="45"/>
      <c r="P73" s="45"/>
      <c r="Q73" s="45"/>
    </row>
    <row r="74" spans="2:17" ht="102" x14ac:dyDescent="0.2">
      <c r="B74" s="46">
        <v>870</v>
      </c>
      <c r="C74" s="59" t="s">
        <v>652</v>
      </c>
      <c r="D74" s="158"/>
      <c r="E74" s="46">
        <v>2</v>
      </c>
      <c r="F74" s="45"/>
      <c r="G74" s="45"/>
      <c r="H74" s="45"/>
      <c r="I74" s="45"/>
      <c r="J74" s="45"/>
      <c r="K74" s="45"/>
      <c r="L74" s="45"/>
      <c r="M74" s="45"/>
      <c r="N74" s="45"/>
      <c r="O74" s="45"/>
      <c r="P74" s="45"/>
      <c r="Q74" s="45"/>
    </row>
    <row r="75" spans="2:17" ht="68" x14ac:dyDescent="0.2">
      <c r="B75" s="46">
        <v>890</v>
      </c>
      <c r="C75" s="59" t="s">
        <v>653</v>
      </c>
      <c r="D75" s="158"/>
      <c r="E75" s="46">
        <v>2</v>
      </c>
      <c r="F75" s="45"/>
      <c r="G75" s="45"/>
      <c r="H75" s="45"/>
      <c r="I75" s="45"/>
      <c r="J75" s="45"/>
      <c r="K75" s="45"/>
      <c r="L75" s="45"/>
      <c r="M75" s="45"/>
      <c r="N75" s="45"/>
      <c r="O75" s="45"/>
      <c r="P75" s="45"/>
      <c r="Q75" s="45"/>
    </row>
    <row r="76" spans="2:17" ht="34" x14ac:dyDescent="0.2">
      <c r="B76" s="46">
        <v>930</v>
      </c>
      <c r="C76" s="59" t="s">
        <v>654</v>
      </c>
      <c r="D76" s="158"/>
      <c r="E76" s="46">
        <v>2</v>
      </c>
      <c r="F76" s="45"/>
      <c r="G76" s="45"/>
      <c r="H76" s="45"/>
      <c r="I76" s="45"/>
      <c r="J76" s="45"/>
      <c r="K76" s="45"/>
      <c r="L76" s="45"/>
      <c r="M76" s="45"/>
      <c r="N76" s="45"/>
      <c r="O76" s="45"/>
      <c r="P76" s="45"/>
      <c r="Q76" s="45"/>
    </row>
    <row r="77" spans="2:17" ht="119" x14ac:dyDescent="0.2">
      <c r="B77" s="46">
        <v>1530</v>
      </c>
      <c r="C77" s="59" t="s">
        <v>655</v>
      </c>
      <c r="D77" s="158"/>
      <c r="E77" s="46">
        <v>2</v>
      </c>
      <c r="F77" s="45"/>
      <c r="G77" s="45"/>
      <c r="H77" s="45"/>
      <c r="I77" s="45"/>
      <c r="J77" s="45"/>
      <c r="K77" s="45"/>
      <c r="L77" s="45"/>
      <c r="M77" s="45"/>
      <c r="N77" s="45"/>
      <c r="O77" s="45"/>
      <c r="P77" s="45"/>
      <c r="Q77" s="45"/>
    </row>
    <row r="78" spans="2:17" ht="221" x14ac:dyDescent="0.2">
      <c r="B78" s="46">
        <v>780</v>
      </c>
      <c r="C78" s="59" t="s">
        <v>656</v>
      </c>
      <c r="D78" s="59" t="s">
        <v>657</v>
      </c>
      <c r="E78" s="46">
        <v>2</v>
      </c>
      <c r="F78" s="45"/>
      <c r="G78" s="45"/>
      <c r="H78" s="45"/>
      <c r="I78" s="45"/>
      <c r="J78" s="45"/>
      <c r="K78" s="45"/>
      <c r="L78" s="45"/>
      <c r="M78" s="45"/>
      <c r="N78" s="45"/>
      <c r="O78" s="45"/>
      <c r="P78" s="45"/>
      <c r="Q78" s="45"/>
    </row>
    <row r="79" spans="2:17" ht="85" x14ac:dyDescent="0.2">
      <c r="B79" s="46">
        <v>160</v>
      </c>
      <c r="C79" s="59" t="s">
        <v>658</v>
      </c>
      <c r="D79" s="158" t="s">
        <v>659</v>
      </c>
      <c r="E79" s="46">
        <v>2</v>
      </c>
      <c r="F79" s="45"/>
      <c r="G79" s="45"/>
      <c r="H79" s="45"/>
      <c r="I79" s="45"/>
      <c r="J79" s="45"/>
      <c r="K79" s="45"/>
      <c r="L79" s="45"/>
      <c r="M79" s="45"/>
      <c r="N79" s="45"/>
      <c r="O79" s="45"/>
      <c r="P79" s="45"/>
      <c r="Q79" s="45"/>
    </row>
    <row r="80" spans="2:17" ht="34" x14ac:dyDescent="0.2">
      <c r="B80" s="46">
        <v>170</v>
      </c>
      <c r="C80" s="59" t="s">
        <v>660</v>
      </c>
      <c r="D80" s="158"/>
      <c r="E80" s="46">
        <v>2</v>
      </c>
      <c r="F80" s="45"/>
      <c r="G80" s="45"/>
      <c r="H80" s="45"/>
      <c r="I80" s="45"/>
      <c r="J80" s="45"/>
      <c r="K80" s="45"/>
      <c r="L80" s="45"/>
      <c r="M80" s="45"/>
      <c r="N80" s="45"/>
      <c r="O80" s="45"/>
      <c r="P80" s="45"/>
      <c r="Q80" s="45"/>
    </row>
    <row r="81" spans="2:17" ht="51" x14ac:dyDescent="0.2">
      <c r="B81" s="46">
        <v>210</v>
      </c>
      <c r="C81" s="59" t="s">
        <v>661</v>
      </c>
      <c r="D81" s="158"/>
      <c r="E81" s="46">
        <v>2</v>
      </c>
      <c r="F81" s="45"/>
      <c r="G81" s="45"/>
      <c r="H81" s="45"/>
      <c r="I81" s="45"/>
      <c r="J81" s="45"/>
      <c r="K81" s="45"/>
      <c r="L81" s="45"/>
      <c r="M81" s="45"/>
      <c r="N81" s="45"/>
      <c r="O81" s="45"/>
      <c r="P81" s="45"/>
      <c r="Q81" s="45"/>
    </row>
    <row r="82" spans="2:17" ht="153" x14ac:dyDescent="0.2">
      <c r="B82" s="46">
        <v>740</v>
      </c>
      <c r="C82" s="59" t="s">
        <v>662</v>
      </c>
      <c r="D82" s="59" t="s">
        <v>663</v>
      </c>
      <c r="E82" s="46" t="s">
        <v>664</v>
      </c>
      <c r="F82" s="45"/>
      <c r="G82" s="45"/>
      <c r="H82" s="45"/>
      <c r="I82" s="45"/>
      <c r="J82" s="45"/>
      <c r="K82" s="45"/>
      <c r="L82" s="45"/>
      <c r="M82" s="45"/>
      <c r="N82" s="45"/>
      <c r="O82" s="45"/>
      <c r="P82" s="45"/>
      <c r="Q82" s="45"/>
    </row>
    <row r="83" spans="2:17" ht="85" x14ac:dyDescent="0.2">
      <c r="B83" s="46">
        <v>820</v>
      </c>
      <c r="C83" s="59" t="s">
        <v>665</v>
      </c>
      <c r="D83" s="59" t="s">
        <v>666</v>
      </c>
      <c r="E83" s="46" t="s">
        <v>664</v>
      </c>
      <c r="F83" s="45"/>
      <c r="G83" s="45"/>
      <c r="H83" s="45"/>
      <c r="I83" s="45"/>
      <c r="J83" s="45"/>
      <c r="K83" s="45"/>
      <c r="L83" s="45"/>
      <c r="M83" s="45"/>
      <c r="N83" s="45"/>
      <c r="O83" s="45"/>
      <c r="P83" s="45"/>
      <c r="Q83" s="45"/>
    </row>
    <row r="84" spans="2:17" ht="153" x14ac:dyDescent="0.2">
      <c r="B84" s="46">
        <v>830</v>
      </c>
      <c r="C84" s="59" t="s">
        <v>667</v>
      </c>
      <c r="D84" s="59" t="s">
        <v>668</v>
      </c>
      <c r="E84" s="46" t="s">
        <v>664</v>
      </c>
      <c r="F84" s="45"/>
      <c r="G84" s="45"/>
      <c r="H84" s="45"/>
      <c r="I84" s="45"/>
      <c r="J84" s="45"/>
      <c r="K84" s="45"/>
      <c r="L84" s="45"/>
      <c r="M84" s="45"/>
      <c r="N84" s="45"/>
      <c r="O84" s="45"/>
      <c r="P84" s="45"/>
      <c r="Q84" s="45"/>
    </row>
    <row r="85" spans="2:17" ht="119" x14ac:dyDescent="0.2">
      <c r="B85" s="46">
        <v>850</v>
      </c>
      <c r="C85" s="59" t="s">
        <v>669</v>
      </c>
      <c r="D85" s="59" t="s">
        <v>670</v>
      </c>
      <c r="E85" s="46" t="s">
        <v>664</v>
      </c>
      <c r="F85" s="45"/>
      <c r="G85" s="45"/>
      <c r="H85" s="45"/>
      <c r="I85" s="45"/>
      <c r="J85" s="45"/>
      <c r="K85" s="45"/>
      <c r="L85" s="45"/>
      <c r="M85" s="45"/>
      <c r="N85" s="45"/>
      <c r="O85" s="45"/>
      <c r="P85" s="45"/>
      <c r="Q85" s="45"/>
    </row>
    <row r="86" spans="2:17" ht="187" x14ac:dyDescent="0.2">
      <c r="B86" s="46">
        <v>740</v>
      </c>
      <c r="C86" s="59" t="s">
        <v>671</v>
      </c>
      <c r="D86" s="158" t="s">
        <v>672</v>
      </c>
      <c r="E86" s="46" t="s">
        <v>664</v>
      </c>
      <c r="F86" s="45"/>
      <c r="G86" s="45"/>
      <c r="H86" s="45"/>
      <c r="I86" s="45"/>
      <c r="J86" s="45"/>
      <c r="K86" s="45"/>
      <c r="L86" s="45"/>
      <c r="M86" s="45"/>
      <c r="N86" s="45"/>
      <c r="O86" s="45"/>
      <c r="P86" s="45"/>
      <c r="Q86" s="45"/>
    </row>
    <row r="87" spans="2:17" ht="34" x14ac:dyDescent="0.2">
      <c r="B87" s="46">
        <v>790</v>
      </c>
      <c r="C87" s="59" t="s">
        <v>673</v>
      </c>
      <c r="D87" s="158"/>
      <c r="E87" s="46" t="s">
        <v>664</v>
      </c>
      <c r="F87" s="45"/>
      <c r="G87" s="45"/>
      <c r="H87" s="45"/>
      <c r="I87" s="45"/>
      <c r="J87" s="45"/>
      <c r="K87" s="45"/>
      <c r="L87" s="45"/>
      <c r="M87" s="45"/>
      <c r="N87" s="45"/>
      <c r="O87" s="45"/>
      <c r="P87" s="45"/>
      <c r="Q87" s="45"/>
    </row>
    <row r="88" spans="2:17" ht="153" x14ac:dyDescent="0.2">
      <c r="B88" s="46">
        <v>900</v>
      </c>
      <c r="C88" s="59" t="s">
        <v>674</v>
      </c>
      <c r="D88" s="59" t="s">
        <v>675</v>
      </c>
      <c r="E88" s="46" t="s">
        <v>664</v>
      </c>
      <c r="F88" s="45"/>
      <c r="G88" s="45"/>
      <c r="H88" s="45"/>
      <c r="I88" s="45"/>
      <c r="J88" s="45"/>
      <c r="K88" s="45"/>
      <c r="L88" s="45"/>
      <c r="M88" s="45"/>
      <c r="N88" s="45"/>
      <c r="O88" s="45"/>
      <c r="P88" s="45"/>
      <c r="Q88" s="45"/>
    </row>
    <row r="89" spans="2:17" ht="51" x14ac:dyDescent="0.2">
      <c r="B89" s="46">
        <v>780</v>
      </c>
      <c r="C89" s="59" t="s">
        <v>676</v>
      </c>
      <c r="D89" s="158" t="s">
        <v>677</v>
      </c>
      <c r="E89" s="46" t="s">
        <v>664</v>
      </c>
      <c r="F89" s="45"/>
      <c r="G89" s="45"/>
      <c r="H89" s="45"/>
      <c r="I89" s="45"/>
      <c r="J89" s="45"/>
      <c r="K89" s="45"/>
      <c r="L89" s="45"/>
      <c r="M89" s="45"/>
      <c r="N89" s="45"/>
      <c r="O89" s="45"/>
      <c r="P89" s="45"/>
      <c r="Q89" s="45"/>
    </row>
    <row r="90" spans="2:17" ht="136" x14ac:dyDescent="0.2">
      <c r="B90" s="62">
        <v>780</v>
      </c>
      <c r="C90" s="59" t="s">
        <v>678</v>
      </c>
      <c r="D90" s="158"/>
      <c r="E90" s="46" t="s">
        <v>664</v>
      </c>
      <c r="F90" s="45"/>
      <c r="G90" s="45"/>
      <c r="H90" s="45"/>
      <c r="I90" s="45"/>
      <c r="J90" s="45"/>
      <c r="K90" s="45"/>
      <c r="L90" s="45"/>
      <c r="M90" s="45"/>
      <c r="N90" s="45"/>
      <c r="O90" s="45"/>
      <c r="P90" s="45"/>
      <c r="Q90" s="45"/>
    </row>
    <row r="91" spans="2:17" ht="272" x14ac:dyDescent="0.2">
      <c r="B91" s="46">
        <v>750</v>
      </c>
      <c r="C91" s="59" t="s">
        <v>679</v>
      </c>
      <c r="D91" s="59" t="s">
        <v>680</v>
      </c>
      <c r="E91" s="46" t="s">
        <v>664</v>
      </c>
      <c r="F91" s="45"/>
      <c r="G91" s="45"/>
      <c r="H91" s="45"/>
      <c r="I91" s="45"/>
      <c r="J91" s="45"/>
      <c r="K91" s="45"/>
      <c r="L91" s="45"/>
      <c r="M91" s="45"/>
      <c r="N91" s="45"/>
      <c r="O91" s="45"/>
      <c r="P91" s="45"/>
      <c r="Q91" s="45"/>
    </row>
    <row r="92" spans="2:17" ht="170" x14ac:dyDescent="0.2">
      <c r="B92" s="46">
        <v>800</v>
      </c>
      <c r="C92" s="59" t="s">
        <v>557</v>
      </c>
      <c r="D92" s="59" t="s">
        <v>681</v>
      </c>
      <c r="E92" s="46" t="s">
        <v>664</v>
      </c>
      <c r="F92" s="45"/>
      <c r="G92" s="45"/>
      <c r="H92" s="45"/>
      <c r="I92" s="45"/>
      <c r="J92" s="45"/>
      <c r="K92" s="45"/>
      <c r="L92" s="45"/>
      <c r="M92" s="45"/>
      <c r="N92" s="45"/>
      <c r="O92" s="45"/>
      <c r="P92" s="45"/>
      <c r="Q92" s="45"/>
    </row>
    <row r="93" spans="2:17" ht="102" x14ac:dyDescent="0.2">
      <c r="B93" s="46">
        <v>810</v>
      </c>
      <c r="C93" s="59" t="s">
        <v>682</v>
      </c>
      <c r="D93" s="59" t="s">
        <v>683</v>
      </c>
      <c r="E93" s="46" t="s">
        <v>664</v>
      </c>
      <c r="F93" s="45"/>
      <c r="G93" s="45"/>
      <c r="H93" s="45"/>
      <c r="I93" s="45"/>
      <c r="J93" s="45"/>
      <c r="K93" s="45"/>
      <c r="L93" s="45"/>
      <c r="M93" s="45"/>
      <c r="N93" s="45"/>
      <c r="O93" s="45"/>
      <c r="P93" s="45"/>
      <c r="Q93" s="45"/>
    </row>
    <row r="94" spans="2:17" ht="153" x14ac:dyDescent="0.2">
      <c r="B94" s="46">
        <v>760</v>
      </c>
      <c r="C94" s="59" t="s">
        <v>684</v>
      </c>
      <c r="D94" s="59" t="s">
        <v>685</v>
      </c>
      <c r="E94" s="46" t="s">
        <v>664</v>
      </c>
      <c r="F94" s="45"/>
      <c r="G94" s="45"/>
      <c r="H94" s="45"/>
      <c r="I94" s="45"/>
      <c r="J94" s="45"/>
      <c r="K94" s="45"/>
      <c r="L94" s="45"/>
      <c r="M94" s="45"/>
      <c r="N94" s="45"/>
      <c r="O94" s="45"/>
      <c r="P94" s="45"/>
      <c r="Q94" s="45"/>
    </row>
    <row r="95" spans="2:17" ht="119" x14ac:dyDescent="0.2">
      <c r="B95" s="46">
        <v>880</v>
      </c>
      <c r="C95" s="59" t="s">
        <v>686</v>
      </c>
      <c r="D95" s="60" t="s">
        <v>687</v>
      </c>
      <c r="E95" s="46" t="s">
        <v>664</v>
      </c>
      <c r="F95" s="45"/>
      <c r="G95" s="45"/>
      <c r="H95" s="45"/>
      <c r="I95" s="45"/>
      <c r="J95" s="45"/>
      <c r="K95" s="45"/>
      <c r="L95" s="45"/>
      <c r="M95" s="45"/>
      <c r="N95" s="45"/>
      <c r="O95" s="45"/>
      <c r="P95" s="45"/>
      <c r="Q95" s="45"/>
    </row>
    <row r="96" spans="2:17" ht="102" x14ac:dyDescent="0.2">
      <c r="B96" s="46">
        <v>870</v>
      </c>
      <c r="C96" s="59" t="s">
        <v>688</v>
      </c>
      <c r="D96" s="158" t="s">
        <v>689</v>
      </c>
      <c r="E96" s="46" t="s">
        <v>664</v>
      </c>
      <c r="F96" s="45"/>
      <c r="G96" s="45"/>
      <c r="H96" s="45"/>
      <c r="I96" s="45"/>
      <c r="J96" s="45"/>
      <c r="K96" s="45"/>
      <c r="L96" s="45"/>
      <c r="M96" s="45"/>
      <c r="N96" s="45"/>
      <c r="O96" s="45"/>
      <c r="P96" s="45"/>
      <c r="Q96" s="45"/>
    </row>
    <row r="97" spans="2:17" ht="85" x14ac:dyDescent="0.2">
      <c r="B97" s="46">
        <v>890</v>
      </c>
      <c r="C97" s="59" t="s">
        <v>690</v>
      </c>
      <c r="D97" s="158"/>
      <c r="E97" s="46" t="s">
        <v>664</v>
      </c>
      <c r="F97" s="45"/>
      <c r="G97" s="45"/>
      <c r="H97" s="45"/>
      <c r="I97" s="45"/>
      <c r="J97" s="45"/>
      <c r="K97" s="45"/>
      <c r="L97" s="45"/>
      <c r="M97" s="45"/>
      <c r="N97" s="45"/>
      <c r="O97" s="45"/>
      <c r="P97" s="45"/>
      <c r="Q97" s="45"/>
    </row>
    <row r="98" spans="2:17" ht="102" x14ac:dyDescent="0.2">
      <c r="B98" s="46">
        <v>910</v>
      </c>
      <c r="C98" s="59" t="s">
        <v>691</v>
      </c>
      <c r="D98" s="59" t="s">
        <v>692</v>
      </c>
      <c r="E98" s="46" t="s">
        <v>664</v>
      </c>
      <c r="F98" s="45"/>
      <c r="G98" s="45"/>
      <c r="H98" s="45"/>
      <c r="I98" s="45"/>
      <c r="J98" s="45"/>
      <c r="K98" s="45"/>
      <c r="L98" s="45"/>
      <c r="M98" s="45"/>
      <c r="N98" s="45"/>
      <c r="O98" s="45"/>
      <c r="P98" s="45"/>
      <c r="Q98" s="45"/>
    </row>
    <row r="99" spans="2:17" ht="238" x14ac:dyDescent="0.2">
      <c r="B99" s="46">
        <v>780</v>
      </c>
      <c r="C99" s="59" t="s">
        <v>693</v>
      </c>
      <c r="D99" s="158" t="s">
        <v>694</v>
      </c>
      <c r="E99" s="46" t="s">
        <v>664</v>
      </c>
      <c r="F99" s="45"/>
      <c r="G99" s="45"/>
      <c r="H99" s="45"/>
      <c r="I99" s="45"/>
      <c r="J99" s="45"/>
      <c r="K99" s="45"/>
      <c r="L99" s="45"/>
      <c r="M99" s="45"/>
      <c r="N99" s="45"/>
      <c r="O99" s="45"/>
      <c r="P99" s="45"/>
      <c r="Q99" s="45"/>
    </row>
    <row r="100" spans="2:17" ht="17" x14ac:dyDescent="0.2">
      <c r="B100" s="46">
        <v>920</v>
      </c>
      <c r="C100" s="59" t="s">
        <v>695</v>
      </c>
      <c r="D100" s="158"/>
      <c r="E100" s="46" t="s">
        <v>664</v>
      </c>
      <c r="F100" s="45"/>
      <c r="G100" s="45"/>
      <c r="H100" s="45"/>
      <c r="I100" s="45"/>
      <c r="J100" s="45"/>
      <c r="K100" s="45"/>
      <c r="L100" s="45"/>
      <c r="M100" s="45"/>
      <c r="N100" s="45"/>
      <c r="O100" s="45"/>
      <c r="P100" s="45"/>
      <c r="Q100" s="45"/>
    </row>
    <row r="101" spans="2:17" ht="34" x14ac:dyDescent="0.2">
      <c r="B101" s="46">
        <v>930</v>
      </c>
      <c r="C101" s="59" t="s">
        <v>654</v>
      </c>
      <c r="D101" s="158"/>
      <c r="E101" s="46" t="s">
        <v>664</v>
      </c>
      <c r="F101" s="45"/>
      <c r="G101" s="45"/>
      <c r="H101" s="45"/>
      <c r="I101" s="45"/>
      <c r="J101" s="45"/>
      <c r="K101" s="45"/>
      <c r="L101" s="45"/>
      <c r="M101" s="45"/>
      <c r="N101" s="45"/>
      <c r="O101" s="45"/>
      <c r="P101" s="45"/>
      <c r="Q101" s="45"/>
    </row>
    <row r="102" spans="2:17" ht="136" x14ac:dyDescent="0.2">
      <c r="B102" s="46">
        <v>840</v>
      </c>
      <c r="C102" s="59" t="s">
        <v>696</v>
      </c>
      <c r="D102" s="158" t="s">
        <v>697</v>
      </c>
      <c r="E102" s="46" t="s">
        <v>664</v>
      </c>
      <c r="F102" s="45"/>
      <c r="G102" s="45"/>
      <c r="H102" s="45"/>
      <c r="I102" s="45"/>
      <c r="J102" s="45"/>
      <c r="K102" s="45"/>
      <c r="L102" s="45"/>
      <c r="M102" s="45"/>
      <c r="N102" s="45"/>
      <c r="O102" s="45"/>
      <c r="P102" s="45"/>
      <c r="Q102" s="45"/>
    </row>
    <row r="103" spans="2:17" ht="85" x14ac:dyDescent="0.2">
      <c r="B103" s="46">
        <v>1170</v>
      </c>
      <c r="C103" s="59" t="s">
        <v>698</v>
      </c>
      <c r="D103" s="158"/>
      <c r="E103" s="46" t="s">
        <v>664</v>
      </c>
      <c r="F103" s="45"/>
      <c r="G103" s="45"/>
      <c r="H103" s="45"/>
      <c r="I103" s="45"/>
      <c r="J103" s="45"/>
      <c r="K103" s="45"/>
      <c r="L103" s="45"/>
      <c r="M103" s="45"/>
      <c r="N103" s="45"/>
      <c r="O103" s="45"/>
      <c r="P103" s="45"/>
      <c r="Q103" s="45"/>
    </row>
    <row r="104" spans="2:17" ht="187" x14ac:dyDescent="0.2">
      <c r="B104" s="46">
        <v>970</v>
      </c>
      <c r="C104" s="59" t="s">
        <v>699</v>
      </c>
      <c r="D104" s="59" t="s">
        <v>700</v>
      </c>
      <c r="E104" s="46" t="s">
        <v>664</v>
      </c>
      <c r="F104" s="45"/>
      <c r="G104" s="45"/>
      <c r="H104" s="45"/>
      <c r="I104" s="45"/>
      <c r="J104" s="45"/>
      <c r="K104" s="45"/>
      <c r="L104" s="45"/>
      <c r="M104" s="45"/>
      <c r="N104" s="45"/>
      <c r="O104" s="45"/>
      <c r="P104" s="45"/>
      <c r="Q104" s="45"/>
    </row>
    <row r="105" spans="2:17" ht="187" x14ac:dyDescent="0.2">
      <c r="B105" s="46">
        <v>1000</v>
      </c>
      <c r="C105" s="59" t="s">
        <v>701</v>
      </c>
      <c r="D105" s="59" t="s">
        <v>702</v>
      </c>
      <c r="E105" s="46" t="s">
        <v>664</v>
      </c>
      <c r="F105" s="45"/>
      <c r="G105" s="45"/>
      <c r="H105" s="45"/>
      <c r="I105" s="45"/>
      <c r="J105" s="45"/>
      <c r="K105" s="45"/>
      <c r="L105" s="45"/>
      <c r="M105" s="45"/>
      <c r="N105" s="45"/>
      <c r="O105" s="45"/>
      <c r="P105" s="45"/>
      <c r="Q105" s="45"/>
    </row>
    <row r="106" spans="2:17" ht="68" x14ac:dyDescent="0.2">
      <c r="B106" s="46">
        <v>1060</v>
      </c>
      <c r="C106" s="59" t="s">
        <v>703</v>
      </c>
      <c r="D106" s="158" t="s">
        <v>704</v>
      </c>
      <c r="E106" s="46" t="s">
        <v>664</v>
      </c>
      <c r="F106" s="45"/>
      <c r="G106" s="45"/>
      <c r="H106" s="45"/>
      <c r="I106" s="45"/>
      <c r="J106" s="45"/>
      <c r="K106" s="45"/>
      <c r="L106" s="45"/>
      <c r="M106" s="45"/>
      <c r="N106" s="45"/>
      <c r="O106" s="45"/>
      <c r="P106" s="45"/>
      <c r="Q106" s="45"/>
    </row>
    <row r="107" spans="2:17" ht="51" x14ac:dyDescent="0.2">
      <c r="B107" s="46">
        <v>1030</v>
      </c>
      <c r="C107" s="59" t="s">
        <v>705</v>
      </c>
      <c r="D107" s="158"/>
      <c r="E107" s="46" t="s">
        <v>664</v>
      </c>
      <c r="F107" s="45"/>
      <c r="G107" s="45"/>
      <c r="H107" s="45"/>
      <c r="I107" s="45"/>
      <c r="J107" s="45"/>
      <c r="K107" s="45"/>
      <c r="L107" s="45"/>
      <c r="M107" s="45"/>
      <c r="N107" s="45"/>
      <c r="O107" s="45"/>
      <c r="P107" s="45"/>
      <c r="Q107" s="45"/>
    </row>
    <row r="108" spans="2:17" ht="51" x14ac:dyDescent="0.2">
      <c r="B108" s="46">
        <v>1360</v>
      </c>
      <c r="C108" s="59" t="s">
        <v>706</v>
      </c>
      <c r="D108" s="158"/>
      <c r="E108" s="46" t="s">
        <v>664</v>
      </c>
      <c r="F108" s="45"/>
      <c r="G108" s="45"/>
      <c r="H108" s="45"/>
      <c r="I108" s="45"/>
      <c r="J108" s="45"/>
      <c r="K108" s="45"/>
      <c r="L108" s="45"/>
      <c r="M108" s="45"/>
      <c r="N108" s="45"/>
      <c r="O108" s="45"/>
      <c r="P108" s="45"/>
      <c r="Q108" s="45"/>
    </row>
    <row r="109" spans="2:17" ht="136" x14ac:dyDescent="0.2">
      <c r="B109" s="46">
        <v>940</v>
      </c>
      <c r="C109" s="59" t="s">
        <v>707</v>
      </c>
      <c r="D109" s="159" t="s">
        <v>708</v>
      </c>
      <c r="E109" s="46" t="s">
        <v>664</v>
      </c>
      <c r="F109" s="45"/>
      <c r="G109" s="45"/>
      <c r="H109" s="45"/>
      <c r="I109" s="45"/>
      <c r="J109" s="45"/>
      <c r="K109" s="45"/>
      <c r="L109" s="45"/>
      <c r="M109" s="45"/>
      <c r="N109" s="45"/>
      <c r="O109" s="45"/>
      <c r="P109" s="45"/>
      <c r="Q109" s="45"/>
    </row>
    <row r="110" spans="2:17" ht="68" x14ac:dyDescent="0.2">
      <c r="B110" s="46">
        <v>960</v>
      </c>
      <c r="C110" s="59" t="s">
        <v>596</v>
      </c>
      <c r="D110" s="159"/>
      <c r="E110" s="46" t="s">
        <v>664</v>
      </c>
      <c r="F110" s="45"/>
      <c r="G110" s="45"/>
      <c r="H110" s="45"/>
      <c r="I110" s="45"/>
      <c r="J110" s="45"/>
      <c r="K110" s="45"/>
      <c r="L110" s="45"/>
      <c r="M110" s="45"/>
      <c r="N110" s="45"/>
      <c r="O110" s="45"/>
      <c r="P110" s="45"/>
      <c r="Q110" s="45"/>
    </row>
    <row r="111" spans="2:17" ht="51" x14ac:dyDescent="0.2">
      <c r="B111" s="46">
        <v>950</v>
      </c>
      <c r="C111" s="59" t="s">
        <v>709</v>
      </c>
      <c r="D111" s="158" t="s">
        <v>710</v>
      </c>
      <c r="E111" s="46" t="s">
        <v>664</v>
      </c>
      <c r="F111" s="45"/>
      <c r="G111" s="45"/>
      <c r="H111" s="45"/>
      <c r="I111" s="45"/>
      <c r="J111" s="45"/>
      <c r="K111" s="45"/>
      <c r="L111" s="45"/>
      <c r="M111" s="45"/>
      <c r="N111" s="45"/>
      <c r="O111" s="45"/>
      <c r="P111" s="45"/>
      <c r="Q111" s="45"/>
    </row>
    <row r="112" spans="2:17" ht="34" x14ac:dyDescent="0.2">
      <c r="B112" s="46">
        <v>980</v>
      </c>
      <c r="C112" s="59" t="s">
        <v>711</v>
      </c>
      <c r="D112" s="158"/>
      <c r="E112" s="46" t="s">
        <v>664</v>
      </c>
      <c r="F112" s="45"/>
      <c r="G112" s="45"/>
      <c r="H112" s="45"/>
      <c r="I112" s="45"/>
      <c r="J112" s="45"/>
      <c r="K112" s="45"/>
      <c r="L112" s="45"/>
      <c r="M112" s="45"/>
      <c r="N112" s="45"/>
      <c r="O112" s="45"/>
      <c r="P112" s="45"/>
      <c r="Q112" s="45"/>
    </row>
    <row r="113" spans="2:17" ht="34" x14ac:dyDescent="0.2">
      <c r="B113" s="46">
        <v>1050</v>
      </c>
      <c r="C113" s="59" t="s">
        <v>712</v>
      </c>
      <c r="D113" s="158"/>
      <c r="E113" s="46" t="s">
        <v>664</v>
      </c>
      <c r="F113" s="45"/>
      <c r="G113" s="45"/>
      <c r="H113" s="45"/>
      <c r="I113" s="45"/>
      <c r="J113" s="45"/>
      <c r="K113" s="45"/>
      <c r="L113" s="45"/>
      <c r="M113" s="45"/>
      <c r="N113" s="45"/>
      <c r="O113" s="45"/>
      <c r="P113" s="45"/>
      <c r="Q113" s="45"/>
    </row>
    <row r="114" spans="2:17" ht="34" x14ac:dyDescent="0.2">
      <c r="B114" s="46">
        <v>1010</v>
      </c>
      <c r="C114" s="59" t="s">
        <v>713</v>
      </c>
      <c r="D114" s="158"/>
      <c r="E114" s="46" t="s">
        <v>664</v>
      </c>
      <c r="F114" s="45"/>
      <c r="G114" s="45"/>
      <c r="H114" s="45"/>
      <c r="I114" s="45"/>
      <c r="J114" s="45"/>
      <c r="K114" s="45"/>
      <c r="L114" s="45"/>
      <c r="M114" s="45"/>
      <c r="N114" s="45"/>
      <c r="O114" s="45"/>
      <c r="P114" s="45"/>
      <c r="Q114" s="45"/>
    </row>
    <row r="115" spans="2:17" ht="51" x14ac:dyDescent="0.2">
      <c r="B115" s="46">
        <v>1020</v>
      </c>
      <c r="C115" s="59" t="s">
        <v>714</v>
      </c>
      <c r="D115" s="158"/>
      <c r="E115" s="46" t="s">
        <v>664</v>
      </c>
      <c r="F115" s="45"/>
      <c r="G115" s="45"/>
      <c r="H115" s="45"/>
      <c r="I115" s="45"/>
      <c r="J115" s="45"/>
      <c r="K115" s="45"/>
      <c r="L115" s="45"/>
      <c r="M115" s="45"/>
      <c r="N115" s="45"/>
      <c r="O115" s="45"/>
      <c r="P115" s="45"/>
      <c r="Q115" s="45"/>
    </row>
    <row r="116" spans="2:17" ht="17" x14ac:dyDescent="0.2">
      <c r="B116" s="46">
        <v>1040</v>
      </c>
      <c r="C116" s="59" t="s">
        <v>715</v>
      </c>
      <c r="D116" s="158"/>
      <c r="E116" s="46" t="s">
        <v>664</v>
      </c>
      <c r="F116" s="45"/>
      <c r="G116" s="45"/>
      <c r="H116" s="45"/>
      <c r="I116" s="45"/>
      <c r="J116" s="45"/>
      <c r="K116" s="45"/>
      <c r="L116" s="45"/>
      <c r="M116" s="45"/>
      <c r="N116" s="45"/>
      <c r="O116" s="45"/>
      <c r="P116" s="45"/>
      <c r="Q116" s="45"/>
    </row>
    <row r="117" spans="2:17" ht="34" x14ac:dyDescent="0.2">
      <c r="B117" s="156">
        <v>1070</v>
      </c>
      <c r="C117" s="157" t="s">
        <v>716</v>
      </c>
      <c r="D117" s="59" t="s">
        <v>717</v>
      </c>
      <c r="E117" s="156" t="s">
        <v>664</v>
      </c>
      <c r="F117" s="45"/>
      <c r="G117" s="45"/>
      <c r="H117" s="45"/>
      <c r="I117" s="45"/>
      <c r="J117" s="45"/>
      <c r="K117" s="45"/>
      <c r="L117" s="45"/>
      <c r="M117" s="45"/>
      <c r="N117" s="45"/>
      <c r="O117" s="45"/>
      <c r="P117" s="45"/>
      <c r="Q117" s="45"/>
    </row>
    <row r="118" spans="2:17" ht="17" x14ac:dyDescent="0.2">
      <c r="B118" s="156"/>
      <c r="C118" s="157"/>
      <c r="D118" s="59" t="s">
        <v>718</v>
      </c>
      <c r="E118" s="156"/>
      <c r="F118" s="45"/>
      <c r="G118" s="45"/>
      <c r="H118" s="45"/>
      <c r="I118" s="45"/>
      <c r="J118" s="45"/>
      <c r="K118" s="45"/>
      <c r="L118" s="45"/>
      <c r="M118" s="45"/>
      <c r="N118" s="45"/>
      <c r="O118" s="45"/>
      <c r="P118" s="45"/>
      <c r="Q118" s="45"/>
    </row>
    <row r="119" spans="2:17" ht="17" x14ac:dyDescent="0.2">
      <c r="B119" s="156"/>
      <c r="C119" s="157"/>
      <c r="D119" s="59" t="s">
        <v>719</v>
      </c>
      <c r="E119" s="156"/>
      <c r="F119" s="45"/>
      <c r="G119" s="45"/>
      <c r="H119" s="45"/>
      <c r="I119" s="45"/>
      <c r="J119" s="45"/>
      <c r="K119" s="45"/>
      <c r="L119" s="45"/>
      <c r="M119" s="45"/>
      <c r="N119" s="45"/>
      <c r="O119" s="45"/>
      <c r="P119" s="45"/>
      <c r="Q119" s="45"/>
    </row>
    <row r="120" spans="2:17" ht="17" x14ac:dyDescent="0.2">
      <c r="B120" s="156"/>
      <c r="C120" s="157"/>
      <c r="D120" s="59" t="s">
        <v>720</v>
      </c>
      <c r="E120" s="156"/>
      <c r="F120" s="45"/>
      <c r="G120" s="45"/>
      <c r="H120" s="45"/>
      <c r="I120" s="45"/>
      <c r="J120" s="45"/>
      <c r="K120" s="45"/>
      <c r="L120" s="45"/>
      <c r="M120" s="45"/>
      <c r="N120" s="45"/>
      <c r="O120" s="45"/>
      <c r="P120" s="45"/>
      <c r="Q120" s="45"/>
    </row>
    <row r="121" spans="2:17" ht="34" x14ac:dyDescent="0.2">
      <c r="B121" s="156"/>
      <c r="C121" s="157"/>
      <c r="D121" s="59" t="s">
        <v>721</v>
      </c>
      <c r="E121" s="156"/>
      <c r="F121" s="45"/>
      <c r="G121" s="45"/>
      <c r="H121" s="45"/>
      <c r="I121" s="45"/>
      <c r="J121" s="45"/>
      <c r="K121" s="45"/>
      <c r="L121" s="45"/>
      <c r="M121" s="45"/>
      <c r="N121" s="45"/>
      <c r="O121" s="45"/>
      <c r="P121" s="45"/>
      <c r="Q121" s="45"/>
    </row>
    <row r="122" spans="2:17" ht="17" x14ac:dyDescent="0.2">
      <c r="B122" s="156"/>
      <c r="C122" s="157"/>
      <c r="D122" s="59" t="s">
        <v>722</v>
      </c>
      <c r="E122" s="156"/>
      <c r="F122" s="45"/>
      <c r="G122" s="45"/>
      <c r="H122" s="45"/>
      <c r="I122" s="45"/>
      <c r="J122" s="45"/>
      <c r="K122" s="45"/>
      <c r="L122" s="45"/>
      <c r="M122" s="45"/>
      <c r="N122" s="45"/>
      <c r="O122" s="45"/>
      <c r="P122" s="45"/>
      <c r="Q122" s="45"/>
    </row>
    <row r="123" spans="2:17" ht="17" x14ac:dyDescent="0.2">
      <c r="B123" s="156"/>
      <c r="C123" s="157"/>
      <c r="D123" s="59" t="s">
        <v>723</v>
      </c>
      <c r="E123" s="156"/>
      <c r="F123" s="45"/>
      <c r="G123" s="45"/>
      <c r="H123" s="45"/>
      <c r="I123" s="45"/>
      <c r="J123" s="45"/>
      <c r="K123" s="45"/>
      <c r="L123" s="45"/>
      <c r="M123" s="45"/>
      <c r="N123" s="45"/>
      <c r="O123" s="45"/>
      <c r="P123" s="45"/>
      <c r="Q123" s="45"/>
    </row>
    <row r="124" spans="2:17" ht="17" x14ac:dyDescent="0.2">
      <c r="B124" s="156"/>
      <c r="C124" s="157"/>
      <c r="D124" s="59" t="s">
        <v>724</v>
      </c>
      <c r="E124" s="156"/>
      <c r="F124" s="45"/>
      <c r="G124" s="45"/>
      <c r="H124" s="45"/>
      <c r="I124" s="45"/>
      <c r="J124" s="45"/>
      <c r="K124" s="45"/>
      <c r="L124" s="45"/>
      <c r="M124" s="45"/>
      <c r="N124" s="45"/>
      <c r="O124" s="45"/>
      <c r="P124" s="45"/>
      <c r="Q124" s="45"/>
    </row>
    <row r="125" spans="2:17" ht="17" x14ac:dyDescent="0.2">
      <c r="B125" s="46">
        <v>1080</v>
      </c>
      <c r="C125" s="59" t="s">
        <v>563</v>
      </c>
      <c r="D125" s="158" t="s">
        <v>725</v>
      </c>
      <c r="E125" s="46" t="s">
        <v>664</v>
      </c>
      <c r="F125" s="45"/>
      <c r="G125" s="45"/>
      <c r="H125" s="45"/>
      <c r="I125" s="45"/>
      <c r="J125" s="45"/>
      <c r="K125" s="45"/>
      <c r="L125" s="45"/>
      <c r="M125" s="45"/>
      <c r="N125" s="45"/>
      <c r="O125" s="45"/>
      <c r="P125" s="45"/>
      <c r="Q125" s="45"/>
    </row>
    <row r="126" spans="2:17" ht="34" x14ac:dyDescent="0.2">
      <c r="B126" s="46">
        <v>1090</v>
      </c>
      <c r="C126" s="59" t="s">
        <v>567</v>
      </c>
      <c r="D126" s="158"/>
      <c r="E126" s="46" t="s">
        <v>664</v>
      </c>
      <c r="F126" s="45"/>
      <c r="G126" s="45"/>
      <c r="H126" s="45"/>
      <c r="I126" s="45"/>
      <c r="J126" s="45"/>
      <c r="K126" s="45"/>
      <c r="L126" s="45"/>
      <c r="M126" s="45"/>
      <c r="N126" s="45"/>
      <c r="O126" s="45"/>
      <c r="P126" s="45"/>
      <c r="Q126" s="45"/>
    </row>
    <row r="127" spans="2:17" ht="34" x14ac:dyDescent="0.2">
      <c r="B127" s="46">
        <v>1100</v>
      </c>
      <c r="C127" s="59" t="s">
        <v>726</v>
      </c>
      <c r="D127" s="158"/>
      <c r="E127" s="46" t="s">
        <v>664</v>
      </c>
      <c r="F127" s="45"/>
      <c r="G127" s="45"/>
      <c r="H127" s="45"/>
      <c r="I127" s="45"/>
      <c r="J127" s="45"/>
      <c r="K127" s="45"/>
      <c r="L127" s="45"/>
      <c r="M127" s="45"/>
      <c r="N127" s="45"/>
      <c r="O127" s="45"/>
      <c r="P127" s="45"/>
      <c r="Q127" s="45"/>
    </row>
    <row r="128" spans="2:17" ht="85" x14ac:dyDescent="0.2">
      <c r="B128" s="46">
        <v>990</v>
      </c>
      <c r="C128" s="59" t="s">
        <v>604</v>
      </c>
      <c r="D128" s="59" t="s">
        <v>727</v>
      </c>
      <c r="E128" s="46" t="s">
        <v>664</v>
      </c>
      <c r="F128" s="45"/>
      <c r="G128" s="45"/>
      <c r="H128" s="45"/>
      <c r="I128" s="45"/>
      <c r="J128" s="45"/>
      <c r="K128" s="45"/>
      <c r="L128" s="45"/>
      <c r="M128" s="45"/>
      <c r="N128" s="45"/>
      <c r="O128" s="45"/>
      <c r="P128" s="45"/>
      <c r="Q128" s="45"/>
    </row>
    <row r="129" spans="2:17" ht="51" x14ac:dyDescent="0.2">
      <c r="B129" s="46">
        <v>1130</v>
      </c>
      <c r="C129" s="59" t="s">
        <v>728</v>
      </c>
      <c r="D129" s="158" t="s">
        <v>729</v>
      </c>
      <c r="E129" s="46" t="s">
        <v>664</v>
      </c>
      <c r="F129" s="45"/>
      <c r="G129" s="45"/>
      <c r="H129" s="45"/>
      <c r="I129" s="45"/>
      <c r="J129" s="45"/>
      <c r="K129" s="45"/>
      <c r="L129" s="45"/>
      <c r="M129" s="45"/>
      <c r="N129" s="45"/>
      <c r="O129" s="45"/>
      <c r="P129" s="45"/>
      <c r="Q129" s="45"/>
    </row>
    <row r="130" spans="2:17" ht="34" x14ac:dyDescent="0.2">
      <c r="B130" s="46">
        <v>1140</v>
      </c>
      <c r="C130" s="59" t="s">
        <v>730</v>
      </c>
      <c r="D130" s="158"/>
      <c r="E130" s="46" t="s">
        <v>664</v>
      </c>
      <c r="F130" s="45"/>
      <c r="G130" s="45"/>
      <c r="H130" s="45"/>
      <c r="I130" s="45"/>
      <c r="J130" s="45"/>
      <c r="K130" s="45"/>
      <c r="L130" s="45"/>
      <c r="M130" s="45"/>
      <c r="N130" s="45"/>
      <c r="O130" s="45"/>
      <c r="P130" s="45"/>
      <c r="Q130" s="45"/>
    </row>
    <row r="131" spans="2:17" ht="85" x14ac:dyDescent="0.2">
      <c r="B131" s="46">
        <v>1120</v>
      </c>
      <c r="C131" s="59" t="s">
        <v>731</v>
      </c>
      <c r="D131" s="158"/>
      <c r="E131" s="46" t="s">
        <v>664</v>
      </c>
      <c r="F131" s="45"/>
      <c r="G131" s="45"/>
      <c r="H131" s="45"/>
      <c r="I131" s="45"/>
      <c r="J131" s="45"/>
      <c r="K131" s="45"/>
      <c r="L131" s="45"/>
      <c r="M131" s="45"/>
      <c r="N131" s="45"/>
      <c r="O131" s="45"/>
      <c r="P131" s="45"/>
      <c r="Q131" s="45"/>
    </row>
    <row r="132" spans="2:17" ht="289" x14ac:dyDescent="0.2">
      <c r="B132" s="46">
        <v>1150</v>
      </c>
      <c r="C132" s="59" t="s">
        <v>732</v>
      </c>
      <c r="D132" s="59" t="s">
        <v>733</v>
      </c>
      <c r="E132" s="46" t="s">
        <v>664</v>
      </c>
      <c r="F132" s="45"/>
      <c r="G132" s="45"/>
      <c r="H132" s="45"/>
      <c r="I132" s="45"/>
      <c r="J132" s="45"/>
      <c r="K132" s="45"/>
      <c r="L132" s="45"/>
      <c r="M132" s="45"/>
      <c r="N132" s="45"/>
      <c r="O132" s="45"/>
      <c r="P132" s="45"/>
      <c r="Q132" s="45"/>
    </row>
    <row r="133" spans="2:17" ht="51" x14ac:dyDescent="0.2">
      <c r="B133" s="46">
        <v>1150</v>
      </c>
      <c r="C133" s="59" t="s">
        <v>734</v>
      </c>
      <c r="D133" s="59" t="s">
        <v>735</v>
      </c>
      <c r="E133" s="46" t="s">
        <v>664</v>
      </c>
      <c r="F133" s="45"/>
      <c r="G133" s="45"/>
      <c r="H133" s="45"/>
      <c r="I133" s="45"/>
      <c r="J133" s="45"/>
      <c r="K133" s="45"/>
      <c r="L133" s="45"/>
      <c r="M133" s="45"/>
      <c r="N133" s="45"/>
      <c r="O133" s="45"/>
      <c r="P133" s="45"/>
      <c r="Q133" s="45"/>
    </row>
    <row r="134" spans="2:17" ht="34" x14ac:dyDescent="0.2">
      <c r="B134" s="46">
        <v>860</v>
      </c>
      <c r="C134" s="59" t="s">
        <v>736</v>
      </c>
      <c r="D134" s="59" t="s">
        <v>737</v>
      </c>
      <c r="E134" s="46" t="s">
        <v>664</v>
      </c>
      <c r="F134" s="45"/>
      <c r="G134" s="45"/>
      <c r="H134" s="45"/>
      <c r="I134" s="45"/>
      <c r="J134" s="45"/>
      <c r="K134" s="45"/>
      <c r="L134" s="45"/>
      <c r="M134" s="45"/>
      <c r="N134" s="45"/>
      <c r="O134" s="45"/>
      <c r="P134" s="45"/>
      <c r="Q134" s="45"/>
    </row>
    <row r="135" spans="2:17" ht="17" x14ac:dyDescent="0.2">
      <c r="B135" s="159">
        <v>110</v>
      </c>
      <c r="C135" s="157" t="s">
        <v>738</v>
      </c>
      <c r="D135" s="59" t="s">
        <v>739</v>
      </c>
      <c r="E135" s="156">
        <v>5</v>
      </c>
      <c r="F135" s="45"/>
      <c r="G135" s="45"/>
      <c r="H135" s="45"/>
      <c r="I135" s="45"/>
      <c r="J135" s="45"/>
      <c r="K135" s="45"/>
      <c r="L135" s="45"/>
      <c r="M135" s="45"/>
      <c r="N135" s="45"/>
      <c r="O135" s="45"/>
      <c r="P135" s="45"/>
      <c r="Q135" s="45"/>
    </row>
    <row r="136" spans="2:17" ht="34" x14ac:dyDescent="0.2">
      <c r="B136" s="159"/>
      <c r="C136" s="157"/>
      <c r="D136" s="59" t="s">
        <v>740</v>
      </c>
      <c r="E136" s="156"/>
      <c r="F136" s="45"/>
      <c r="G136" s="45"/>
      <c r="H136" s="45"/>
      <c r="I136" s="45"/>
      <c r="J136" s="45"/>
      <c r="K136" s="45"/>
      <c r="L136" s="45"/>
      <c r="M136" s="45"/>
      <c r="N136" s="45"/>
      <c r="O136" s="45"/>
      <c r="P136" s="45"/>
      <c r="Q136" s="45"/>
    </row>
    <row r="137" spans="2:17" ht="34" x14ac:dyDescent="0.2">
      <c r="B137" s="159"/>
      <c r="C137" s="157"/>
      <c r="D137" s="59" t="s">
        <v>741</v>
      </c>
      <c r="E137" s="156"/>
      <c r="F137" s="45"/>
      <c r="G137" s="45"/>
      <c r="H137" s="45"/>
      <c r="I137" s="45"/>
      <c r="J137" s="45"/>
      <c r="K137" s="45"/>
      <c r="L137" s="45"/>
      <c r="M137" s="45"/>
      <c r="N137" s="45"/>
      <c r="O137" s="45"/>
      <c r="P137" s="45"/>
      <c r="Q137" s="45"/>
    </row>
    <row r="138" spans="2:17" ht="17" x14ac:dyDescent="0.2">
      <c r="B138" s="159"/>
      <c r="C138" s="157"/>
      <c r="D138" s="59" t="s">
        <v>742</v>
      </c>
      <c r="E138" s="156"/>
      <c r="F138" s="45"/>
      <c r="G138" s="45"/>
      <c r="H138" s="45"/>
      <c r="I138" s="45"/>
      <c r="J138" s="45"/>
      <c r="K138" s="45"/>
      <c r="L138" s="45"/>
      <c r="M138" s="45"/>
      <c r="N138" s="45"/>
      <c r="O138" s="45"/>
      <c r="P138" s="45"/>
      <c r="Q138" s="45"/>
    </row>
    <row r="139" spans="2:17" ht="17" x14ac:dyDescent="0.2">
      <c r="B139" s="159">
        <v>410</v>
      </c>
      <c r="C139" s="157" t="s">
        <v>743</v>
      </c>
      <c r="D139" s="59" t="s">
        <v>585</v>
      </c>
      <c r="E139" s="156">
        <v>5</v>
      </c>
      <c r="F139" s="45"/>
      <c r="G139" s="45"/>
      <c r="H139" s="45"/>
      <c r="I139" s="45"/>
      <c r="J139" s="45"/>
      <c r="K139" s="45"/>
      <c r="L139" s="45"/>
      <c r="M139" s="45"/>
      <c r="N139" s="45"/>
      <c r="O139" s="45"/>
      <c r="P139" s="45"/>
      <c r="Q139" s="45"/>
    </row>
    <row r="140" spans="2:17" ht="34" x14ac:dyDescent="0.2">
      <c r="B140" s="159"/>
      <c r="C140" s="157"/>
      <c r="D140" s="59" t="s">
        <v>586</v>
      </c>
      <c r="E140" s="156"/>
      <c r="F140" s="45"/>
      <c r="G140" s="45"/>
      <c r="H140" s="45"/>
      <c r="I140" s="45"/>
      <c r="J140" s="45"/>
      <c r="K140" s="45"/>
      <c r="L140" s="45"/>
      <c r="M140" s="45"/>
      <c r="N140" s="45"/>
      <c r="O140" s="45"/>
      <c r="P140" s="45"/>
      <c r="Q140" s="45"/>
    </row>
    <row r="141" spans="2:17" ht="34" x14ac:dyDescent="0.2">
      <c r="B141" s="159"/>
      <c r="C141" s="157"/>
      <c r="D141" s="59" t="s">
        <v>587</v>
      </c>
      <c r="E141" s="156"/>
      <c r="F141" s="45"/>
      <c r="G141" s="45"/>
      <c r="H141" s="45"/>
      <c r="I141" s="45"/>
      <c r="J141" s="45"/>
      <c r="K141" s="45"/>
      <c r="L141" s="45"/>
      <c r="M141" s="45"/>
      <c r="N141" s="45"/>
      <c r="O141" s="45"/>
      <c r="P141" s="45"/>
      <c r="Q141" s="45"/>
    </row>
    <row r="142" spans="2:17" ht="17" x14ac:dyDescent="0.2">
      <c r="B142" s="159"/>
      <c r="C142" s="157"/>
      <c r="D142" s="59" t="s">
        <v>744</v>
      </c>
      <c r="E142" s="156"/>
      <c r="F142" s="45"/>
      <c r="G142" s="45"/>
      <c r="H142" s="45"/>
      <c r="I142" s="45"/>
      <c r="J142" s="45"/>
      <c r="K142" s="45"/>
      <c r="L142" s="45"/>
      <c r="M142" s="45"/>
      <c r="N142" s="45"/>
      <c r="O142" s="45"/>
      <c r="P142" s="45"/>
      <c r="Q142" s="45"/>
    </row>
    <row r="143" spans="2:17" ht="34" x14ac:dyDescent="0.2">
      <c r="B143" s="159"/>
      <c r="C143" s="157"/>
      <c r="D143" s="59" t="s">
        <v>745</v>
      </c>
      <c r="E143" s="156"/>
      <c r="F143" s="45"/>
      <c r="G143" s="45"/>
      <c r="H143" s="45"/>
      <c r="I143" s="45"/>
      <c r="J143" s="45"/>
      <c r="K143" s="45"/>
      <c r="L143" s="45"/>
      <c r="M143" s="45"/>
      <c r="N143" s="45"/>
      <c r="O143" s="45"/>
      <c r="P143" s="45"/>
      <c r="Q143" s="45"/>
    </row>
    <row r="144" spans="2:17" ht="34" x14ac:dyDescent="0.2">
      <c r="B144" s="159"/>
      <c r="C144" s="157"/>
      <c r="D144" s="59" t="s">
        <v>590</v>
      </c>
      <c r="E144" s="156"/>
      <c r="F144" s="45"/>
      <c r="G144" s="45"/>
      <c r="H144" s="45"/>
      <c r="I144" s="45"/>
      <c r="J144" s="45"/>
      <c r="K144" s="45"/>
      <c r="L144" s="45"/>
      <c r="M144" s="45"/>
      <c r="N144" s="45"/>
      <c r="O144" s="45"/>
      <c r="P144" s="45"/>
      <c r="Q144" s="45"/>
    </row>
    <row r="145" spans="2:17" ht="51" x14ac:dyDescent="0.2">
      <c r="B145" s="159"/>
      <c r="C145" s="157"/>
      <c r="D145" s="59" t="s">
        <v>746</v>
      </c>
      <c r="E145" s="156"/>
      <c r="F145" s="45"/>
      <c r="G145" s="45"/>
      <c r="H145" s="45"/>
      <c r="I145" s="45"/>
      <c r="J145" s="45"/>
      <c r="K145" s="45"/>
      <c r="L145" s="45"/>
      <c r="M145" s="45"/>
      <c r="N145" s="45"/>
      <c r="O145" s="45"/>
      <c r="P145" s="45"/>
      <c r="Q145" s="45"/>
    </row>
    <row r="146" spans="2:17" ht="34" x14ac:dyDescent="0.2">
      <c r="B146" s="159"/>
      <c r="C146" s="157"/>
      <c r="D146" s="59" t="s">
        <v>747</v>
      </c>
      <c r="E146" s="156"/>
      <c r="F146" s="45"/>
      <c r="G146" s="45"/>
      <c r="H146" s="45"/>
      <c r="I146" s="45"/>
      <c r="J146" s="45"/>
      <c r="K146" s="45"/>
      <c r="L146" s="45"/>
      <c r="M146" s="45"/>
      <c r="N146" s="45"/>
      <c r="O146" s="45"/>
      <c r="P146" s="45"/>
      <c r="Q146" s="45"/>
    </row>
    <row r="147" spans="2:17" ht="34" x14ac:dyDescent="0.2">
      <c r="B147" s="159"/>
      <c r="C147" s="157"/>
      <c r="D147" s="59" t="s">
        <v>748</v>
      </c>
      <c r="E147" s="156"/>
      <c r="F147" s="45"/>
      <c r="G147" s="45"/>
      <c r="H147" s="45"/>
      <c r="I147" s="45"/>
      <c r="J147" s="45"/>
      <c r="K147" s="45"/>
      <c r="L147" s="45"/>
      <c r="M147" s="45"/>
      <c r="N147" s="45"/>
      <c r="O147" s="45"/>
      <c r="P147" s="45"/>
      <c r="Q147" s="45"/>
    </row>
    <row r="148" spans="2:17" ht="51" x14ac:dyDescent="0.2">
      <c r="B148" s="159"/>
      <c r="C148" s="157"/>
      <c r="D148" s="59" t="s">
        <v>749</v>
      </c>
      <c r="E148" s="156"/>
      <c r="F148" s="45"/>
      <c r="G148" s="45"/>
      <c r="H148" s="45"/>
      <c r="I148" s="45"/>
      <c r="J148" s="45"/>
      <c r="K148" s="45"/>
      <c r="L148" s="45"/>
      <c r="M148" s="45"/>
      <c r="N148" s="45"/>
      <c r="O148" s="45"/>
      <c r="P148" s="45"/>
      <c r="Q148" s="45"/>
    </row>
    <row r="149" spans="2:17" ht="51" x14ac:dyDescent="0.2">
      <c r="B149" s="159"/>
      <c r="C149" s="157"/>
      <c r="D149" s="59" t="s">
        <v>750</v>
      </c>
      <c r="E149" s="156"/>
      <c r="F149" s="45"/>
      <c r="G149" s="45"/>
      <c r="H149" s="45"/>
      <c r="I149" s="45"/>
      <c r="J149" s="45"/>
      <c r="K149" s="45"/>
      <c r="L149" s="45"/>
      <c r="M149" s="45"/>
      <c r="N149" s="45"/>
      <c r="O149" s="45"/>
      <c r="P149" s="45"/>
      <c r="Q149" s="45"/>
    </row>
    <row r="150" spans="2:17" ht="34" x14ac:dyDescent="0.2">
      <c r="B150" s="159"/>
      <c r="C150" s="157"/>
      <c r="D150" s="59" t="s">
        <v>751</v>
      </c>
      <c r="E150" s="156"/>
      <c r="F150" s="45"/>
      <c r="G150" s="45"/>
      <c r="H150" s="45"/>
      <c r="I150" s="45"/>
      <c r="J150" s="45"/>
      <c r="K150" s="45"/>
      <c r="L150" s="45"/>
      <c r="M150" s="45"/>
      <c r="N150" s="45"/>
      <c r="O150" s="45"/>
      <c r="P150" s="45"/>
      <c r="Q150" s="45"/>
    </row>
    <row r="151" spans="2:17" ht="17" x14ac:dyDescent="0.2">
      <c r="B151" s="159"/>
      <c r="C151" s="157"/>
      <c r="D151" s="59" t="s">
        <v>752</v>
      </c>
      <c r="E151" s="156"/>
      <c r="F151" s="45"/>
      <c r="G151" s="45"/>
      <c r="H151" s="45"/>
      <c r="I151" s="45"/>
      <c r="J151" s="45"/>
      <c r="K151" s="45"/>
      <c r="L151" s="45"/>
      <c r="M151" s="45"/>
      <c r="N151" s="45"/>
      <c r="O151" s="45"/>
      <c r="P151" s="45"/>
      <c r="Q151" s="45"/>
    </row>
    <row r="152" spans="2:17" ht="17" x14ac:dyDescent="0.2">
      <c r="B152" s="159"/>
      <c r="C152" s="157"/>
      <c r="D152" s="59" t="s">
        <v>753</v>
      </c>
      <c r="E152" s="156"/>
      <c r="F152" s="45"/>
      <c r="G152" s="45"/>
      <c r="H152" s="45"/>
      <c r="I152" s="45"/>
      <c r="J152" s="45"/>
      <c r="K152" s="45"/>
      <c r="L152" s="45"/>
      <c r="M152" s="45"/>
      <c r="N152" s="45"/>
      <c r="O152" s="45"/>
      <c r="P152" s="45"/>
      <c r="Q152" s="45"/>
    </row>
    <row r="153" spans="2:17" ht="51" x14ac:dyDescent="0.2">
      <c r="B153" s="46">
        <v>782</v>
      </c>
      <c r="C153" s="59" t="s">
        <v>754</v>
      </c>
      <c r="D153" s="59" t="s">
        <v>755</v>
      </c>
      <c r="E153" s="46">
        <v>5</v>
      </c>
      <c r="F153" s="45"/>
      <c r="G153" s="45"/>
      <c r="H153" s="45"/>
      <c r="I153" s="45"/>
      <c r="J153" s="45"/>
      <c r="K153" s="45"/>
      <c r="L153" s="45"/>
      <c r="M153" s="45"/>
      <c r="N153" s="45"/>
      <c r="O153" s="45"/>
      <c r="P153" s="45"/>
      <c r="Q153" s="45"/>
    </row>
    <row r="154" spans="2:17" ht="68" x14ac:dyDescent="0.2">
      <c r="B154" s="46">
        <v>1060</v>
      </c>
      <c r="C154" s="59" t="s">
        <v>703</v>
      </c>
      <c r="D154" s="59" t="s">
        <v>756</v>
      </c>
      <c r="E154" s="46">
        <v>5</v>
      </c>
      <c r="F154" s="45"/>
      <c r="G154" s="45"/>
      <c r="H154" s="45"/>
      <c r="I154" s="45"/>
      <c r="J154" s="45"/>
      <c r="K154" s="45"/>
      <c r="L154" s="45"/>
      <c r="M154" s="45"/>
      <c r="N154" s="45"/>
      <c r="O154" s="45"/>
      <c r="P154" s="45"/>
      <c r="Q154" s="45"/>
    </row>
    <row r="155" spans="2:17" ht="119" x14ac:dyDescent="0.2">
      <c r="B155" s="46">
        <v>1153</v>
      </c>
      <c r="C155" s="59" t="s">
        <v>757</v>
      </c>
      <c r="D155" s="59" t="s">
        <v>758</v>
      </c>
      <c r="E155" s="46">
        <v>5</v>
      </c>
      <c r="F155" s="45"/>
      <c r="G155" s="45"/>
      <c r="H155" s="45"/>
      <c r="I155" s="45"/>
      <c r="J155" s="45"/>
      <c r="K155" s="45"/>
      <c r="L155" s="45"/>
      <c r="M155" s="45"/>
      <c r="N155" s="45"/>
      <c r="O155" s="45"/>
      <c r="P155" s="45"/>
      <c r="Q155" s="45"/>
    </row>
    <row r="156" spans="2:17" ht="17" x14ac:dyDescent="0.2">
      <c r="B156" s="156">
        <v>1160</v>
      </c>
      <c r="C156" s="157" t="s">
        <v>759</v>
      </c>
      <c r="D156" s="59" t="s">
        <v>760</v>
      </c>
      <c r="E156" s="46">
        <v>5</v>
      </c>
      <c r="F156" s="45"/>
      <c r="G156" s="45"/>
      <c r="H156" s="45"/>
      <c r="I156" s="45"/>
      <c r="J156" s="45"/>
      <c r="K156" s="45"/>
      <c r="L156" s="45"/>
      <c r="M156" s="45"/>
      <c r="N156" s="45"/>
      <c r="O156" s="45"/>
      <c r="P156" s="45"/>
      <c r="Q156" s="45"/>
    </row>
    <row r="157" spans="2:17" ht="17" x14ac:dyDescent="0.2">
      <c r="B157" s="156"/>
      <c r="C157" s="157"/>
      <c r="D157" s="59" t="s">
        <v>761</v>
      </c>
      <c r="E157" s="46">
        <v>5</v>
      </c>
      <c r="F157" s="45"/>
      <c r="G157" s="45"/>
      <c r="H157" s="45"/>
      <c r="I157" s="45"/>
      <c r="J157" s="45"/>
      <c r="K157" s="45"/>
      <c r="L157" s="45"/>
      <c r="M157" s="45"/>
      <c r="N157" s="45"/>
      <c r="O157" s="45"/>
      <c r="P157" s="45"/>
      <c r="Q157" s="45"/>
    </row>
    <row r="158" spans="2:17" ht="34" x14ac:dyDescent="0.2">
      <c r="B158" s="156"/>
      <c r="C158" s="157"/>
      <c r="D158" s="59" t="s">
        <v>762</v>
      </c>
      <c r="E158" s="46">
        <v>5</v>
      </c>
      <c r="F158" s="45"/>
      <c r="G158" s="45"/>
      <c r="H158" s="45"/>
      <c r="I158" s="45"/>
      <c r="J158" s="45"/>
      <c r="K158" s="45"/>
      <c r="L158" s="45"/>
      <c r="M158" s="45"/>
      <c r="N158" s="45"/>
      <c r="O158" s="45"/>
      <c r="P158" s="45"/>
      <c r="Q158" s="45"/>
    </row>
    <row r="159" spans="2:17" ht="34" x14ac:dyDescent="0.2">
      <c r="B159" s="156"/>
      <c r="C159" s="157"/>
      <c r="D159" s="59" t="s">
        <v>763</v>
      </c>
      <c r="E159" s="46">
        <v>5</v>
      </c>
      <c r="F159" s="45"/>
      <c r="G159" s="45"/>
      <c r="H159" s="45"/>
      <c r="I159" s="45"/>
      <c r="J159" s="45"/>
      <c r="K159" s="45"/>
      <c r="L159" s="45"/>
      <c r="M159" s="45"/>
      <c r="N159" s="45"/>
      <c r="O159" s="45"/>
      <c r="P159" s="45"/>
      <c r="Q159" s="45"/>
    </row>
    <row r="160" spans="2:17" ht="34" x14ac:dyDescent="0.2">
      <c r="B160" s="156"/>
      <c r="C160" s="157"/>
      <c r="D160" s="59" t="s">
        <v>764</v>
      </c>
      <c r="E160" s="46">
        <v>5</v>
      </c>
      <c r="F160" s="45"/>
      <c r="G160" s="45"/>
      <c r="H160" s="45"/>
      <c r="I160" s="45"/>
      <c r="J160" s="45"/>
      <c r="K160" s="45"/>
      <c r="L160" s="45"/>
      <c r="M160" s="45"/>
      <c r="N160" s="45"/>
      <c r="O160" s="45"/>
      <c r="P160" s="45"/>
      <c r="Q160" s="45"/>
    </row>
    <row r="161" spans="2:17" ht="34" x14ac:dyDescent="0.2">
      <c r="B161" s="156">
        <v>1180</v>
      </c>
      <c r="C161" s="157" t="s">
        <v>765</v>
      </c>
      <c r="D161" s="59" t="s">
        <v>766</v>
      </c>
      <c r="E161" s="46">
        <v>5</v>
      </c>
      <c r="F161" s="45"/>
      <c r="G161" s="45"/>
      <c r="H161" s="45"/>
      <c r="I161" s="45"/>
      <c r="J161" s="45"/>
      <c r="K161" s="45"/>
      <c r="L161" s="45"/>
      <c r="M161" s="45"/>
      <c r="N161" s="45"/>
      <c r="O161" s="45"/>
      <c r="P161" s="45"/>
      <c r="Q161" s="45"/>
    </row>
    <row r="162" spans="2:17" ht="34" x14ac:dyDescent="0.2">
      <c r="B162" s="156"/>
      <c r="C162" s="157"/>
      <c r="D162" s="59" t="s">
        <v>767</v>
      </c>
      <c r="E162" s="46">
        <v>5</v>
      </c>
      <c r="F162" s="45"/>
      <c r="G162" s="45"/>
      <c r="H162" s="45"/>
      <c r="I162" s="45"/>
      <c r="J162" s="45"/>
      <c r="K162" s="45"/>
      <c r="L162" s="45"/>
      <c r="M162" s="45"/>
      <c r="N162" s="45"/>
      <c r="O162" s="45"/>
      <c r="P162" s="45"/>
      <c r="Q162" s="45"/>
    </row>
    <row r="163" spans="2:17" ht="34" x14ac:dyDescent="0.2">
      <c r="B163" s="156">
        <v>1190</v>
      </c>
      <c r="C163" s="157" t="s">
        <v>768</v>
      </c>
      <c r="D163" s="59" t="s">
        <v>769</v>
      </c>
      <c r="E163" s="46">
        <v>5</v>
      </c>
      <c r="F163" s="45"/>
      <c r="G163" s="45"/>
      <c r="H163" s="45"/>
      <c r="I163" s="45"/>
      <c r="J163" s="45"/>
      <c r="K163" s="45"/>
      <c r="L163" s="45"/>
      <c r="M163" s="45"/>
      <c r="N163" s="45"/>
      <c r="O163" s="45"/>
      <c r="P163" s="45"/>
      <c r="Q163" s="45"/>
    </row>
    <row r="164" spans="2:17" ht="51" x14ac:dyDescent="0.2">
      <c r="B164" s="156"/>
      <c r="C164" s="157"/>
      <c r="D164" s="59" t="s">
        <v>770</v>
      </c>
      <c r="E164" s="46">
        <v>5</v>
      </c>
      <c r="F164" s="45"/>
      <c r="G164" s="45"/>
      <c r="H164" s="45"/>
      <c r="I164" s="45"/>
      <c r="J164" s="45"/>
      <c r="K164" s="45"/>
      <c r="L164" s="45"/>
      <c r="M164" s="45"/>
      <c r="N164" s="45"/>
      <c r="O164" s="45"/>
      <c r="P164" s="45"/>
      <c r="Q164" s="45"/>
    </row>
    <row r="165" spans="2:17" ht="34" x14ac:dyDescent="0.2">
      <c r="B165" s="156"/>
      <c r="C165" s="157"/>
      <c r="D165" s="59" t="s">
        <v>771</v>
      </c>
      <c r="E165" s="46">
        <v>5</v>
      </c>
      <c r="F165" s="45"/>
      <c r="G165" s="45"/>
      <c r="H165" s="45"/>
      <c r="I165" s="45"/>
      <c r="J165" s="45"/>
      <c r="K165" s="45"/>
      <c r="L165" s="45"/>
      <c r="M165" s="45"/>
      <c r="N165" s="45"/>
      <c r="O165" s="45"/>
      <c r="P165" s="45"/>
      <c r="Q165" s="45"/>
    </row>
    <row r="166" spans="2:17" ht="17" x14ac:dyDescent="0.2">
      <c r="B166" s="156"/>
      <c r="C166" s="157"/>
      <c r="D166" s="59" t="s">
        <v>772</v>
      </c>
      <c r="E166" s="46">
        <v>5</v>
      </c>
      <c r="F166" s="45"/>
      <c r="G166" s="45"/>
      <c r="H166" s="45"/>
      <c r="I166" s="45"/>
      <c r="J166" s="45"/>
      <c r="K166" s="45"/>
      <c r="L166" s="45"/>
      <c r="M166" s="45"/>
      <c r="N166" s="45"/>
      <c r="O166" s="45"/>
      <c r="P166" s="45"/>
      <c r="Q166" s="45"/>
    </row>
    <row r="167" spans="2:17" ht="119" x14ac:dyDescent="0.2">
      <c r="B167" s="156"/>
      <c r="C167" s="157"/>
      <c r="D167" s="59" t="s">
        <v>773</v>
      </c>
      <c r="E167" s="46">
        <v>5</v>
      </c>
      <c r="F167" s="45"/>
      <c r="G167" s="45"/>
      <c r="H167" s="45"/>
      <c r="I167" s="45"/>
      <c r="J167" s="45"/>
      <c r="K167" s="45"/>
      <c r="L167" s="45"/>
      <c r="M167" s="45"/>
      <c r="N167" s="45"/>
      <c r="O167" s="45"/>
      <c r="P167" s="45"/>
      <c r="Q167" s="45"/>
    </row>
    <row r="168" spans="2:17" ht="34" x14ac:dyDescent="0.2">
      <c r="B168" s="156"/>
      <c r="C168" s="157"/>
      <c r="D168" s="59" t="s">
        <v>774</v>
      </c>
      <c r="E168" s="46">
        <v>5</v>
      </c>
      <c r="F168" s="45"/>
      <c r="G168" s="45"/>
      <c r="H168" s="45"/>
      <c r="I168" s="45"/>
      <c r="J168" s="45"/>
      <c r="K168" s="45"/>
      <c r="L168" s="45"/>
      <c r="M168" s="45"/>
      <c r="N168" s="45"/>
      <c r="O168" s="45"/>
      <c r="P168" s="45"/>
      <c r="Q168" s="45"/>
    </row>
    <row r="169" spans="2:17" ht="17" x14ac:dyDescent="0.2">
      <c r="B169" s="156">
        <v>1191</v>
      </c>
      <c r="C169" s="157" t="s">
        <v>775</v>
      </c>
      <c r="D169" s="59" t="s">
        <v>585</v>
      </c>
      <c r="E169" s="46">
        <v>5</v>
      </c>
      <c r="F169" s="45"/>
      <c r="G169" s="45"/>
      <c r="H169" s="45"/>
      <c r="I169" s="45"/>
      <c r="J169" s="45"/>
      <c r="K169" s="45"/>
      <c r="L169" s="45"/>
      <c r="M169" s="45"/>
      <c r="N169" s="45"/>
      <c r="O169" s="45"/>
      <c r="P169" s="45"/>
      <c r="Q169" s="45"/>
    </row>
    <row r="170" spans="2:17" ht="34" x14ac:dyDescent="0.2">
      <c r="B170" s="156"/>
      <c r="C170" s="157"/>
      <c r="D170" s="59" t="s">
        <v>586</v>
      </c>
      <c r="E170" s="46">
        <v>5</v>
      </c>
      <c r="F170" s="45"/>
      <c r="G170" s="45"/>
      <c r="H170" s="45"/>
      <c r="I170" s="45"/>
      <c r="J170" s="45"/>
      <c r="K170" s="45"/>
      <c r="L170" s="45"/>
      <c r="M170" s="45"/>
      <c r="N170" s="45"/>
      <c r="O170" s="45"/>
      <c r="P170" s="45"/>
      <c r="Q170" s="45"/>
    </row>
    <row r="171" spans="2:17" ht="34" x14ac:dyDescent="0.2">
      <c r="B171" s="156"/>
      <c r="C171" s="157"/>
      <c r="D171" s="59" t="s">
        <v>776</v>
      </c>
      <c r="E171" s="46">
        <v>5</v>
      </c>
      <c r="F171" s="45"/>
      <c r="G171" s="45"/>
      <c r="H171" s="45"/>
      <c r="I171" s="45"/>
      <c r="J171" s="45"/>
      <c r="K171" s="45"/>
      <c r="L171" s="45"/>
      <c r="M171" s="45"/>
      <c r="N171" s="45"/>
      <c r="O171" s="45"/>
      <c r="P171" s="45"/>
      <c r="Q171" s="45"/>
    </row>
    <row r="172" spans="2:17" ht="17" x14ac:dyDescent="0.2">
      <c r="B172" s="156"/>
      <c r="C172" s="157"/>
      <c r="D172" s="59" t="s">
        <v>777</v>
      </c>
      <c r="E172" s="46">
        <v>5</v>
      </c>
      <c r="F172" s="45"/>
      <c r="G172" s="45"/>
      <c r="H172" s="45"/>
      <c r="I172" s="45"/>
      <c r="J172" s="45"/>
      <c r="K172" s="45"/>
      <c r="L172" s="45"/>
      <c r="M172" s="45"/>
      <c r="N172" s="45"/>
      <c r="O172" s="45"/>
      <c r="P172" s="45"/>
      <c r="Q172" s="45"/>
    </row>
    <row r="173" spans="2:17" ht="34" x14ac:dyDescent="0.2">
      <c r="B173" s="156"/>
      <c r="C173" s="157"/>
      <c r="D173" s="59" t="s">
        <v>778</v>
      </c>
      <c r="E173" s="46">
        <v>5</v>
      </c>
      <c r="F173" s="45"/>
      <c r="G173" s="45"/>
      <c r="H173" s="45"/>
      <c r="I173" s="45"/>
      <c r="J173" s="45"/>
      <c r="K173" s="45"/>
      <c r="L173" s="45"/>
      <c r="M173" s="45"/>
      <c r="N173" s="45"/>
      <c r="O173" s="45"/>
      <c r="P173" s="45"/>
      <c r="Q173" s="45"/>
    </row>
    <row r="174" spans="2:17" ht="34" x14ac:dyDescent="0.2">
      <c r="B174" s="156"/>
      <c r="C174" s="157"/>
      <c r="D174" s="59" t="s">
        <v>779</v>
      </c>
      <c r="E174" s="46">
        <v>5</v>
      </c>
      <c r="F174" s="45"/>
      <c r="G174" s="45"/>
      <c r="H174" s="45"/>
      <c r="I174" s="45"/>
      <c r="J174" s="45"/>
      <c r="K174" s="45"/>
      <c r="L174" s="45"/>
      <c r="M174" s="45"/>
      <c r="N174" s="45"/>
      <c r="O174" s="45"/>
      <c r="P174" s="45"/>
      <c r="Q174" s="45"/>
    </row>
    <row r="175" spans="2:17" ht="17" x14ac:dyDescent="0.2">
      <c r="B175" s="156"/>
      <c r="C175" s="157"/>
      <c r="D175" s="59" t="s">
        <v>780</v>
      </c>
      <c r="E175" s="46">
        <v>5</v>
      </c>
      <c r="F175" s="45"/>
      <c r="G175" s="45"/>
      <c r="H175" s="45"/>
      <c r="I175" s="45"/>
      <c r="J175" s="45"/>
      <c r="K175" s="45"/>
      <c r="L175" s="45"/>
      <c r="M175" s="45"/>
      <c r="N175" s="45"/>
      <c r="O175" s="45"/>
      <c r="P175" s="45"/>
      <c r="Q175" s="45"/>
    </row>
    <row r="176" spans="2:17" ht="170" x14ac:dyDescent="0.2">
      <c r="B176" s="156"/>
      <c r="C176" s="157"/>
      <c r="D176" s="59" t="s">
        <v>781</v>
      </c>
      <c r="E176" s="46">
        <v>5</v>
      </c>
      <c r="F176" s="45"/>
      <c r="G176" s="45"/>
      <c r="H176" s="45"/>
      <c r="I176" s="45"/>
      <c r="J176" s="45"/>
      <c r="K176" s="45"/>
      <c r="L176" s="45"/>
      <c r="M176" s="45"/>
      <c r="N176" s="45"/>
      <c r="O176" s="45"/>
      <c r="P176" s="45"/>
      <c r="Q176" s="45"/>
    </row>
    <row r="177" spans="2:17" ht="34" x14ac:dyDescent="0.2">
      <c r="B177" s="156">
        <v>1192</v>
      </c>
      <c r="C177" s="157" t="s">
        <v>782</v>
      </c>
      <c r="D177" s="59" t="s">
        <v>783</v>
      </c>
      <c r="E177" s="46">
        <v>5</v>
      </c>
      <c r="F177" s="45"/>
      <c r="G177" s="45"/>
      <c r="H177" s="45"/>
      <c r="I177" s="45"/>
      <c r="J177" s="45"/>
      <c r="K177" s="45"/>
      <c r="L177" s="45"/>
      <c r="M177" s="45"/>
      <c r="N177" s="45"/>
      <c r="O177" s="45"/>
      <c r="P177" s="45"/>
      <c r="Q177" s="45"/>
    </row>
    <row r="178" spans="2:17" ht="17" x14ac:dyDescent="0.2">
      <c r="B178" s="156"/>
      <c r="C178" s="157"/>
      <c r="D178" s="59" t="s">
        <v>784</v>
      </c>
      <c r="E178" s="46">
        <v>5</v>
      </c>
      <c r="F178" s="45"/>
      <c r="G178" s="45"/>
      <c r="H178" s="45"/>
      <c r="I178" s="45"/>
      <c r="J178" s="45"/>
      <c r="K178" s="45"/>
      <c r="L178" s="45"/>
      <c r="M178" s="45"/>
      <c r="N178" s="45"/>
      <c r="O178" s="45"/>
      <c r="P178" s="45"/>
      <c r="Q178" s="45"/>
    </row>
    <row r="179" spans="2:17" ht="17" x14ac:dyDescent="0.2">
      <c r="B179" s="156"/>
      <c r="C179" s="157"/>
      <c r="D179" s="59" t="s">
        <v>785</v>
      </c>
      <c r="E179" s="46">
        <v>5</v>
      </c>
      <c r="F179" s="45"/>
      <c r="G179" s="45"/>
      <c r="H179" s="45"/>
      <c r="I179" s="45"/>
      <c r="J179" s="45"/>
      <c r="K179" s="45"/>
      <c r="L179" s="45"/>
      <c r="M179" s="45"/>
      <c r="N179" s="45"/>
      <c r="O179" s="45"/>
      <c r="P179" s="45"/>
      <c r="Q179" s="45"/>
    </row>
    <row r="180" spans="2:17" ht="17" x14ac:dyDescent="0.2">
      <c r="B180" s="156"/>
      <c r="C180" s="157"/>
      <c r="D180" s="59" t="s">
        <v>786</v>
      </c>
      <c r="E180" s="46">
        <v>5</v>
      </c>
      <c r="F180" s="45"/>
      <c r="G180" s="45"/>
      <c r="H180" s="45"/>
      <c r="I180" s="45"/>
      <c r="J180" s="45"/>
      <c r="K180" s="45"/>
      <c r="L180" s="45"/>
      <c r="M180" s="45"/>
      <c r="N180" s="45"/>
      <c r="O180" s="45"/>
      <c r="P180" s="45"/>
      <c r="Q180" s="45"/>
    </row>
    <row r="181" spans="2:17" ht="17" x14ac:dyDescent="0.2">
      <c r="B181" s="156"/>
      <c r="C181" s="157"/>
      <c r="D181" s="59" t="s">
        <v>787</v>
      </c>
      <c r="E181" s="46">
        <v>5</v>
      </c>
      <c r="F181" s="45"/>
      <c r="G181" s="45"/>
      <c r="H181" s="45"/>
      <c r="I181" s="45"/>
      <c r="J181" s="45"/>
      <c r="K181" s="45"/>
      <c r="L181" s="45"/>
      <c r="M181" s="45"/>
      <c r="N181" s="45"/>
      <c r="O181" s="45"/>
      <c r="P181" s="45"/>
      <c r="Q181" s="45"/>
    </row>
    <row r="182" spans="2:17" ht="34" x14ac:dyDescent="0.2">
      <c r="B182" s="156"/>
      <c r="C182" s="157"/>
      <c r="D182" s="59" t="s">
        <v>788</v>
      </c>
      <c r="E182" s="46">
        <v>5</v>
      </c>
      <c r="F182" s="45"/>
      <c r="G182" s="45"/>
      <c r="H182" s="45"/>
      <c r="I182" s="45"/>
      <c r="J182" s="45"/>
      <c r="K182" s="45"/>
      <c r="L182" s="45"/>
      <c r="M182" s="45"/>
      <c r="N182" s="45"/>
      <c r="O182" s="45"/>
      <c r="P182" s="45"/>
      <c r="Q182" s="45"/>
    </row>
    <row r="183" spans="2:17" ht="17" x14ac:dyDescent="0.2">
      <c r="B183" s="156"/>
      <c r="C183" s="157"/>
      <c r="D183" s="59" t="s">
        <v>789</v>
      </c>
      <c r="E183" s="46">
        <v>5</v>
      </c>
      <c r="F183" s="45"/>
      <c r="G183" s="45"/>
      <c r="H183" s="45"/>
      <c r="I183" s="45"/>
      <c r="J183" s="45"/>
      <c r="K183" s="45"/>
      <c r="L183" s="45"/>
      <c r="M183" s="45"/>
      <c r="N183" s="45"/>
      <c r="O183" s="45"/>
      <c r="P183" s="45"/>
      <c r="Q183" s="45"/>
    </row>
    <row r="184" spans="2:17" ht="34" x14ac:dyDescent="0.2">
      <c r="B184" s="156"/>
      <c r="C184" s="157"/>
      <c r="D184" s="59" t="s">
        <v>790</v>
      </c>
      <c r="E184" s="46">
        <v>5</v>
      </c>
      <c r="F184" s="45"/>
      <c r="G184" s="45"/>
      <c r="H184" s="45"/>
      <c r="I184" s="45"/>
      <c r="J184" s="45"/>
      <c r="K184" s="45"/>
      <c r="L184" s="45"/>
      <c r="M184" s="45"/>
      <c r="N184" s="45"/>
      <c r="O184" s="45"/>
      <c r="P184" s="45"/>
      <c r="Q184" s="45"/>
    </row>
    <row r="185" spans="2:17" ht="34" x14ac:dyDescent="0.2">
      <c r="B185" s="156">
        <v>1193</v>
      </c>
      <c r="C185" s="157" t="s">
        <v>791</v>
      </c>
      <c r="D185" s="59" t="s">
        <v>792</v>
      </c>
      <c r="E185" s="46">
        <v>5</v>
      </c>
      <c r="F185" s="45"/>
      <c r="G185" s="45"/>
      <c r="H185" s="45"/>
      <c r="I185" s="45"/>
      <c r="J185" s="45"/>
      <c r="K185" s="45"/>
      <c r="L185" s="45"/>
      <c r="M185" s="45"/>
      <c r="N185" s="45"/>
      <c r="O185" s="45"/>
      <c r="P185" s="45"/>
      <c r="Q185" s="45"/>
    </row>
    <row r="186" spans="2:17" ht="51" x14ac:dyDescent="0.2">
      <c r="B186" s="156"/>
      <c r="C186" s="157"/>
      <c r="D186" s="64" t="s">
        <v>793</v>
      </c>
      <c r="E186" s="46">
        <v>5</v>
      </c>
      <c r="F186" s="45"/>
      <c r="G186" s="45"/>
      <c r="H186" s="45"/>
      <c r="I186" s="45"/>
      <c r="J186" s="45"/>
      <c r="K186" s="45"/>
      <c r="L186" s="45"/>
      <c r="M186" s="45"/>
      <c r="N186" s="45"/>
      <c r="O186" s="45"/>
      <c r="P186" s="45"/>
      <c r="Q186" s="45"/>
    </row>
    <row r="187" spans="2:17" ht="17" x14ac:dyDescent="0.2">
      <c r="B187" s="156"/>
      <c r="C187" s="157"/>
      <c r="D187" s="59" t="s">
        <v>794</v>
      </c>
      <c r="E187" s="46">
        <v>5</v>
      </c>
      <c r="F187" s="45"/>
      <c r="G187" s="45"/>
      <c r="H187" s="45"/>
      <c r="I187" s="45"/>
      <c r="J187" s="45"/>
      <c r="K187" s="45"/>
      <c r="L187" s="45"/>
      <c r="M187" s="45"/>
      <c r="N187" s="45"/>
      <c r="O187" s="45"/>
      <c r="P187" s="45"/>
      <c r="Q187" s="45"/>
    </row>
    <row r="188" spans="2:17" ht="17" x14ac:dyDescent="0.2">
      <c r="B188" s="156"/>
      <c r="C188" s="157"/>
      <c r="D188" s="59" t="s">
        <v>795</v>
      </c>
      <c r="E188" s="46">
        <v>5</v>
      </c>
      <c r="F188" s="45"/>
      <c r="G188" s="45"/>
      <c r="H188" s="45"/>
      <c r="I188" s="45"/>
      <c r="J188" s="45"/>
      <c r="K188" s="45"/>
      <c r="L188" s="45"/>
      <c r="M188" s="45"/>
      <c r="N188" s="45"/>
      <c r="O188" s="45"/>
      <c r="P188" s="45"/>
      <c r="Q188" s="45"/>
    </row>
    <row r="189" spans="2:17" ht="17" x14ac:dyDescent="0.2">
      <c r="B189" s="156"/>
      <c r="C189" s="157"/>
      <c r="D189" s="59" t="s">
        <v>796</v>
      </c>
      <c r="E189" s="46">
        <v>5</v>
      </c>
      <c r="F189" s="45"/>
      <c r="G189" s="45"/>
      <c r="H189" s="45"/>
      <c r="I189" s="45"/>
      <c r="J189" s="45"/>
      <c r="K189" s="45"/>
      <c r="L189" s="45"/>
      <c r="M189" s="45"/>
      <c r="N189" s="45"/>
      <c r="O189" s="45"/>
      <c r="P189" s="45"/>
      <c r="Q189" s="45"/>
    </row>
    <row r="190" spans="2:17" ht="51" x14ac:dyDescent="0.2">
      <c r="B190" s="156"/>
      <c r="C190" s="157"/>
      <c r="D190" s="59" t="s">
        <v>797</v>
      </c>
      <c r="E190" s="46">
        <v>5</v>
      </c>
      <c r="F190" s="45"/>
      <c r="G190" s="45"/>
      <c r="H190" s="45"/>
      <c r="I190" s="45"/>
      <c r="J190" s="45"/>
      <c r="K190" s="45"/>
      <c r="L190" s="45"/>
      <c r="M190" s="45"/>
      <c r="N190" s="45"/>
      <c r="O190" s="45"/>
      <c r="P190" s="45"/>
      <c r="Q190" s="45"/>
    </row>
    <row r="191" spans="2:17" ht="17" x14ac:dyDescent="0.2">
      <c r="B191" s="156"/>
      <c r="C191" s="157"/>
      <c r="D191" s="59" t="s">
        <v>798</v>
      </c>
      <c r="E191" s="46">
        <v>5</v>
      </c>
      <c r="F191" s="45"/>
      <c r="G191" s="45"/>
      <c r="H191" s="45"/>
      <c r="I191" s="45"/>
      <c r="J191" s="45"/>
      <c r="K191" s="45"/>
      <c r="L191" s="45"/>
      <c r="M191" s="45"/>
      <c r="N191" s="45"/>
      <c r="O191" s="45"/>
      <c r="P191" s="45"/>
      <c r="Q191" s="45"/>
    </row>
    <row r="192" spans="2:17" ht="68" x14ac:dyDescent="0.2">
      <c r="B192" s="46">
        <v>1210</v>
      </c>
      <c r="C192" s="59" t="s">
        <v>799</v>
      </c>
      <c r="D192" s="59" t="s">
        <v>800</v>
      </c>
      <c r="E192" s="46">
        <v>5</v>
      </c>
      <c r="F192" s="45"/>
      <c r="G192" s="45"/>
      <c r="H192" s="45"/>
      <c r="I192" s="45"/>
      <c r="J192" s="45"/>
      <c r="K192" s="45"/>
      <c r="L192" s="45"/>
      <c r="M192" s="45"/>
      <c r="N192" s="45"/>
      <c r="O192" s="45"/>
      <c r="P192" s="45"/>
      <c r="Q192" s="45"/>
    </row>
    <row r="193" spans="2:17" ht="51" x14ac:dyDescent="0.2">
      <c r="B193" s="46">
        <v>1230</v>
      </c>
      <c r="C193" s="59" t="s">
        <v>801</v>
      </c>
      <c r="D193" s="59" t="s">
        <v>802</v>
      </c>
      <c r="E193" s="46">
        <v>5</v>
      </c>
      <c r="F193" s="45"/>
      <c r="G193" s="45"/>
      <c r="H193" s="45"/>
      <c r="I193" s="45"/>
      <c r="J193" s="45"/>
      <c r="K193" s="45"/>
      <c r="L193" s="45"/>
      <c r="M193" s="45"/>
      <c r="N193" s="45"/>
      <c r="O193" s="45"/>
      <c r="P193" s="45"/>
      <c r="Q193" s="45"/>
    </row>
    <row r="194" spans="2:17" ht="17" x14ac:dyDescent="0.2">
      <c r="B194" s="156">
        <v>1240</v>
      </c>
      <c r="C194" s="157" t="s">
        <v>803</v>
      </c>
      <c r="D194" s="59" t="s">
        <v>804</v>
      </c>
      <c r="E194" s="46">
        <v>5</v>
      </c>
      <c r="F194" s="45"/>
      <c r="G194" s="45"/>
      <c r="H194" s="45"/>
      <c r="I194" s="45"/>
      <c r="J194" s="45"/>
      <c r="K194" s="45"/>
      <c r="L194" s="45"/>
      <c r="M194" s="45"/>
      <c r="N194" s="45"/>
      <c r="O194" s="45"/>
      <c r="P194" s="45"/>
      <c r="Q194" s="45"/>
    </row>
    <row r="195" spans="2:17" ht="34" x14ac:dyDescent="0.2">
      <c r="B195" s="156"/>
      <c r="C195" s="157"/>
      <c r="D195" s="59" t="s">
        <v>805</v>
      </c>
      <c r="E195" s="46">
        <v>5</v>
      </c>
      <c r="F195" s="45"/>
      <c r="G195" s="45"/>
      <c r="H195" s="45"/>
      <c r="I195" s="45"/>
      <c r="J195" s="45"/>
      <c r="K195" s="45"/>
      <c r="L195" s="45"/>
      <c r="M195" s="45"/>
      <c r="N195" s="45"/>
      <c r="O195" s="45"/>
      <c r="P195" s="45"/>
      <c r="Q195" s="45"/>
    </row>
    <row r="196" spans="2:17" ht="34" x14ac:dyDescent="0.2">
      <c r="B196" s="156">
        <v>1250</v>
      </c>
      <c r="C196" s="157" t="s">
        <v>806</v>
      </c>
      <c r="D196" s="59" t="s">
        <v>807</v>
      </c>
      <c r="E196" s="46">
        <v>5</v>
      </c>
      <c r="F196" s="45"/>
      <c r="G196" s="45"/>
      <c r="H196" s="45"/>
      <c r="I196" s="45"/>
      <c r="J196" s="45"/>
      <c r="K196" s="45"/>
      <c r="L196" s="45"/>
      <c r="M196" s="45"/>
      <c r="N196" s="45"/>
      <c r="O196" s="45"/>
      <c r="P196" s="45"/>
      <c r="Q196" s="45"/>
    </row>
    <row r="197" spans="2:17" ht="17" x14ac:dyDescent="0.2">
      <c r="B197" s="156"/>
      <c r="C197" s="157"/>
      <c r="D197" s="59" t="s">
        <v>808</v>
      </c>
      <c r="E197" s="46">
        <v>5</v>
      </c>
      <c r="F197" s="45"/>
      <c r="G197" s="45"/>
      <c r="H197" s="45"/>
      <c r="I197" s="45"/>
      <c r="J197" s="45"/>
      <c r="K197" s="45"/>
      <c r="L197" s="45"/>
      <c r="M197" s="45"/>
      <c r="N197" s="45"/>
      <c r="O197" s="45"/>
      <c r="P197" s="45"/>
      <c r="Q197" s="45"/>
    </row>
    <row r="198" spans="2:17" ht="34" x14ac:dyDescent="0.2">
      <c r="B198" s="156"/>
      <c r="C198" s="157"/>
      <c r="D198" s="59" t="s">
        <v>809</v>
      </c>
      <c r="E198" s="46">
        <v>5</v>
      </c>
      <c r="F198" s="45"/>
      <c r="G198" s="45"/>
      <c r="H198" s="45"/>
      <c r="I198" s="45"/>
      <c r="J198" s="45"/>
      <c r="K198" s="45"/>
      <c r="L198" s="45"/>
      <c r="M198" s="45"/>
      <c r="N198" s="45"/>
      <c r="O198" s="45"/>
      <c r="P198" s="45"/>
      <c r="Q198" s="45"/>
    </row>
    <row r="199" spans="2:17" ht="17" x14ac:dyDescent="0.2">
      <c r="B199" s="156"/>
      <c r="C199" s="157"/>
      <c r="D199" s="59" t="s">
        <v>786</v>
      </c>
      <c r="E199" s="46">
        <v>5</v>
      </c>
      <c r="F199" s="45"/>
      <c r="G199" s="45"/>
      <c r="H199" s="45"/>
      <c r="I199" s="45"/>
      <c r="J199" s="45"/>
      <c r="K199" s="45"/>
      <c r="L199" s="45"/>
      <c r="M199" s="45"/>
      <c r="N199" s="45"/>
      <c r="O199" s="45"/>
      <c r="P199" s="45"/>
      <c r="Q199" s="45"/>
    </row>
    <row r="200" spans="2:17" ht="17" x14ac:dyDescent="0.2">
      <c r="B200" s="156"/>
      <c r="C200" s="157"/>
      <c r="D200" s="59" t="s">
        <v>787</v>
      </c>
      <c r="E200" s="46">
        <v>5</v>
      </c>
      <c r="F200" s="45"/>
      <c r="G200" s="45"/>
      <c r="H200" s="45"/>
      <c r="I200" s="45"/>
      <c r="J200" s="45"/>
      <c r="K200" s="45"/>
      <c r="L200" s="45"/>
      <c r="M200" s="45"/>
      <c r="N200" s="45"/>
      <c r="O200" s="45"/>
      <c r="P200" s="45"/>
      <c r="Q200" s="45"/>
    </row>
    <row r="201" spans="2:17" ht="34" x14ac:dyDescent="0.2">
      <c r="B201" s="156"/>
      <c r="C201" s="157"/>
      <c r="D201" s="59" t="s">
        <v>783</v>
      </c>
      <c r="E201" s="46">
        <v>5</v>
      </c>
      <c r="F201" s="45"/>
      <c r="G201" s="45"/>
      <c r="H201" s="45"/>
      <c r="I201" s="45"/>
      <c r="J201" s="45"/>
      <c r="K201" s="45"/>
      <c r="L201" s="45"/>
      <c r="M201" s="45"/>
      <c r="N201" s="45"/>
      <c r="O201" s="45"/>
      <c r="P201" s="45"/>
      <c r="Q201" s="45"/>
    </row>
    <row r="202" spans="2:17" ht="85" x14ac:dyDescent="0.2">
      <c r="B202" s="46">
        <v>1251</v>
      </c>
      <c r="C202" s="59" t="s">
        <v>810</v>
      </c>
      <c r="D202" s="59" t="s">
        <v>811</v>
      </c>
      <c r="E202" s="46">
        <v>5</v>
      </c>
      <c r="F202" s="45"/>
      <c r="G202" s="45"/>
      <c r="H202" s="45"/>
      <c r="I202" s="45"/>
      <c r="J202" s="45"/>
      <c r="K202" s="45"/>
      <c r="L202" s="45"/>
      <c r="M202" s="45"/>
      <c r="N202" s="45"/>
      <c r="O202" s="45"/>
      <c r="P202" s="45"/>
      <c r="Q202" s="45"/>
    </row>
    <row r="203" spans="2:17" ht="17" x14ac:dyDescent="0.2">
      <c r="B203" s="156">
        <v>1270</v>
      </c>
      <c r="C203" s="157" t="s">
        <v>812</v>
      </c>
      <c r="D203" s="59" t="s">
        <v>813</v>
      </c>
      <c r="E203" s="46">
        <v>5</v>
      </c>
      <c r="F203" s="45"/>
      <c r="G203" s="45"/>
      <c r="H203" s="45"/>
      <c r="I203" s="45"/>
      <c r="J203" s="45"/>
      <c r="K203" s="45"/>
      <c r="L203" s="45"/>
      <c r="M203" s="45"/>
      <c r="N203" s="45"/>
      <c r="O203" s="45"/>
      <c r="P203" s="45"/>
      <c r="Q203" s="45"/>
    </row>
    <row r="204" spans="2:17" ht="34" x14ac:dyDescent="0.2">
      <c r="B204" s="156"/>
      <c r="C204" s="157"/>
      <c r="D204" s="59" t="s">
        <v>814</v>
      </c>
      <c r="E204" s="46">
        <v>5</v>
      </c>
      <c r="F204" s="45"/>
      <c r="G204" s="45"/>
      <c r="H204" s="45"/>
      <c r="I204" s="45"/>
      <c r="J204" s="45"/>
      <c r="K204" s="45"/>
      <c r="L204" s="45"/>
      <c r="M204" s="45"/>
      <c r="N204" s="45"/>
      <c r="O204" s="45"/>
      <c r="P204" s="45"/>
      <c r="Q204" s="45"/>
    </row>
    <row r="205" spans="2:17" ht="34" x14ac:dyDescent="0.2">
      <c r="B205" s="156">
        <v>1280</v>
      </c>
      <c r="C205" s="157"/>
      <c r="D205" s="59" t="s">
        <v>815</v>
      </c>
      <c r="E205" s="46">
        <v>5</v>
      </c>
      <c r="F205" s="45"/>
      <c r="G205" s="45"/>
      <c r="H205" s="45"/>
      <c r="I205" s="45"/>
      <c r="J205" s="45"/>
      <c r="K205" s="45"/>
      <c r="L205" s="45"/>
      <c r="M205" s="45"/>
      <c r="N205" s="45"/>
      <c r="O205" s="45"/>
      <c r="P205" s="45"/>
      <c r="Q205" s="45"/>
    </row>
    <row r="206" spans="2:17" ht="34" x14ac:dyDescent="0.2">
      <c r="B206" s="156"/>
      <c r="C206" s="157"/>
      <c r="D206" s="59" t="s">
        <v>816</v>
      </c>
      <c r="E206" s="46">
        <v>5</v>
      </c>
      <c r="F206" s="45"/>
      <c r="G206" s="45"/>
      <c r="H206" s="45"/>
      <c r="I206" s="45"/>
      <c r="J206" s="45"/>
      <c r="K206" s="45"/>
      <c r="L206" s="45"/>
      <c r="M206" s="45"/>
      <c r="N206" s="45"/>
      <c r="O206" s="45"/>
      <c r="P206" s="45"/>
      <c r="Q206" s="45"/>
    </row>
    <row r="207" spans="2:17" ht="34" x14ac:dyDescent="0.2">
      <c r="B207" s="46"/>
      <c r="C207" s="59"/>
      <c r="D207" s="59" t="s">
        <v>579</v>
      </c>
      <c r="E207" s="46">
        <v>5</v>
      </c>
      <c r="F207" s="45"/>
      <c r="G207" s="45"/>
      <c r="H207" s="45"/>
      <c r="I207" s="45"/>
      <c r="J207" s="45"/>
      <c r="K207" s="45"/>
      <c r="L207" s="45"/>
      <c r="M207" s="45"/>
      <c r="N207" s="45"/>
      <c r="O207" s="45"/>
      <c r="P207" s="45"/>
      <c r="Q207" s="45"/>
    </row>
    <row r="208" spans="2:17" ht="34" x14ac:dyDescent="0.2">
      <c r="B208" s="46">
        <v>1290</v>
      </c>
      <c r="C208" s="59" t="s">
        <v>817</v>
      </c>
      <c r="D208" s="59" t="s">
        <v>818</v>
      </c>
      <c r="E208" s="46">
        <v>5</v>
      </c>
      <c r="F208" s="45"/>
      <c r="G208" s="45"/>
      <c r="H208" s="45"/>
      <c r="I208" s="45"/>
      <c r="J208" s="45"/>
      <c r="K208" s="45"/>
      <c r="L208" s="45"/>
      <c r="M208" s="45"/>
      <c r="N208" s="45"/>
      <c r="O208" s="45"/>
      <c r="P208" s="45"/>
      <c r="Q208" s="45"/>
    </row>
    <row r="209" spans="2:17" ht="51" x14ac:dyDescent="0.2">
      <c r="B209" s="46">
        <v>1300</v>
      </c>
      <c r="C209" s="59" t="s">
        <v>819</v>
      </c>
      <c r="D209" s="59" t="s">
        <v>820</v>
      </c>
      <c r="E209" s="46">
        <v>5</v>
      </c>
      <c r="F209" s="45"/>
      <c r="G209" s="45"/>
      <c r="H209" s="45"/>
      <c r="I209" s="45"/>
      <c r="J209" s="45"/>
      <c r="K209" s="45"/>
      <c r="L209" s="45"/>
      <c r="M209" s="45"/>
      <c r="N209" s="45"/>
      <c r="O209" s="45"/>
      <c r="P209" s="45"/>
      <c r="Q209" s="45"/>
    </row>
    <row r="210" spans="2:17" ht="85" x14ac:dyDescent="0.2">
      <c r="B210" s="46">
        <v>1310</v>
      </c>
      <c r="C210" s="59" t="s">
        <v>821</v>
      </c>
      <c r="D210" s="59" t="s">
        <v>822</v>
      </c>
      <c r="E210" s="46">
        <v>5</v>
      </c>
      <c r="F210" s="45"/>
      <c r="G210" s="45"/>
      <c r="H210" s="45"/>
      <c r="I210" s="45"/>
      <c r="J210" s="45"/>
      <c r="K210" s="45"/>
      <c r="L210" s="45"/>
      <c r="M210" s="45"/>
      <c r="N210" s="45"/>
      <c r="O210" s="45"/>
      <c r="P210" s="45"/>
      <c r="Q210" s="45"/>
    </row>
    <row r="211" spans="2:17" ht="153" x14ac:dyDescent="0.2">
      <c r="B211" s="46">
        <v>1320</v>
      </c>
      <c r="C211" s="59" t="s">
        <v>823</v>
      </c>
      <c r="D211" s="59" t="s">
        <v>824</v>
      </c>
      <c r="E211" s="46">
        <v>5</v>
      </c>
      <c r="F211" s="45"/>
      <c r="G211" s="45"/>
      <c r="H211" s="45"/>
      <c r="I211" s="45"/>
      <c r="J211" s="45"/>
      <c r="K211" s="45"/>
      <c r="L211" s="45"/>
      <c r="M211" s="45"/>
      <c r="N211" s="45"/>
      <c r="O211" s="45"/>
      <c r="P211" s="45"/>
      <c r="Q211" s="45"/>
    </row>
    <row r="212" spans="2:17" ht="34" x14ac:dyDescent="0.2">
      <c r="B212" s="46">
        <v>1330</v>
      </c>
      <c r="C212" s="59" t="s">
        <v>825</v>
      </c>
      <c r="D212" s="59" t="s">
        <v>826</v>
      </c>
      <c r="E212" s="46">
        <v>5</v>
      </c>
      <c r="F212" s="45"/>
      <c r="G212" s="45"/>
      <c r="H212" s="45"/>
      <c r="I212" s="45"/>
      <c r="J212" s="45"/>
      <c r="K212" s="45"/>
      <c r="L212" s="45"/>
      <c r="M212" s="45"/>
      <c r="N212" s="45"/>
      <c r="O212" s="45"/>
      <c r="P212" s="45"/>
      <c r="Q212" s="45"/>
    </row>
    <row r="213" spans="2:17" ht="85" x14ac:dyDescent="0.2">
      <c r="B213" s="46">
        <v>1340</v>
      </c>
      <c r="C213" s="59" t="s">
        <v>827</v>
      </c>
      <c r="D213" s="59" t="s">
        <v>828</v>
      </c>
      <c r="E213" s="46">
        <v>5</v>
      </c>
      <c r="F213" s="45"/>
      <c r="G213" s="45"/>
      <c r="H213" s="45"/>
      <c r="I213" s="45"/>
      <c r="J213" s="45"/>
      <c r="K213" s="45"/>
      <c r="L213" s="45"/>
      <c r="M213" s="45"/>
      <c r="N213" s="45"/>
      <c r="O213" s="45"/>
      <c r="P213" s="45"/>
      <c r="Q213" s="45"/>
    </row>
    <row r="214" spans="2:17" ht="34" x14ac:dyDescent="0.2">
      <c r="B214" s="46">
        <v>1350</v>
      </c>
      <c r="C214" s="59" t="s">
        <v>829</v>
      </c>
      <c r="D214" s="59" t="s">
        <v>830</v>
      </c>
      <c r="E214" s="46">
        <v>5</v>
      </c>
      <c r="F214" s="45"/>
      <c r="G214" s="45"/>
      <c r="H214" s="45"/>
      <c r="I214" s="45"/>
      <c r="J214" s="45"/>
      <c r="K214" s="45"/>
      <c r="L214" s="45"/>
      <c r="M214" s="45"/>
      <c r="N214" s="45"/>
      <c r="O214" s="45"/>
      <c r="P214" s="45"/>
      <c r="Q214" s="45"/>
    </row>
    <row r="215" spans="2:17" ht="51" x14ac:dyDescent="0.2">
      <c r="B215" s="46">
        <v>1360</v>
      </c>
      <c r="C215" s="59" t="s">
        <v>831</v>
      </c>
      <c r="D215" s="59" t="s">
        <v>832</v>
      </c>
      <c r="E215" s="46">
        <v>5</v>
      </c>
      <c r="F215" s="45"/>
      <c r="G215" s="45"/>
      <c r="H215" s="45"/>
      <c r="I215" s="45"/>
      <c r="J215" s="45"/>
      <c r="K215" s="45"/>
      <c r="L215" s="45"/>
      <c r="M215" s="45"/>
      <c r="N215" s="45"/>
      <c r="O215" s="45"/>
      <c r="P215" s="45"/>
      <c r="Q215" s="45"/>
    </row>
    <row r="216" spans="2:17" ht="51" x14ac:dyDescent="0.2">
      <c r="B216" s="46">
        <v>1370</v>
      </c>
      <c r="C216" s="59" t="s">
        <v>833</v>
      </c>
      <c r="D216" s="59" t="s">
        <v>834</v>
      </c>
      <c r="E216" s="46">
        <v>5</v>
      </c>
      <c r="F216" s="45"/>
      <c r="G216" s="45"/>
      <c r="H216" s="45"/>
      <c r="I216" s="45"/>
      <c r="J216" s="45"/>
      <c r="K216" s="45"/>
      <c r="L216" s="45"/>
      <c r="M216" s="45"/>
      <c r="N216" s="45"/>
      <c r="O216" s="45"/>
      <c r="P216" s="45"/>
      <c r="Q216" s="45"/>
    </row>
    <row r="217" spans="2:17" ht="34" x14ac:dyDescent="0.2">
      <c r="B217" s="158">
        <v>1380</v>
      </c>
      <c r="C217" s="157" t="s">
        <v>835</v>
      </c>
      <c r="D217" s="59" t="s">
        <v>717</v>
      </c>
      <c r="E217" s="46">
        <v>5</v>
      </c>
      <c r="F217" s="45"/>
      <c r="G217" s="45"/>
      <c r="H217" s="45"/>
      <c r="I217" s="45"/>
      <c r="J217" s="45"/>
      <c r="K217" s="45"/>
      <c r="L217" s="45"/>
      <c r="M217" s="45"/>
      <c r="N217" s="45"/>
      <c r="O217" s="45"/>
      <c r="P217" s="45"/>
      <c r="Q217" s="45"/>
    </row>
    <row r="218" spans="2:17" ht="17" x14ac:dyDescent="0.2">
      <c r="B218" s="158"/>
      <c r="C218" s="157"/>
      <c r="D218" s="59" t="s">
        <v>718</v>
      </c>
      <c r="E218" s="46">
        <v>5</v>
      </c>
      <c r="F218" s="45"/>
      <c r="G218" s="45"/>
      <c r="H218" s="45"/>
      <c r="I218" s="45"/>
      <c r="J218" s="45"/>
      <c r="K218" s="45"/>
      <c r="L218" s="45"/>
      <c r="M218" s="45"/>
      <c r="N218" s="45"/>
      <c r="O218" s="45"/>
      <c r="P218" s="45"/>
      <c r="Q218" s="45"/>
    </row>
    <row r="219" spans="2:17" ht="17" x14ac:dyDescent="0.2">
      <c r="B219" s="158"/>
      <c r="C219" s="157"/>
      <c r="D219" s="59" t="s">
        <v>836</v>
      </c>
      <c r="E219" s="46">
        <v>5</v>
      </c>
      <c r="F219" s="45"/>
      <c r="G219" s="45"/>
      <c r="H219" s="45"/>
      <c r="I219" s="45"/>
      <c r="J219" s="45"/>
      <c r="K219" s="45"/>
      <c r="L219" s="45"/>
      <c r="M219" s="45"/>
      <c r="N219" s="45"/>
      <c r="O219" s="45"/>
      <c r="P219" s="45"/>
      <c r="Q219" s="45"/>
    </row>
    <row r="220" spans="2:17" ht="17" x14ac:dyDescent="0.2">
      <c r="B220" s="158"/>
      <c r="C220" s="157"/>
      <c r="D220" s="59" t="s">
        <v>837</v>
      </c>
      <c r="E220" s="46">
        <v>5</v>
      </c>
      <c r="F220" s="45"/>
      <c r="G220" s="45"/>
      <c r="H220" s="45"/>
      <c r="I220" s="45"/>
      <c r="J220" s="45"/>
      <c r="K220" s="45"/>
      <c r="L220" s="45"/>
      <c r="M220" s="45"/>
      <c r="N220" s="45"/>
      <c r="O220" s="45"/>
      <c r="P220" s="45"/>
      <c r="Q220" s="45"/>
    </row>
    <row r="221" spans="2:17" ht="34" x14ac:dyDescent="0.2">
      <c r="B221" s="158"/>
      <c r="C221" s="157"/>
      <c r="D221" s="59" t="s">
        <v>838</v>
      </c>
      <c r="E221" s="46">
        <v>5</v>
      </c>
      <c r="F221" s="45"/>
      <c r="G221" s="45"/>
      <c r="H221" s="45"/>
      <c r="I221" s="45"/>
      <c r="J221" s="45"/>
      <c r="K221" s="45"/>
      <c r="L221" s="45"/>
      <c r="M221" s="45"/>
      <c r="N221" s="45"/>
      <c r="O221" s="45"/>
      <c r="P221" s="45"/>
      <c r="Q221" s="45"/>
    </row>
    <row r="222" spans="2:17" ht="51" x14ac:dyDescent="0.2">
      <c r="B222" s="158"/>
      <c r="C222" s="157"/>
      <c r="D222" s="59" t="s">
        <v>839</v>
      </c>
      <c r="E222" s="46">
        <v>5</v>
      </c>
      <c r="F222" s="45"/>
      <c r="G222" s="45"/>
      <c r="H222" s="45"/>
      <c r="I222" s="45"/>
      <c r="J222" s="45"/>
      <c r="K222" s="45"/>
      <c r="L222" s="45"/>
      <c r="M222" s="45"/>
      <c r="N222" s="45"/>
      <c r="O222" s="45"/>
      <c r="P222" s="45"/>
      <c r="Q222" s="45"/>
    </row>
    <row r="223" spans="2:17" ht="85" x14ac:dyDescent="0.2">
      <c r="B223" s="46">
        <v>1390</v>
      </c>
      <c r="C223" s="59" t="s">
        <v>840</v>
      </c>
      <c r="D223" s="59" t="s">
        <v>841</v>
      </c>
      <c r="E223" s="46">
        <v>5</v>
      </c>
      <c r="F223" s="45"/>
      <c r="G223" s="45"/>
      <c r="H223" s="45"/>
      <c r="I223" s="45"/>
      <c r="J223" s="45"/>
      <c r="K223" s="45"/>
      <c r="L223" s="45"/>
      <c r="M223" s="45"/>
      <c r="N223" s="45"/>
      <c r="O223" s="45"/>
      <c r="P223" s="45"/>
      <c r="Q223" s="45"/>
    </row>
    <row r="224" spans="2:17" ht="119" x14ac:dyDescent="0.2">
      <c r="B224" s="156">
        <v>1400</v>
      </c>
      <c r="C224" s="157" t="s">
        <v>842</v>
      </c>
      <c r="D224" s="59" t="s">
        <v>843</v>
      </c>
      <c r="E224" s="46">
        <v>5</v>
      </c>
      <c r="F224" s="45"/>
      <c r="G224" s="45"/>
      <c r="H224" s="45"/>
      <c r="I224" s="45"/>
      <c r="J224" s="45"/>
      <c r="K224" s="45"/>
      <c r="L224" s="45"/>
      <c r="M224" s="45"/>
      <c r="N224" s="45"/>
      <c r="O224" s="45"/>
      <c r="P224" s="45"/>
      <c r="Q224" s="45"/>
    </row>
    <row r="225" spans="2:17" ht="34" x14ac:dyDescent="0.2">
      <c r="B225" s="156"/>
      <c r="C225" s="157"/>
      <c r="D225" s="59" t="s">
        <v>546</v>
      </c>
      <c r="E225" s="46">
        <v>5</v>
      </c>
      <c r="F225" s="45"/>
      <c r="G225" s="45"/>
      <c r="H225" s="45"/>
      <c r="I225" s="45"/>
      <c r="J225" s="45"/>
      <c r="K225" s="45"/>
      <c r="L225" s="45"/>
      <c r="M225" s="45"/>
      <c r="N225" s="45"/>
      <c r="O225" s="45"/>
      <c r="P225" s="45"/>
      <c r="Q225" s="45"/>
    </row>
    <row r="226" spans="2:17" ht="17" x14ac:dyDescent="0.2">
      <c r="B226" s="156"/>
      <c r="C226" s="157"/>
      <c r="D226" s="59" t="s">
        <v>844</v>
      </c>
      <c r="E226" s="46">
        <v>5</v>
      </c>
      <c r="F226" s="45"/>
      <c r="G226" s="45"/>
      <c r="H226" s="45"/>
      <c r="I226" s="45"/>
      <c r="J226" s="45"/>
      <c r="K226" s="45"/>
      <c r="L226" s="45"/>
      <c r="M226" s="45"/>
      <c r="N226" s="45"/>
      <c r="O226" s="45"/>
      <c r="P226" s="45"/>
      <c r="Q226" s="45"/>
    </row>
    <row r="227" spans="2:17" ht="17" x14ac:dyDescent="0.2">
      <c r="B227" s="156"/>
      <c r="C227" s="157"/>
      <c r="D227" s="59" t="s">
        <v>845</v>
      </c>
      <c r="E227" s="46">
        <v>5</v>
      </c>
      <c r="F227" s="45"/>
      <c r="G227" s="45"/>
      <c r="H227" s="45"/>
      <c r="I227" s="45"/>
      <c r="J227" s="45"/>
      <c r="K227" s="45"/>
      <c r="L227" s="45"/>
      <c r="M227" s="45"/>
      <c r="N227" s="45"/>
      <c r="O227" s="45"/>
      <c r="P227" s="45"/>
      <c r="Q227" s="45"/>
    </row>
    <row r="228" spans="2:17" ht="17" x14ac:dyDescent="0.2">
      <c r="B228" s="156"/>
      <c r="C228" s="157"/>
      <c r="D228" s="59" t="s">
        <v>846</v>
      </c>
      <c r="E228" s="46">
        <v>5</v>
      </c>
      <c r="F228" s="45"/>
      <c r="G228" s="45"/>
      <c r="H228" s="45"/>
      <c r="I228" s="45"/>
      <c r="J228" s="45"/>
      <c r="K228" s="45"/>
      <c r="L228" s="45"/>
      <c r="M228" s="45"/>
      <c r="N228" s="45"/>
      <c r="O228" s="45"/>
      <c r="P228" s="45"/>
      <c r="Q228" s="45"/>
    </row>
    <row r="229" spans="2:17" ht="17" x14ac:dyDescent="0.2">
      <c r="B229" s="156">
        <v>1410</v>
      </c>
      <c r="C229" s="157" t="s">
        <v>847</v>
      </c>
      <c r="D229" s="60" t="s">
        <v>848</v>
      </c>
      <c r="E229" s="46">
        <v>5</v>
      </c>
      <c r="F229" s="45"/>
      <c r="G229" s="45"/>
      <c r="H229" s="45"/>
      <c r="I229" s="45"/>
      <c r="J229" s="45"/>
      <c r="K229" s="45"/>
      <c r="L229" s="45"/>
      <c r="M229" s="45"/>
      <c r="N229" s="45"/>
      <c r="O229" s="45"/>
      <c r="P229" s="45"/>
      <c r="Q229" s="45"/>
    </row>
    <row r="230" spans="2:17" ht="34" x14ac:dyDescent="0.2">
      <c r="B230" s="156"/>
      <c r="C230" s="157"/>
      <c r="D230" s="60" t="s">
        <v>610</v>
      </c>
      <c r="E230" s="46">
        <v>5</v>
      </c>
      <c r="F230" s="45"/>
      <c r="G230" s="45"/>
      <c r="H230" s="45"/>
      <c r="I230" s="45"/>
      <c r="J230" s="45"/>
      <c r="K230" s="45"/>
      <c r="L230" s="45"/>
      <c r="M230" s="45"/>
      <c r="N230" s="45"/>
      <c r="O230" s="45"/>
      <c r="P230" s="45"/>
      <c r="Q230" s="45"/>
    </row>
    <row r="231" spans="2:17" ht="34" x14ac:dyDescent="0.2">
      <c r="B231" s="156"/>
      <c r="C231" s="157"/>
      <c r="D231" s="60" t="s">
        <v>611</v>
      </c>
      <c r="E231" s="46">
        <v>5</v>
      </c>
      <c r="F231" s="45"/>
      <c r="G231" s="45"/>
      <c r="H231" s="45"/>
      <c r="I231" s="45"/>
      <c r="J231" s="45"/>
      <c r="K231" s="45"/>
      <c r="L231" s="45"/>
      <c r="M231" s="45"/>
      <c r="N231" s="45"/>
      <c r="O231" s="45"/>
      <c r="P231" s="45"/>
      <c r="Q231" s="45"/>
    </row>
    <row r="232" spans="2:17" ht="51" x14ac:dyDescent="0.2">
      <c r="B232" s="156"/>
      <c r="C232" s="157"/>
      <c r="D232" s="60" t="s">
        <v>849</v>
      </c>
      <c r="E232" s="46">
        <v>5</v>
      </c>
      <c r="F232" s="45"/>
      <c r="G232" s="45"/>
      <c r="H232" s="45"/>
      <c r="I232" s="45"/>
      <c r="J232" s="45"/>
      <c r="K232" s="45"/>
      <c r="L232" s="45"/>
      <c r="M232" s="45"/>
      <c r="N232" s="45"/>
      <c r="O232" s="45"/>
      <c r="P232" s="45"/>
      <c r="Q232" s="45"/>
    </row>
    <row r="233" spans="2:17" ht="34" x14ac:dyDescent="0.2">
      <c r="B233" s="46">
        <v>2230</v>
      </c>
      <c r="C233" s="59" t="s">
        <v>850</v>
      </c>
      <c r="D233" s="60" t="s">
        <v>851</v>
      </c>
      <c r="E233" s="46">
        <v>5</v>
      </c>
      <c r="F233" s="45"/>
      <c r="G233" s="45"/>
      <c r="H233" s="45"/>
      <c r="I233" s="45"/>
      <c r="J233" s="45"/>
      <c r="K233" s="45"/>
      <c r="L233" s="45"/>
      <c r="M233" s="45"/>
      <c r="N233" s="45"/>
      <c r="O233" s="45"/>
      <c r="P233" s="45"/>
      <c r="Q233" s="45"/>
    </row>
    <row r="234" spans="2:17" ht="34" x14ac:dyDescent="0.2">
      <c r="B234" s="156">
        <v>1560</v>
      </c>
      <c r="C234" s="157" t="s">
        <v>852</v>
      </c>
      <c r="D234" s="59" t="s">
        <v>853</v>
      </c>
      <c r="E234" s="46">
        <v>6</v>
      </c>
      <c r="F234" s="45"/>
      <c r="G234" s="45"/>
      <c r="H234" s="45"/>
      <c r="I234" s="45"/>
      <c r="J234" s="45"/>
      <c r="K234" s="45"/>
      <c r="L234" s="45"/>
      <c r="M234" s="45"/>
      <c r="N234" s="45"/>
      <c r="O234" s="45"/>
      <c r="P234" s="45"/>
      <c r="Q234" s="45"/>
    </row>
    <row r="235" spans="2:17" ht="34" x14ac:dyDescent="0.2">
      <c r="B235" s="156"/>
      <c r="C235" s="157"/>
      <c r="D235" s="59" t="s">
        <v>854</v>
      </c>
      <c r="E235" s="46">
        <v>6</v>
      </c>
      <c r="F235" s="45"/>
      <c r="G235" s="45"/>
      <c r="H235" s="45"/>
      <c r="I235" s="45"/>
      <c r="J235" s="45"/>
      <c r="K235" s="45"/>
      <c r="L235" s="45"/>
      <c r="M235" s="45"/>
      <c r="N235" s="45"/>
      <c r="O235" s="45"/>
      <c r="P235" s="45"/>
      <c r="Q235" s="45"/>
    </row>
    <row r="236" spans="2:17" ht="34" x14ac:dyDescent="0.2">
      <c r="B236" s="156"/>
      <c r="C236" s="157"/>
      <c r="D236" s="59" t="s">
        <v>855</v>
      </c>
      <c r="E236" s="46">
        <v>6</v>
      </c>
      <c r="F236" s="45"/>
      <c r="G236" s="45"/>
      <c r="H236" s="45"/>
      <c r="I236" s="45"/>
      <c r="J236" s="45"/>
      <c r="K236" s="45"/>
      <c r="L236" s="45"/>
      <c r="M236" s="45"/>
      <c r="N236" s="45"/>
      <c r="O236" s="45"/>
      <c r="P236" s="45"/>
      <c r="Q236" s="45"/>
    </row>
    <row r="237" spans="2:17" ht="34" x14ac:dyDescent="0.2">
      <c r="B237" s="156">
        <v>2440</v>
      </c>
      <c r="C237" s="157" t="s">
        <v>856</v>
      </c>
      <c r="D237" s="59" t="s">
        <v>857</v>
      </c>
      <c r="E237" s="46">
        <v>6</v>
      </c>
      <c r="F237" s="45"/>
      <c r="G237" s="45"/>
      <c r="H237" s="45"/>
      <c r="I237" s="45"/>
      <c r="J237" s="45"/>
      <c r="K237" s="45"/>
      <c r="L237" s="45"/>
      <c r="M237" s="45"/>
      <c r="N237" s="45"/>
      <c r="O237" s="45"/>
      <c r="P237" s="45"/>
      <c r="Q237" s="45"/>
    </row>
    <row r="238" spans="2:17" ht="119" x14ac:dyDescent="0.2">
      <c r="B238" s="156"/>
      <c r="C238" s="157"/>
      <c r="D238" s="59" t="s">
        <v>858</v>
      </c>
      <c r="E238" s="46">
        <v>6</v>
      </c>
      <c r="F238" s="45"/>
      <c r="G238" s="45"/>
      <c r="H238" s="45"/>
      <c r="I238" s="45"/>
      <c r="J238" s="45"/>
      <c r="K238" s="45"/>
      <c r="L238" s="45"/>
      <c r="M238" s="45"/>
      <c r="N238" s="45"/>
      <c r="O238" s="45"/>
      <c r="P238" s="45"/>
      <c r="Q238" s="45"/>
    </row>
    <row r="239" spans="2:17" ht="170" x14ac:dyDescent="0.2">
      <c r="B239" s="46">
        <v>2460</v>
      </c>
      <c r="C239" s="59" t="s">
        <v>859</v>
      </c>
      <c r="D239" s="59" t="s">
        <v>860</v>
      </c>
      <c r="E239" s="46">
        <v>6</v>
      </c>
      <c r="F239" s="45"/>
      <c r="G239" s="45"/>
      <c r="H239" s="45"/>
      <c r="I239" s="45"/>
      <c r="J239" s="45"/>
      <c r="K239" s="45"/>
      <c r="L239" s="45"/>
      <c r="M239" s="45"/>
      <c r="N239" s="45"/>
      <c r="O239" s="45"/>
      <c r="P239" s="45"/>
      <c r="Q239" s="45"/>
    </row>
    <row r="240" spans="2:17" ht="34" x14ac:dyDescent="0.2">
      <c r="B240" s="156">
        <v>2480</v>
      </c>
      <c r="C240" s="157" t="s">
        <v>861</v>
      </c>
      <c r="D240" s="59" t="s">
        <v>857</v>
      </c>
      <c r="E240" s="46">
        <v>6</v>
      </c>
      <c r="F240" s="45"/>
      <c r="G240" s="45"/>
      <c r="H240" s="45"/>
      <c r="I240" s="45"/>
      <c r="J240" s="45"/>
      <c r="K240" s="45"/>
      <c r="L240" s="45"/>
      <c r="M240" s="45"/>
      <c r="N240" s="45"/>
      <c r="O240" s="45"/>
      <c r="P240" s="45"/>
      <c r="Q240" s="45"/>
    </row>
    <row r="241" spans="2:17" ht="136" x14ac:dyDescent="0.2">
      <c r="B241" s="156"/>
      <c r="C241" s="157"/>
      <c r="D241" s="59" t="s">
        <v>862</v>
      </c>
      <c r="E241" s="46">
        <v>6</v>
      </c>
      <c r="F241" s="45"/>
      <c r="G241" s="45"/>
      <c r="H241" s="45"/>
      <c r="I241" s="45"/>
      <c r="J241" s="45"/>
      <c r="K241" s="45"/>
      <c r="L241" s="45"/>
      <c r="M241" s="45"/>
      <c r="N241" s="45"/>
      <c r="O241" s="45"/>
      <c r="P241" s="45"/>
      <c r="Q241" s="45"/>
    </row>
    <row r="242" spans="2:17" ht="34" x14ac:dyDescent="0.2">
      <c r="B242" s="156"/>
      <c r="C242" s="157"/>
      <c r="D242" s="59" t="s">
        <v>863</v>
      </c>
      <c r="E242" s="46">
        <v>6</v>
      </c>
      <c r="F242" s="45"/>
      <c r="G242" s="45"/>
      <c r="H242" s="45"/>
      <c r="I242" s="45"/>
      <c r="J242" s="45"/>
      <c r="K242" s="45"/>
      <c r="L242" s="45"/>
      <c r="M242" s="45"/>
      <c r="N242" s="45"/>
      <c r="O242" s="45"/>
      <c r="P242" s="45"/>
      <c r="Q242" s="45"/>
    </row>
    <row r="243" spans="2:17" ht="170" x14ac:dyDescent="0.2">
      <c r="B243" s="46">
        <v>2520</v>
      </c>
      <c r="C243" s="59" t="s">
        <v>864</v>
      </c>
      <c r="D243" s="59" t="s">
        <v>865</v>
      </c>
      <c r="E243" s="46">
        <v>6</v>
      </c>
      <c r="F243" s="45"/>
      <c r="G243" s="45"/>
      <c r="H243" s="45"/>
      <c r="I243" s="45"/>
      <c r="J243" s="45"/>
      <c r="K243" s="45"/>
      <c r="L243" s="45"/>
      <c r="M243" s="45"/>
      <c r="N243" s="45"/>
      <c r="O243" s="45"/>
      <c r="P243" s="45"/>
      <c r="Q243" s="45"/>
    </row>
    <row r="244" spans="2:17" ht="34" x14ac:dyDescent="0.2">
      <c r="B244" s="156">
        <v>2540</v>
      </c>
      <c r="C244" s="157" t="s">
        <v>866</v>
      </c>
      <c r="D244" s="59" t="s">
        <v>857</v>
      </c>
      <c r="E244" s="46">
        <v>6</v>
      </c>
      <c r="F244" s="45"/>
      <c r="G244" s="45"/>
      <c r="H244" s="45"/>
      <c r="I244" s="45"/>
      <c r="J244" s="45"/>
      <c r="K244" s="45"/>
      <c r="L244" s="45"/>
      <c r="M244" s="45"/>
      <c r="N244" s="45"/>
      <c r="O244" s="45"/>
      <c r="P244" s="45"/>
      <c r="Q244" s="45"/>
    </row>
    <row r="245" spans="2:17" ht="119" x14ac:dyDescent="0.2">
      <c r="B245" s="156"/>
      <c r="C245" s="157"/>
      <c r="D245" s="59" t="s">
        <v>867</v>
      </c>
      <c r="E245" s="46">
        <v>6</v>
      </c>
      <c r="F245" s="45"/>
      <c r="G245" s="45"/>
      <c r="H245" s="45"/>
      <c r="I245" s="45"/>
      <c r="J245" s="45"/>
      <c r="K245" s="45"/>
      <c r="L245" s="45"/>
      <c r="M245" s="45"/>
      <c r="N245" s="45"/>
      <c r="O245" s="45"/>
      <c r="P245" s="45"/>
      <c r="Q245" s="45"/>
    </row>
    <row r="246" spans="2:17" ht="136" x14ac:dyDescent="0.2">
      <c r="B246" s="156">
        <v>1580</v>
      </c>
      <c r="C246" s="157" t="s">
        <v>868</v>
      </c>
      <c r="D246" s="59" t="s">
        <v>869</v>
      </c>
      <c r="E246" s="46">
        <v>6</v>
      </c>
      <c r="F246" s="45"/>
      <c r="G246" s="45"/>
      <c r="H246" s="45"/>
      <c r="I246" s="45"/>
      <c r="J246" s="45"/>
      <c r="K246" s="45"/>
      <c r="L246" s="45"/>
      <c r="M246" s="45"/>
      <c r="N246" s="45"/>
      <c r="O246" s="45"/>
      <c r="P246" s="45"/>
      <c r="Q246" s="45"/>
    </row>
    <row r="247" spans="2:17" ht="119" x14ac:dyDescent="0.2">
      <c r="B247" s="156"/>
      <c r="C247" s="157"/>
      <c r="D247" s="59" t="s">
        <v>870</v>
      </c>
      <c r="E247" s="46">
        <v>6</v>
      </c>
      <c r="F247" s="45"/>
      <c r="G247" s="45"/>
      <c r="H247" s="45"/>
      <c r="I247" s="45"/>
      <c r="J247" s="45"/>
      <c r="K247" s="45"/>
      <c r="L247" s="45"/>
      <c r="M247" s="45"/>
      <c r="N247" s="45"/>
      <c r="O247" s="45"/>
      <c r="P247" s="45"/>
      <c r="Q247" s="45"/>
    </row>
    <row r="248" spans="2:17" ht="85" x14ac:dyDescent="0.2">
      <c r="B248" s="156"/>
      <c r="C248" s="157"/>
      <c r="D248" s="59" t="s">
        <v>871</v>
      </c>
      <c r="E248" s="46">
        <v>6</v>
      </c>
      <c r="F248" s="45"/>
      <c r="G248" s="45"/>
      <c r="H248" s="45"/>
      <c r="I248" s="45"/>
      <c r="J248" s="45"/>
      <c r="K248" s="45"/>
      <c r="L248" s="45"/>
      <c r="M248" s="45"/>
      <c r="N248" s="45"/>
      <c r="O248" s="45"/>
      <c r="P248" s="45"/>
      <c r="Q248" s="45"/>
    </row>
    <row r="249" spans="2:17" ht="34" x14ac:dyDescent="0.2">
      <c r="B249" s="156"/>
      <c r="C249" s="157"/>
      <c r="D249" s="59" t="s">
        <v>872</v>
      </c>
      <c r="E249" s="46">
        <v>6</v>
      </c>
      <c r="F249" s="45"/>
      <c r="G249" s="45"/>
      <c r="H249" s="45"/>
      <c r="I249" s="45"/>
      <c r="J249" s="45"/>
      <c r="K249" s="45"/>
      <c r="L249" s="45"/>
      <c r="M249" s="45"/>
      <c r="N249" s="45"/>
      <c r="O249" s="45"/>
      <c r="P249" s="45"/>
      <c r="Q249" s="45"/>
    </row>
    <row r="250" spans="2:17" ht="51" x14ac:dyDescent="0.2">
      <c r="B250" s="156"/>
      <c r="C250" s="157"/>
      <c r="D250" s="59" t="s">
        <v>873</v>
      </c>
      <c r="E250" s="46">
        <v>6</v>
      </c>
      <c r="F250" s="45"/>
      <c r="G250" s="45"/>
      <c r="H250" s="45"/>
      <c r="I250" s="45"/>
      <c r="J250" s="45"/>
      <c r="K250" s="45"/>
      <c r="L250" s="45"/>
      <c r="M250" s="45"/>
      <c r="N250" s="45"/>
      <c r="O250" s="45"/>
      <c r="P250" s="45"/>
      <c r="Q250" s="45"/>
    </row>
    <row r="251" spans="2:17" ht="51" x14ac:dyDescent="0.2">
      <c r="B251" s="156"/>
      <c r="C251" s="157"/>
      <c r="D251" s="59" t="s">
        <v>874</v>
      </c>
      <c r="E251" s="46">
        <v>6</v>
      </c>
      <c r="F251" s="45"/>
      <c r="G251" s="45"/>
      <c r="H251" s="45"/>
      <c r="I251" s="45"/>
      <c r="J251" s="45"/>
      <c r="K251" s="45"/>
      <c r="L251" s="45"/>
      <c r="M251" s="45"/>
      <c r="N251" s="45"/>
      <c r="O251" s="45"/>
      <c r="P251" s="45"/>
      <c r="Q251" s="45"/>
    </row>
    <row r="252" spans="2:17" ht="102" x14ac:dyDescent="0.2">
      <c r="B252" s="46">
        <v>1700</v>
      </c>
      <c r="C252" s="59" t="s">
        <v>875</v>
      </c>
      <c r="D252" s="59" t="s">
        <v>876</v>
      </c>
      <c r="E252" s="46">
        <v>6</v>
      </c>
      <c r="F252" s="45"/>
      <c r="G252" s="45"/>
      <c r="H252" s="45"/>
      <c r="I252" s="45"/>
      <c r="J252" s="45"/>
      <c r="K252" s="45"/>
      <c r="L252" s="45"/>
      <c r="M252" s="45"/>
      <c r="N252" s="45"/>
      <c r="O252" s="45"/>
      <c r="P252" s="45"/>
      <c r="Q252" s="45"/>
    </row>
    <row r="253" spans="2:17" ht="68" x14ac:dyDescent="0.2">
      <c r="B253" s="46">
        <v>1710</v>
      </c>
      <c r="C253" s="59" t="s">
        <v>877</v>
      </c>
      <c r="D253" s="59" t="s">
        <v>878</v>
      </c>
      <c r="E253" s="46">
        <v>6</v>
      </c>
      <c r="F253" s="45"/>
      <c r="G253" s="45"/>
      <c r="H253" s="45"/>
      <c r="I253" s="45"/>
      <c r="J253" s="45"/>
      <c r="K253" s="45"/>
      <c r="L253" s="45"/>
      <c r="M253" s="45"/>
      <c r="N253" s="45"/>
      <c r="O253" s="45"/>
      <c r="P253" s="45"/>
      <c r="Q253" s="45"/>
    </row>
    <row r="254" spans="2:17" ht="119" x14ac:dyDescent="0.2">
      <c r="B254" s="46">
        <v>1730</v>
      </c>
      <c r="C254" s="59" t="s">
        <v>879</v>
      </c>
      <c r="D254" s="59" t="s">
        <v>880</v>
      </c>
      <c r="E254" s="46">
        <v>6</v>
      </c>
      <c r="F254" s="45"/>
      <c r="G254" s="45"/>
      <c r="H254" s="45"/>
      <c r="I254" s="45"/>
      <c r="J254" s="45"/>
      <c r="K254" s="45"/>
      <c r="L254" s="45"/>
      <c r="M254" s="45"/>
      <c r="N254" s="45"/>
      <c r="O254" s="45"/>
      <c r="P254" s="45"/>
      <c r="Q254" s="45"/>
    </row>
    <row r="255" spans="2:17" ht="136" x14ac:dyDescent="0.2">
      <c r="B255" s="156">
        <v>1760</v>
      </c>
      <c r="C255" s="157" t="s">
        <v>881</v>
      </c>
      <c r="D255" s="59" t="s">
        <v>882</v>
      </c>
      <c r="E255" s="46">
        <v>6</v>
      </c>
      <c r="F255" s="45"/>
      <c r="G255" s="45"/>
      <c r="H255" s="45"/>
      <c r="I255" s="45"/>
      <c r="J255" s="45"/>
      <c r="K255" s="45"/>
      <c r="L255" s="45"/>
      <c r="M255" s="45"/>
      <c r="N255" s="45"/>
      <c r="O255" s="45"/>
      <c r="P255" s="45"/>
      <c r="Q255" s="45"/>
    </row>
    <row r="256" spans="2:17" ht="34" x14ac:dyDescent="0.2">
      <c r="B256" s="156"/>
      <c r="C256" s="157"/>
      <c r="D256" s="59" t="s">
        <v>883</v>
      </c>
      <c r="E256" s="46">
        <v>6</v>
      </c>
      <c r="F256" s="45"/>
      <c r="G256" s="45"/>
      <c r="H256" s="45"/>
      <c r="I256" s="45"/>
      <c r="J256" s="45"/>
      <c r="K256" s="45"/>
      <c r="L256" s="45"/>
      <c r="M256" s="45"/>
      <c r="N256" s="45"/>
      <c r="O256" s="45"/>
      <c r="P256" s="45"/>
      <c r="Q256" s="45"/>
    </row>
    <row r="257" spans="2:17" ht="34" x14ac:dyDescent="0.2">
      <c r="B257" s="156"/>
      <c r="C257" s="157"/>
      <c r="D257" s="59" t="s">
        <v>884</v>
      </c>
      <c r="E257" s="46">
        <v>6</v>
      </c>
      <c r="F257" s="45"/>
      <c r="G257" s="45"/>
      <c r="H257" s="45"/>
      <c r="I257" s="45"/>
      <c r="J257" s="45"/>
      <c r="K257" s="45"/>
      <c r="L257" s="45"/>
      <c r="M257" s="45"/>
      <c r="N257" s="45"/>
      <c r="O257" s="45"/>
      <c r="P257" s="45"/>
      <c r="Q257" s="45"/>
    </row>
    <row r="258" spans="2:17" ht="34" x14ac:dyDescent="0.2">
      <c r="B258" s="46">
        <v>1800</v>
      </c>
      <c r="C258" s="59" t="s">
        <v>885</v>
      </c>
      <c r="D258" s="59" t="s">
        <v>886</v>
      </c>
      <c r="E258" s="46">
        <v>6</v>
      </c>
      <c r="F258" s="45"/>
      <c r="G258" s="45"/>
      <c r="H258" s="45"/>
      <c r="I258" s="45"/>
      <c r="J258" s="45"/>
      <c r="K258" s="45"/>
      <c r="L258" s="45"/>
      <c r="M258" s="45"/>
      <c r="N258" s="45"/>
      <c r="O258" s="45"/>
      <c r="P258" s="45"/>
      <c r="Q258" s="45"/>
    </row>
    <row r="259" spans="2:17" ht="68" x14ac:dyDescent="0.2">
      <c r="B259" s="156">
        <v>1830</v>
      </c>
      <c r="C259" s="157" t="s">
        <v>887</v>
      </c>
      <c r="D259" s="59" t="s">
        <v>888</v>
      </c>
      <c r="E259" s="46">
        <v>6</v>
      </c>
      <c r="F259" s="45"/>
      <c r="G259" s="45"/>
      <c r="H259" s="45"/>
      <c r="I259" s="45"/>
      <c r="J259" s="45"/>
      <c r="K259" s="45"/>
      <c r="L259" s="45"/>
      <c r="M259" s="45"/>
      <c r="N259" s="45"/>
      <c r="O259" s="45"/>
      <c r="P259" s="45"/>
      <c r="Q259" s="45"/>
    </row>
    <row r="260" spans="2:17" ht="34" x14ac:dyDescent="0.2">
      <c r="B260" s="156"/>
      <c r="C260" s="157"/>
      <c r="D260" s="59" t="s">
        <v>889</v>
      </c>
      <c r="E260" s="46">
        <v>6</v>
      </c>
      <c r="F260" s="45"/>
      <c r="G260" s="45"/>
      <c r="H260" s="45"/>
      <c r="I260" s="45"/>
      <c r="J260" s="45"/>
      <c r="K260" s="45"/>
      <c r="L260" s="45"/>
      <c r="M260" s="45"/>
      <c r="N260" s="45"/>
      <c r="O260" s="45"/>
      <c r="P260" s="45"/>
      <c r="Q260" s="45"/>
    </row>
    <row r="261" spans="2:17" ht="255" x14ac:dyDescent="0.2">
      <c r="B261" s="46">
        <v>1840</v>
      </c>
      <c r="C261" s="59" t="s">
        <v>890</v>
      </c>
      <c r="D261" s="59" t="s">
        <v>891</v>
      </c>
      <c r="E261" s="46">
        <v>6</v>
      </c>
      <c r="F261" s="45"/>
      <c r="G261" s="45"/>
      <c r="H261" s="45"/>
      <c r="I261" s="45"/>
      <c r="J261" s="45"/>
      <c r="K261" s="45"/>
      <c r="L261" s="45"/>
      <c r="M261" s="45"/>
      <c r="N261" s="45"/>
      <c r="O261" s="45"/>
      <c r="P261" s="45"/>
      <c r="Q261" s="45"/>
    </row>
    <row r="262" spans="2:17" ht="153" x14ac:dyDescent="0.2">
      <c r="B262" s="156">
        <v>1850</v>
      </c>
      <c r="C262" s="157" t="s">
        <v>892</v>
      </c>
      <c r="D262" s="59" t="s">
        <v>893</v>
      </c>
      <c r="E262" s="46">
        <v>6</v>
      </c>
      <c r="F262" s="45"/>
      <c r="G262" s="45"/>
      <c r="H262" s="45"/>
      <c r="I262" s="45"/>
      <c r="J262" s="45"/>
      <c r="K262" s="45"/>
      <c r="L262" s="45"/>
      <c r="M262" s="45"/>
      <c r="N262" s="45"/>
      <c r="O262" s="45"/>
      <c r="P262" s="45"/>
      <c r="Q262" s="45"/>
    </row>
    <row r="263" spans="2:17" ht="51" x14ac:dyDescent="0.2">
      <c r="B263" s="156"/>
      <c r="C263" s="157"/>
      <c r="D263" s="59" t="s">
        <v>894</v>
      </c>
      <c r="E263" s="46">
        <v>6</v>
      </c>
      <c r="F263" s="45"/>
      <c r="G263" s="45"/>
      <c r="H263" s="45"/>
      <c r="I263" s="45"/>
      <c r="J263" s="45"/>
      <c r="K263" s="45"/>
      <c r="L263" s="45"/>
      <c r="M263" s="45"/>
      <c r="N263" s="45"/>
      <c r="O263" s="45"/>
      <c r="P263" s="45"/>
      <c r="Q263" s="45"/>
    </row>
    <row r="264" spans="2:17" ht="221" x14ac:dyDescent="0.2">
      <c r="B264" s="46">
        <v>1550</v>
      </c>
      <c r="C264" s="59" t="s">
        <v>895</v>
      </c>
      <c r="D264" s="59" t="s">
        <v>896</v>
      </c>
      <c r="E264" s="46">
        <v>6</v>
      </c>
      <c r="F264" s="45"/>
      <c r="G264" s="45"/>
      <c r="H264" s="45"/>
      <c r="I264" s="45"/>
      <c r="J264" s="45"/>
      <c r="K264" s="45"/>
      <c r="L264" s="45"/>
      <c r="M264" s="45"/>
      <c r="N264" s="45"/>
      <c r="O264" s="45"/>
      <c r="P264" s="45"/>
      <c r="Q264" s="45"/>
    </row>
    <row r="265" spans="2:17" ht="409.6" x14ac:dyDescent="0.2">
      <c r="B265" s="46">
        <v>1570</v>
      </c>
      <c r="C265" s="59" t="s">
        <v>897</v>
      </c>
      <c r="D265" s="59" t="s">
        <v>898</v>
      </c>
      <c r="E265" s="46">
        <v>6</v>
      </c>
      <c r="F265" s="45"/>
      <c r="G265" s="45"/>
      <c r="H265" s="45"/>
      <c r="I265" s="45"/>
      <c r="J265" s="45"/>
      <c r="K265" s="45"/>
      <c r="L265" s="45"/>
      <c r="M265" s="45"/>
      <c r="N265" s="45"/>
      <c r="O265" s="45"/>
      <c r="P265" s="45"/>
      <c r="Q265" s="45"/>
    </row>
    <row r="266" spans="2:17" ht="306" x14ac:dyDescent="0.2">
      <c r="B266" s="46">
        <v>1590</v>
      </c>
      <c r="C266" s="59" t="s">
        <v>899</v>
      </c>
      <c r="D266" s="59" t="s">
        <v>900</v>
      </c>
      <c r="E266" s="46">
        <v>6</v>
      </c>
      <c r="F266" s="45"/>
      <c r="G266" s="45"/>
      <c r="H266" s="45"/>
      <c r="I266" s="45"/>
      <c r="J266" s="45"/>
      <c r="K266" s="45"/>
      <c r="L266" s="45"/>
      <c r="M266" s="45"/>
      <c r="N266" s="45"/>
      <c r="O266" s="45"/>
      <c r="P266" s="45"/>
      <c r="Q266" s="45"/>
    </row>
    <row r="267" spans="2:17" ht="119" x14ac:dyDescent="0.2">
      <c r="B267" s="46">
        <v>1690</v>
      </c>
      <c r="C267" s="59" t="s">
        <v>901</v>
      </c>
      <c r="D267" s="59" t="s">
        <v>902</v>
      </c>
      <c r="E267" s="46">
        <v>6</v>
      </c>
      <c r="F267" s="45"/>
      <c r="G267" s="45"/>
      <c r="H267" s="45"/>
      <c r="I267" s="45"/>
      <c r="J267" s="45"/>
      <c r="K267" s="45"/>
      <c r="L267" s="45"/>
      <c r="M267" s="45"/>
      <c r="N267" s="45"/>
      <c r="O267" s="45"/>
      <c r="P267" s="45"/>
      <c r="Q267" s="45"/>
    </row>
    <row r="268" spans="2:17" ht="153" x14ac:dyDescent="0.2">
      <c r="B268" s="46">
        <v>1720</v>
      </c>
      <c r="C268" s="59" t="s">
        <v>903</v>
      </c>
      <c r="D268" s="59" t="s">
        <v>904</v>
      </c>
      <c r="E268" s="46">
        <v>6</v>
      </c>
      <c r="F268" s="45"/>
      <c r="G268" s="45"/>
      <c r="H268" s="45"/>
      <c r="I268" s="45"/>
      <c r="J268" s="45"/>
      <c r="K268" s="45"/>
      <c r="L268" s="45"/>
      <c r="M268" s="45"/>
      <c r="N268" s="45"/>
      <c r="O268" s="45"/>
      <c r="P268" s="45"/>
      <c r="Q268" s="45"/>
    </row>
    <row r="269" spans="2:17" ht="51" x14ac:dyDescent="0.2">
      <c r="B269" s="46">
        <v>1750</v>
      </c>
      <c r="C269" s="59" t="s">
        <v>905</v>
      </c>
      <c r="D269" s="59" t="s">
        <v>906</v>
      </c>
      <c r="E269" s="46">
        <v>6</v>
      </c>
      <c r="F269" s="45"/>
      <c r="G269" s="45"/>
      <c r="H269" s="45"/>
      <c r="I269" s="45"/>
      <c r="J269" s="45"/>
      <c r="K269" s="45"/>
      <c r="L269" s="45"/>
      <c r="M269" s="45"/>
      <c r="N269" s="45"/>
      <c r="O269" s="45"/>
      <c r="P269" s="45"/>
      <c r="Q269" s="45"/>
    </row>
    <row r="270" spans="2:17" ht="102" x14ac:dyDescent="0.2">
      <c r="B270" s="156">
        <v>1770</v>
      </c>
      <c r="C270" s="157" t="s">
        <v>907</v>
      </c>
      <c r="D270" s="59" t="s">
        <v>908</v>
      </c>
      <c r="E270" s="46">
        <v>6</v>
      </c>
      <c r="F270" s="45"/>
      <c r="G270" s="45"/>
      <c r="H270" s="45"/>
      <c r="I270" s="45"/>
      <c r="J270" s="45"/>
      <c r="K270" s="45"/>
      <c r="L270" s="45"/>
      <c r="M270" s="45"/>
      <c r="N270" s="45"/>
      <c r="O270" s="45"/>
      <c r="P270" s="45"/>
      <c r="Q270" s="45"/>
    </row>
    <row r="271" spans="2:17" ht="388" x14ac:dyDescent="0.2">
      <c r="B271" s="156"/>
      <c r="C271" s="157"/>
      <c r="D271" s="59" t="s">
        <v>909</v>
      </c>
      <c r="E271" s="46">
        <v>6</v>
      </c>
      <c r="F271" s="45"/>
      <c r="G271" s="45"/>
      <c r="H271" s="45"/>
      <c r="I271" s="45"/>
      <c r="J271" s="45"/>
      <c r="K271" s="45"/>
      <c r="L271" s="45"/>
      <c r="M271" s="45"/>
      <c r="N271" s="45"/>
      <c r="O271" s="45"/>
      <c r="P271" s="45"/>
      <c r="Q271" s="45"/>
    </row>
    <row r="272" spans="2:17" ht="34" x14ac:dyDescent="0.2">
      <c r="B272" s="156"/>
      <c r="C272" s="157"/>
      <c r="D272" s="59" t="s">
        <v>884</v>
      </c>
      <c r="E272" s="46">
        <v>6</v>
      </c>
      <c r="F272" s="45"/>
      <c r="G272" s="45"/>
      <c r="H272" s="45"/>
      <c r="I272" s="45"/>
      <c r="J272" s="45"/>
      <c r="K272" s="45"/>
      <c r="L272" s="45"/>
      <c r="M272" s="45"/>
      <c r="N272" s="45"/>
      <c r="O272" s="45"/>
      <c r="P272" s="45"/>
      <c r="Q272" s="45"/>
    </row>
    <row r="273" spans="2:17" ht="289" x14ac:dyDescent="0.2">
      <c r="B273" s="46">
        <v>1780</v>
      </c>
      <c r="C273" s="59" t="s">
        <v>910</v>
      </c>
      <c r="D273" s="59" t="s">
        <v>911</v>
      </c>
      <c r="E273" s="46">
        <v>6</v>
      </c>
      <c r="F273" s="45"/>
      <c r="G273" s="45"/>
      <c r="H273" s="45"/>
      <c r="I273" s="45"/>
      <c r="J273" s="45"/>
      <c r="K273" s="45"/>
      <c r="L273" s="45"/>
      <c r="M273" s="45"/>
      <c r="N273" s="45"/>
      <c r="O273" s="45"/>
      <c r="P273" s="45"/>
      <c r="Q273" s="45"/>
    </row>
    <row r="274" spans="2:17" ht="255" x14ac:dyDescent="0.2">
      <c r="B274" s="46">
        <v>2470</v>
      </c>
      <c r="C274" s="59" t="s">
        <v>912</v>
      </c>
      <c r="D274" s="59" t="s">
        <v>913</v>
      </c>
      <c r="E274" s="46">
        <v>6</v>
      </c>
      <c r="F274" s="45"/>
      <c r="G274" s="45"/>
      <c r="H274" s="45"/>
      <c r="I274" s="45"/>
      <c r="J274" s="45"/>
      <c r="K274" s="45"/>
      <c r="L274" s="45"/>
      <c r="M274" s="45"/>
      <c r="N274" s="45"/>
      <c r="O274" s="45"/>
      <c r="P274" s="45"/>
      <c r="Q274" s="45"/>
    </row>
    <row r="275" spans="2:17" ht="85" x14ac:dyDescent="0.2">
      <c r="B275" s="46">
        <v>1600</v>
      </c>
      <c r="C275" s="59" t="s">
        <v>914</v>
      </c>
      <c r="D275" s="59" t="s">
        <v>915</v>
      </c>
      <c r="E275" s="46">
        <v>6</v>
      </c>
      <c r="F275" s="45"/>
      <c r="G275" s="45"/>
      <c r="H275" s="45"/>
      <c r="I275" s="45"/>
      <c r="J275" s="45"/>
      <c r="K275" s="45"/>
      <c r="L275" s="45"/>
      <c r="M275" s="45"/>
      <c r="N275" s="45"/>
      <c r="O275" s="45"/>
      <c r="P275" s="45"/>
      <c r="Q275" s="45"/>
    </row>
    <row r="276" spans="2:17" ht="187" x14ac:dyDescent="0.2">
      <c r="B276" s="46">
        <v>1610</v>
      </c>
      <c r="C276" s="59" t="s">
        <v>916</v>
      </c>
      <c r="D276" s="59" t="s">
        <v>917</v>
      </c>
      <c r="E276" s="46">
        <v>6</v>
      </c>
      <c r="F276" s="45"/>
      <c r="G276" s="45"/>
      <c r="H276" s="45"/>
      <c r="I276" s="45"/>
      <c r="J276" s="45"/>
      <c r="K276" s="45"/>
      <c r="L276" s="45"/>
      <c r="M276" s="45"/>
      <c r="N276" s="45"/>
      <c r="O276" s="45"/>
      <c r="P276" s="45"/>
      <c r="Q276" s="45"/>
    </row>
    <row r="277" spans="2:17" ht="85" x14ac:dyDescent="0.2">
      <c r="B277" s="46">
        <v>1620</v>
      </c>
      <c r="C277" s="59" t="s">
        <v>918</v>
      </c>
      <c r="D277" s="59" t="s">
        <v>919</v>
      </c>
      <c r="E277" s="46">
        <v>6</v>
      </c>
      <c r="F277" s="45"/>
      <c r="G277" s="45"/>
      <c r="H277" s="45"/>
      <c r="I277" s="45"/>
      <c r="J277" s="45"/>
      <c r="K277" s="45"/>
      <c r="L277" s="45"/>
      <c r="M277" s="45"/>
      <c r="N277" s="45"/>
      <c r="O277" s="45"/>
      <c r="P277" s="45"/>
      <c r="Q277" s="45"/>
    </row>
    <row r="278" spans="2:17" ht="356" x14ac:dyDescent="0.2">
      <c r="B278" s="46">
        <v>1890</v>
      </c>
      <c r="C278" s="59" t="s">
        <v>920</v>
      </c>
      <c r="D278" s="59" t="s">
        <v>921</v>
      </c>
      <c r="E278" s="46">
        <v>6</v>
      </c>
      <c r="F278" s="45"/>
      <c r="G278" s="45"/>
      <c r="H278" s="45"/>
      <c r="I278" s="45"/>
      <c r="J278" s="45"/>
      <c r="K278" s="45"/>
      <c r="L278" s="45"/>
      <c r="M278" s="45"/>
      <c r="N278" s="45"/>
      <c r="O278" s="45"/>
      <c r="P278" s="45"/>
      <c r="Q278" s="45"/>
    </row>
    <row r="279" spans="2:17" ht="153" x14ac:dyDescent="0.2">
      <c r="B279" s="46">
        <v>1990</v>
      </c>
      <c r="C279" s="59" t="s">
        <v>922</v>
      </c>
      <c r="D279" s="59" t="s">
        <v>923</v>
      </c>
      <c r="E279" s="46">
        <v>6</v>
      </c>
      <c r="F279" s="45"/>
      <c r="G279" s="45"/>
      <c r="H279" s="45"/>
      <c r="I279" s="45"/>
      <c r="J279" s="45"/>
      <c r="K279" s="45"/>
      <c r="L279" s="45"/>
      <c r="M279" s="45"/>
      <c r="N279" s="45"/>
      <c r="O279" s="45"/>
      <c r="P279" s="45"/>
      <c r="Q279" s="45"/>
    </row>
    <row r="280" spans="2:17" ht="34" x14ac:dyDescent="0.2">
      <c r="B280" s="156">
        <v>2250</v>
      </c>
      <c r="C280" s="157" t="s">
        <v>924</v>
      </c>
      <c r="D280" s="59" t="s">
        <v>925</v>
      </c>
      <c r="E280" s="46">
        <v>6</v>
      </c>
      <c r="F280" s="45"/>
      <c r="G280" s="45"/>
      <c r="H280" s="45"/>
      <c r="I280" s="45"/>
      <c r="J280" s="45"/>
      <c r="K280" s="45"/>
      <c r="L280" s="45"/>
      <c r="M280" s="45"/>
      <c r="N280" s="45"/>
      <c r="O280" s="45"/>
      <c r="P280" s="45"/>
      <c r="Q280" s="45"/>
    </row>
    <row r="281" spans="2:17" ht="51" x14ac:dyDescent="0.2">
      <c r="B281" s="156"/>
      <c r="C281" s="157"/>
      <c r="D281" s="59" t="s">
        <v>926</v>
      </c>
      <c r="E281" s="46">
        <v>6</v>
      </c>
      <c r="F281" s="45"/>
      <c r="G281" s="45"/>
      <c r="H281" s="45"/>
      <c r="I281" s="45"/>
      <c r="J281" s="45"/>
      <c r="K281" s="45"/>
      <c r="L281" s="45"/>
      <c r="M281" s="45"/>
      <c r="N281" s="45"/>
      <c r="O281" s="45"/>
      <c r="P281" s="45"/>
      <c r="Q281" s="45"/>
    </row>
    <row r="282" spans="2:17" ht="17" x14ac:dyDescent="0.2">
      <c r="B282" s="156"/>
      <c r="C282" s="157"/>
      <c r="D282" s="59" t="s">
        <v>927</v>
      </c>
      <c r="E282" s="46">
        <v>6</v>
      </c>
      <c r="F282" s="45"/>
      <c r="G282" s="45"/>
      <c r="H282" s="45"/>
      <c r="I282" s="45"/>
      <c r="J282" s="45"/>
      <c r="K282" s="45"/>
      <c r="L282" s="45"/>
      <c r="M282" s="45"/>
      <c r="N282" s="45"/>
      <c r="O282" s="45"/>
      <c r="P282" s="45"/>
      <c r="Q282" s="45"/>
    </row>
    <row r="283" spans="2:17" ht="34" x14ac:dyDescent="0.2">
      <c r="B283" s="46">
        <v>2320</v>
      </c>
      <c r="C283" s="59" t="s">
        <v>928</v>
      </c>
      <c r="D283" s="59" t="s">
        <v>929</v>
      </c>
      <c r="E283" s="46">
        <v>6</v>
      </c>
      <c r="F283" s="45"/>
      <c r="G283" s="45"/>
      <c r="H283" s="45"/>
      <c r="I283" s="45"/>
      <c r="J283" s="45"/>
      <c r="K283" s="45"/>
      <c r="L283" s="45"/>
      <c r="M283" s="45"/>
      <c r="N283" s="45"/>
      <c r="O283" s="45"/>
      <c r="P283" s="45"/>
      <c r="Q283" s="45"/>
    </row>
    <row r="284" spans="2:17" ht="85" x14ac:dyDescent="0.2">
      <c r="B284" s="46">
        <v>2340</v>
      </c>
      <c r="C284" s="59" t="s">
        <v>930</v>
      </c>
      <c r="D284" s="59" t="s">
        <v>931</v>
      </c>
      <c r="E284" s="46">
        <v>6</v>
      </c>
      <c r="F284" s="45"/>
      <c r="G284" s="45"/>
      <c r="H284" s="45"/>
      <c r="I284" s="45"/>
      <c r="J284" s="45"/>
      <c r="K284" s="45"/>
      <c r="L284" s="45"/>
      <c r="M284" s="45"/>
      <c r="N284" s="45"/>
      <c r="O284" s="45"/>
      <c r="P284" s="45"/>
      <c r="Q284" s="45"/>
    </row>
    <row r="285" spans="2:17" ht="170" x14ac:dyDescent="0.2">
      <c r="B285" s="46">
        <v>2530</v>
      </c>
      <c r="C285" s="59" t="s">
        <v>932</v>
      </c>
      <c r="D285" s="59" t="s">
        <v>933</v>
      </c>
      <c r="E285" s="46">
        <v>6</v>
      </c>
      <c r="F285" s="45"/>
      <c r="G285" s="45"/>
      <c r="H285" s="45"/>
      <c r="I285" s="45"/>
      <c r="J285" s="45"/>
      <c r="K285" s="45"/>
      <c r="L285" s="45"/>
      <c r="M285" s="45"/>
      <c r="N285" s="45"/>
      <c r="O285" s="45"/>
      <c r="P285" s="45"/>
      <c r="Q285" s="45"/>
    </row>
    <row r="286" spans="2:17" ht="34" x14ac:dyDescent="0.2">
      <c r="B286" s="156">
        <v>2580</v>
      </c>
      <c r="C286" s="157" t="s">
        <v>934</v>
      </c>
      <c r="D286" s="59" t="s">
        <v>935</v>
      </c>
      <c r="E286" s="46">
        <v>6</v>
      </c>
      <c r="F286" s="45"/>
      <c r="G286" s="45"/>
      <c r="H286" s="45"/>
      <c r="I286" s="45"/>
      <c r="J286" s="45"/>
      <c r="K286" s="45"/>
      <c r="L286" s="45"/>
      <c r="M286" s="45"/>
      <c r="N286" s="45"/>
      <c r="O286" s="45"/>
      <c r="P286" s="45"/>
      <c r="Q286" s="45"/>
    </row>
    <row r="287" spans="2:17" ht="34" x14ac:dyDescent="0.2">
      <c r="B287" s="156"/>
      <c r="C287" s="157"/>
      <c r="D287" s="59" t="s">
        <v>936</v>
      </c>
      <c r="E287" s="46">
        <v>6</v>
      </c>
      <c r="F287" s="45"/>
      <c r="G287" s="45"/>
      <c r="H287" s="45"/>
      <c r="I287" s="45"/>
      <c r="J287" s="45"/>
      <c r="K287" s="45"/>
      <c r="L287" s="45"/>
      <c r="M287" s="45"/>
      <c r="N287" s="45"/>
      <c r="O287" s="45"/>
      <c r="P287" s="45"/>
      <c r="Q287" s="45"/>
    </row>
    <row r="288" spans="2:17" ht="238" x14ac:dyDescent="0.2">
      <c r="B288" s="46">
        <v>220</v>
      </c>
      <c r="C288" s="59" t="s">
        <v>937</v>
      </c>
      <c r="D288" s="59" t="s">
        <v>938</v>
      </c>
      <c r="E288" s="46">
        <v>6</v>
      </c>
      <c r="F288" s="45"/>
      <c r="G288" s="45"/>
      <c r="H288" s="45"/>
      <c r="I288" s="45"/>
      <c r="J288" s="45"/>
      <c r="K288" s="45"/>
      <c r="L288" s="45"/>
      <c r="M288" s="45"/>
      <c r="N288" s="45"/>
      <c r="O288" s="45"/>
      <c r="P288" s="45"/>
      <c r="Q288" s="45"/>
    </row>
    <row r="289" spans="2:17" ht="136" x14ac:dyDescent="0.2">
      <c r="B289" s="46">
        <v>250</v>
      </c>
      <c r="C289" s="59" t="s">
        <v>939</v>
      </c>
      <c r="D289" s="59" t="s">
        <v>940</v>
      </c>
      <c r="E289" s="46">
        <v>6</v>
      </c>
      <c r="F289" s="45"/>
      <c r="G289" s="45"/>
      <c r="H289" s="45"/>
      <c r="I289" s="45"/>
      <c r="J289" s="45"/>
      <c r="K289" s="45"/>
      <c r="L289" s="45"/>
      <c r="M289" s="45"/>
      <c r="N289" s="45"/>
      <c r="O289" s="45"/>
      <c r="P289" s="45"/>
      <c r="Q289" s="45"/>
    </row>
    <row r="290" spans="2:17" ht="34" x14ac:dyDescent="0.2">
      <c r="B290" s="156">
        <v>1630</v>
      </c>
      <c r="C290" s="157" t="s">
        <v>941</v>
      </c>
      <c r="D290" s="65" t="s">
        <v>942</v>
      </c>
      <c r="E290" s="46">
        <v>6</v>
      </c>
      <c r="F290" s="45"/>
      <c r="G290" s="45"/>
      <c r="H290" s="45"/>
      <c r="I290" s="45"/>
      <c r="J290" s="45"/>
      <c r="K290" s="45"/>
      <c r="L290" s="45"/>
      <c r="M290" s="45"/>
      <c r="N290" s="45"/>
      <c r="O290" s="45"/>
      <c r="P290" s="45"/>
      <c r="Q290" s="45"/>
    </row>
    <row r="291" spans="2:17" ht="136" x14ac:dyDescent="0.2">
      <c r="B291" s="156"/>
      <c r="C291" s="157"/>
      <c r="D291" s="65" t="s">
        <v>943</v>
      </c>
      <c r="E291" s="46">
        <v>6</v>
      </c>
      <c r="F291" s="45"/>
      <c r="G291" s="45"/>
      <c r="H291" s="45"/>
      <c r="I291" s="45"/>
      <c r="J291" s="45"/>
      <c r="K291" s="45"/>
      <c r="L291" s="45"/>
      <c r="M291" s="45"/>
      <c r="N291" s="45"/>
      <c r="O291" s="45"/>
      <c r="P291" s="45"/>
      <c r="Q291" s="45"/>
    </row>
    <row r="292" spans="2:17" ht="17" x14ac:dyDescent="0.2">
      <c r="B292" s="156"/>
      <c r="C292" s="157"/>
      <c r="D292" s="65" t="s">
        <v>944</v>
      </c>
      <c r="E292" s="46">
        <v>6</v>
      </c>
      <c r="F292" s="45"/>
      <c r="G292" s="45"/>
      <c r="H292" s="45"/>
      <c r="I292" s="45"/>
      <c r="J292" s="45"/>
      <c r="K292" s="45"/>
      <c r="L292" s="45"/>
      <c r="M292" s="45"/>
      <c r="N292" s="45"/>
      <c r="O292" s="45"/>
      <c r="P292" s="45"/>
      <c r="Q292" s="45"/>
    </row>
    <row r="293" spans="2:17" ht="404" x14ac:dyDescent="0.2">
      <c r="B293" s="156"/>
      <c r="C293" s="157"/>
      <c r="D293" s="66" t="s">
        <v>945</v>
      </c>
      <c r="E293" s="46">
        <v>6</v>
      </c>
      <c r="F293" s="45"/>
      <c r="G293" s="45"/>
      <c r="H293" s="45"/>
      <c r="I293" s="45"/>
      <c r="J293" s="45"/>
      <c r="K293" s="45"/>
      <c r="L293" s="45"/>
      <c r="M293" s="45"/>
      <c r="N293" s="45"/>
      <c r="O293" s="45"/>
      <c r="P293" s="45"/>
      <c r="Q293" s="45"/>
    </row>
    <row r="294" spans="2:17" ht="272" x14ac:dyDescent="0.2">
      <c r="B294" s="46">
        <v>1660</v>
      </c>
      <c r="C294" s="59" t="s">
        <v>946</v>
      </c>
      <c r="D294" s="59" t="s">
        <v>947</v>
      </c>
      <c r="E294" s="46">
        <v>6</v>
      </c>
      <c r="F294" s="45"/>
      <c r="G294" s="45"/>
      <c r="H294" s="45"/>
      <c r="I294" s="45"/>
      <c r="J294" s="45"/>
      <c r="K294" s="45"/>
      <c r="L294" s="45"/>
      <c r="M294" s="45"/>
      <c r="N294" s="45"/>
      <c r="O294" s="45"/>
      <c r="P294" s="45"/>
      <c r="Q294" s="45"/>
    </row>
    <row r="295" spans="2:17" ht="409.6" x14ac:dyDescent="0.2">
      <c r="B295" s="156">
        <v>1670</v>
      </c>
      <c r="C295" s="157" t="s">
        <v>948</v>
      </c>
      <c r="D295" s="59" t="s">
        <v>949</v>
      </c>
      <c r="E295" s="46">
        <v>6</v>
      </c>
      <c r="F295" s="45"/>
      <c r="G295" s="45"/>
      <c r="H295" s="45"/>
      <c r="I295" s="45"/>
      <c r="J295" s="45"/>
      <c r="K295" s="45"/>
      <c r="L295" s="45"/>
      <c r="M295" s="45"/>
      <c r="N295" s="45"/>
      <c r="O295" s="45"/>
      <c r="P295" s="45"/>
      <c r="Q295" s="45"/>
    </row>
    <row r="296" spans="2:17" ht="136" x14ac:dyDescent="0.2">
      <c r="B296" s="156"/>
      <c r="C296" s="157"/>
      <c r="D296" s="65" t="s">
        <v>943</v>
      </c>
      <c r="E296" s="46">
        <v>6</v>
      </c>
      <c r="F296" s="45"/>
      <c r="G296" s="45"/>
      <c r="H296" s="45"/>
      <c r="I296" s="45"/>
      <c r="J296" s="45"/>
      <c r="K296" s="45"/>
      <c r="L296" s="45"/>
      <c r="M296" s="45"/>
      <c r="N296" s="45"/>
      <c r="O296" s="45"/>
      <c r="P296" s="45"/>
      <c r="Q296" s="45"/>
    </row>
    <row r="297" spans="2:17" ht="17" x14ac:dyDescent="0.2">
      <c r="B297" s="156"/>
      <c r="C297" s="157"/>
      <c r="D297" s="65" t="s">
        <v>944</v>
      </c>
      <c r="E297" s="46">
        <v>6</v>
      </c>
      <c r="F297" s="45"/>
      <c r="G297" s="45"/>
      <c r="H297" s="45"/>
      <c r="I297" s="45"/>
      <c r="J297" s="45"/>
      <c r="K297" s="45"/>
      <c r="L297" s="45"/>
      <c r="M297" s="45"/>
      <c r="N297" s="45"/>
      <c r="O297" s="45"/>
      <c r="P297" s="45"/>
      <c r="Q297" s="45"/>
    </row>
    <row r="298" spans="2:17" ht="409.6" x14ac:dyDescent="0.2">
      <c r="B298" s="46">
        <v>1680</v>
      </c>
      <c r="C298" s="59" t="s">
        <v>950</v>
      </c>
      <c r="D298" s="59" t="s">
        <v>951</v>
      </c>
      <c r="E298" s="46">
        <v>6</v>
      </c>
      <c r="F298" s="45"/>
      <c r="G298" s="45"/>
      <c r="H298" s="45"/>
      <c r="I298" s="45"/>
      <c r="J298" s="45"/>
      <c r="K298" s="45"/>
      <c r="L298" s="45"/>
      <c r="M298" s="45"/>
      <c r="N298" s="45"/>
      <c r="O298" s="45"/>
      <c r="P298" s="45"/>
      <c r="Q298" s="45"/>
    </row>
    <row r="299" spans="2:17" ht="34" x14ac:dyDescent="0.2">
      <c r="B299" s="156">
        <v>1681</v>
      </c>
      <c r="C299" s="157" t="s">
        <v>952</v>
      </c>
      <c r="D299" s="59" t="s">
        <v>953</v>
      </c>
      <c r="E299" s="46">
        <v>6</v>
      </c>
      <c r="F299" s="45"/>
      <c r="G299" s="45"/>
      <c r="H299" s="45"/>
      <c r="I299" s="45"/>
      <c r="J299" s="45"/>
      <c r="K299" s="45"/>
      <c r="L299" s="45"/>
      <c r="M299" s="45"/>
      <c r="N299" s="45"/>
      <c r="O299" s="45"/>
      <c r="P299" s="45"/>
      <c r="Q299" s="45"/>
    </row>
    <row r="300" spans="2:17" ht="51" x14ac:dyDescent="0.2">
      <c r="B300" s="156"/>
      <c r="C300" s="157"/>
      <c r="D300" s="59" t="s">
        <v>954</v>
      </c>
      <c r="E300" s="46">
        <v>6</v>
      </c>
      <c r="F300" s="45"/>
      <c r="G300" s="45"/>
      <c r="H300" s="45"/>
      <c r="I300" s="45"/>
      <c r="J300" s="45"/>
      <c r="K300" s="45"/>
      <c r="L300" s="45"/>
      <c r="M300" s="45"/>
      <c r="N300" s="45"/>
      <c r="O300" s="45"/>
      <c r="P300" s="45"/>
      <c r="Q300" s="45"/>
    </row>
    <row r="301" spans="2:17" ht="34" x14ac:dyDescent="0.2">
      <c r="B301" s="156"/>
      <c r="C301" s="157"/>
      <c r="D301" s="59" t="s">
        <v>955</v>
      </c>
      <c r="E301" s="46">
        <v>6</v>
      </c>
      <c r="F301" s="45"/>
      <c r="G301" s="45"/>
      <c r="H301" s="45"/>
      <c r="I301" s="45"/>
      <c r="J301" s="45"/>
      <c r="K301" s="45"/>
      <c r="L301" s="45"/>
      <c r="M301" s="45"/>
      <c r="N301" s="45"/>
      <c r="O301" s="45"/>
      <c r="P301" s="45"/>
      <c r="Q301" s="45"/>
    </row>
    <row r="302" spans="2:17" ht="51" x14ac:dyDescent="0.2">
      <c r="B302" s="156"/>
      <c r="C302" s="157"/>
      <c r="D302" s="59" t="s">
        <v>956</v>
      </c>
      <c r="E302" s="46">
        <v>6</v>
      </c>
      <c r="F302" s="45"/>
      <c r="G302" s="45"/>
      <c r="H302" s="45"/>
      <c r="I302" s="45"/>
      <c r="J302" s="45"/>
      <c r="K302" s="45"/>
      <c r="L302" s="45"/>
      <c r="M302" s="45"/>
      <c r="N302" s="45"/>
      <c r="O302" s="45"/>
      <c r="P302" s="45"/>
      <c r="Q302" s="45"/>
    </row>
    <row r="303" spans="2:17" ht="170" x14ac:dyDescent="0.2">
      <c r="B303" s="156">
        <v>1810</v>
      </c>
      <c r="C303" s="157" t="s">
        <v>957</v>
      </c>
      <c r="D303" s="59" t="s">
        <v>958</v>
      </c>
      <c r="E303" s="46">
        <v>6</v>
      </c>
      <c r="F303" s="45"/>
      <c r="G303" s="45"/>
      <c r="H303" s="45"/>
      <c r="I303" s="45"/>
      <c r="J303" s="45"/>
      <c r="K303" s="45"/>
      <c r="L303" s="45"/>
      <c r="M303" s="45"/>
      <c r="N303" s="45"/>
      <c r="O303" s="45"/>
      <c r="P303" s="45"/>
      <c r="Q303" s="45"/>
    </row>
    <row r="304" spans="2:17" ht="34" x14ac:dyDescent="0.2">
      <c r="B304" s="156"/>
      <c r="C304" s="157"/>
      <c r="D304" s="59" t="s">
        <v>959</v>
      </c>
      <c r="E304" s="46">
        <v>6</v>
      </c>
      <c r="F304" s="45"/>
      <c r="G304" s="45"/>
      <c r="H304" s="45"/>
      <c r="I304" s="45"/>
      <c r="J304" s="45"/>
      <c r="K304" s="45"/>
      <c r="L304" s="45"/>
      <c r="M304" s="45"/>
      <c r="N304" s="45"/>
      <c r="O304" s="45"/>
      <c r="P304" s="45"/>
      <c r="Q304" s="45"/>
    </row>
    <row r="305" spans="2:17" ht="34" x14ac:dyDescent="0.2">
      <c r="B305" s="156"/>
      <c r="C305" s="157"/>
      <c r="D305" s="59" t="s">
        <v>884</v>
      </c>
      <c r="E305" s="46">
        <v>6</v>
      </c>
      <c r="F305" s="45"/>
      <c r="G305" s="45"/>
      <c r="H305" s="45"/>
      <c r="I305" s="45"/>
      <c r="J305" s="45"/>
      <c r="K305" s="45"/>
      <c r="L305" s="45"/>
      <c r="M305" s="45"/>
      <c r="N305" s="45"/>
      <c r="O305" s="45"/>
      <c r="P305" s="45"/>
      <c r="Q305" s="45"/>
    </row>
    <row r="306" spans="2:17" ht="17" x14ac:dyDescent="0.2">
      <c r="B306" s="46">
        <v>1960</v>
      </c>
      <c r="C306" s="59" t="s">
        <v>960</v>
      </c>
      <c r="D306" s="59" t="s">
        <v>961</v>
      </c>
      <c r="E306" s="46">
        <v>6</v>
      </c>
      <c r="F306" s="45"/>
      <c r="G306" s="45"/>
      <c r="H306" s="45"/>
      <c r="I306" s="45"/>
      <c r="J306" s="45"/>
      <c r="K306" s="45"/>
      <c r="L306" s="45"/>
      <c r="M306" s="45"/>
      <c r="N306" s="45"/>
      <c r="O306" s="45"/>
      <c r="P306" s="45"/>
      <c r="Q306" s="45"/>
    </row>
    <row r="307" spans="2:17" ht="372" x14ac:dyDescent="0.2">
      <c r="B307" s="46">
        <v>2380</v>
      </c>
      <c r="C307" s="59" t="s">
        <v>962</v>
      </c>
      <c r="D307" s="59" t="s">
        <v>963</v>
      </c>
      <c r="E307" s="46">
        <v>6</v>
      </c>
      <c r="F307" s="45"/>
      <c r="G307" s="45"/>
      <c r="H307" s="45"/>
      <c r="I307" s="45"/>
      <c r="J307" s="45"/>
      <c r="K307" s="45"/>
      <c r="L307" s="45"/>
      <c r="M307" s="45"/>
      <c r="N307" s="45"/>
      <c r="O307" s="45"/>
      <c r="P307" s="45"/>
      <c r="Q307" s="45"/>
    </row>
    <row r="308" spans="2:17" ht="272" x14ac:dyDescent="0.2">
      <c r="B308" s="46">
        <v>2430</v>
      </c>
      <c r="C308" s="59" t="s">
        <v>964</v>
      </c>
      <c r="D308" s="59" t="s">
        <v>965</v>
      </c>
      <c r="E308" s="46">
        <v>6</v>
      </c>
      <c r="F308" s="45"/>
      <c r="G308" s="45"/>
      <c r="H308" s="45"/>
      <c r="I308" s="45"/>
      <c r="J308" s="45"/>
      <c r="K308" s="45"/>
      <c r="L308" s="45"/>
      <c r="M308" s="45"/>
      <c r="N308" s="45"/>
      <c r="O308" s="45"/>
      <c r="P308" s="45"/>
      <c r="Q308" s="45"/>
    </row>
    <row r="309" spans="2:17" ht="187" x14ac:dyDescent="0.2">
      <c r="B309" s="46">
        <v>140</v>
      </c>
      <c r="C309" s="59" t="s">
        <v>966</v>
      </c>
      <c r="D309" s="59" t="s">
        <v>967</v>
      </c>
      <c r="E309" s="46">
        <v>6</v>
      </c>
      <c r="F309" s="45"/>
      <c r="G309" s="45"/>
      <c r="H309" s="45"/>
      <c r="I309" s="45"/>
      <c r="J309" s="45"/>
      <c r="K309" s="45"/>
      <c r="L309" s="45"/>
      <c r="M309" s="45"/>
      <c r="N309" s="45"/>
      <c r="O309" s="45"/>
      <c r="P309" s="45"/>
      <c r="Q309" s="45"/>
    </row>
    <row r="310" spans="2:17" ht="34" x14ac:dyDescent="0.2">
      <c r="B310" s="156">
        <v>380</v>
      </c>
      <c r="C310" s="157" t="s">
        <v>968</v>
      </c>
      <c r="D310" s="59" t="s">
        <v>969</v>
      </c>
      <c r="E310" s="46">
        <v>6</v>
      </c>
      <c r="F310" s="45"/>
      <c r="G310" s="45"/>
      <c r="H310" s="45"/>
      <c r="I310" s="45"/>
      <c r="J310" s="45"/>
      <c r="K310" s="45"/>
      <c r="L310" s="45"/>
      <c r="M310" s="45"/>
      <c r="N310" s="45"/>
      <c r="O310" s="45"/>
      <c r="P310" s="45"/>
      <c r="Q310" s="45"/>
    </row>
    <row r="311" spans="2:17" ht="34" x14ac:dyDescent="0.2">
      <c r="B311" s="156"/>
      <c r="C311" s="157"/>
      <c r="D311" s="59" t="s">
        <v>970</v>
      </c>
      <c r="E311" s="46">
        <v>6</v>
      </c>
      <c r="F311" s="45"/>
      <c r="G311" s="45"/>
      <c r="H311" s="45"/>
      <c r="I311" s="45"/>
      <c r="J311" s="45"/>
      <c r="K311" s="45"/>
      <c r="L311" s="45"/>
      <c r="M311" s="45"/>
      <c r="N311" s="45"/>
      <c r="O311" s="45"/>
      <c r="P311" s="45"/>
      <c r="Q311" s="45"/>
    </row>
    <row r="312" spans="2:17" ht="34" x14ac:dyDescent="0.2">
      <c r="B312" s="156"/>
      <c r="C312" s="157"/>
      <c r="D312" s="59" t="s">
        <v>971</v>
      </c>
      <c r="E312" s="46">
        <v>6</v>
      </c>
      <c r="F312" s="45"/>
      <c r="G312" s="45"/>
      <c r="H312" s="45"/>
      <c r="I312" s="45"/>
      <c r="J312" s="45"/>
      <c r="K312" s="45"/>
      <c r="L312" s="45"/>
      <c r="M312" s="45"/>
      <c r="N312" s="45"/>
      <c r="O312" s="45"/>
      <c r="P312" s="45"/>
      <c r="Q312" s="45"/>
    </row>
    <row r="313" spans="2:17" ht="51" x14ac:dyDescent="0.2">
      <c r="B313" s="156">
        <v>1540</v>
      </c>
      <c r="C313" s="157" t="s">
        <v>972</v>
      </c>
      <c r="D313" s="59" t="s">
        <v>973</v>
      </c>
      <c r="E313" s="46">
        <v>6</v>
      </c>
      <c r="F313" s="45"/>
      <c r="G313" s="45"/>
      <c r="H313" s="45"/>
      <c r="I313" s="45"/>
      <c r="J313" s="45"/>
      <c r="K313" s="45"/>
      <c r="L313" s="45"/>
      <c r="M313" s="45"/>
      <c r="N313" s="45"/>
      <c r="O313" s="45"/>
      <c r="P313" s="45"/>
      <c r="Q313" s="45"/>
    </row>
    <row r="314" spans="2:17" ht="119" x14ac:dyDescent="0.2">
      <c r="B314" s="156"/>
      <c r="C314" s="157"/>
      <c r="D314" s="59" t="s">
        <v>974</v>
      </c>
      <c r="E314" s="46">
        <v>6</v>
      </c>
      <c r="F314" s="45"/>
      <c r="G314" s="45"/>
      <c r="H314" s="45"/>
      <c r="I314" s="45"/>
      <c r="J314" s="45"/>
      <c r="K314" s="45"/>
      <c r="L314" s="45"/>
      <c r="M314" s="45"/>
      <c r="N314" s="45"/>
      <c r="O314" s="45"/>
      <c r="P314" s="45"/>
      <c r="Q314" s="45"/>
    </row>
    <row r="315" spans="2:17" ht="34" x14ac:dyDescent="0.2">
      <c r="B315" s="156"/>
      <c r="C315" s="157"/>
      <c r="D315" s="59" t="s">
        <v>955</v>
      </c>
      <c r="E315" s="46">
        <v>6</v>
      </c>
      <c r="F315" s="45"/>
      <c r="G315" s="45"/>
      <c r="H315" s="45"/>
      <c r="I315" s="45"/>
      <c r="J315" s="45"/>
      <c r="K315" s="45"/>
      <c r="L315" s="45"/>
      <c r="M315" s="45"/>
      <c r="N315" s="45"/>
      <c r="O315" s="45"/>
      <c r="P315" s="45"/>
      <c r="Q315" s="45"/>
    </row>
    <row r="316" spans="2:17" ht="17" x14ac:dyDescent="0.2">
      <c r="B316" s="156"/>
      <c r="C316" s="157"/>
      <c r="D316" s="59" t="s">
        <v>975</v>
      </c>
      <c r="E316" s="46">
        <v>6</v>
      </c>
      <c r="F316" s="45"/>
      <c r="G316" s="45"/>
      <c r="H316" s="45"/>
      <c r="I316" s="45"/>
      <c r="J316" s="45"/>
      <c r="K316" s="45"/>
      <c r="L316" s="45"/>
      <c r="M316" s="45"/>
      <c r="N316" s="45"/>
      <c r="O316" s="45"/>
      <c r="P316" s="45"/>
      <c r="Q316" s="45"/>
    </row>
    <row r="317" spans="2:17" ht="34" x14ac:dyDescent="0.2">
      <c r="B317" s="46">
        <v>1640</v>
      </c>
      <c r="C317" s="59" t="s">
        <v>976</v>
      </c>
      <c r="D317" s="59" t="s">
        <v>977</v>
      </c>
      <c r="E317" s="46">
        <v>6</v>
      </c>
      <c r="F317" s="45"/>
      <c r="G317" s="45"/>
      <c r="H317" s="45"/>
      <c r="I317" s="45"/>
      <c r="J317" s="45"/>
      <c r="K317" s="45"/>
      <c r="L317" s="45"/>
      <c r="M317" s="45"/>
      <c r="N317" s="45"/>
      <c r="O317" s="45"/>
      <c r="P317" s="45"/>
      <c r="Q317" s="45"/>
    </row>
    <row r="318" spans="2:17" ht="34" x14ac:dyDescent="0.2">
      <c r="B318" s="46">
        <v>1650</v>
      </c>
      <c r="C318" s="59" t="s">
        <v>978</v>
      </c>
      <c r="D318" s="59" t="s">
        <v>979</v>
      </c>
      <c r="E318" s="46">
        <v>6</v>
      </c>
      <c r="F318" s="45"/>
      <c r="G318" s="45"/>
      <c r="H318" s="45"/>
      <c r="I318" s="45"/>
      <c r="J318" s="45"/>
      <c r="K318" s="45"/>
      <c r="L318" s="45"/>
      <c r="M318" s="45"/>
      <c r="N318" s="45"/>
      <c r="O318" s="45"/>
      <c r="P318" s="45"/>
      <c r="Q318" s="45"/>
    </row>
    <row r="319" spans="2:17" ht="170" x14ac:dyDescent="0.2">
      <c r="B319" s="46">
        <v>1920</v>
      </c>
      <c r="C319" s="59" t="s">
        <v>980</v>
      </c>
      <c r="D319" s="59" t="s">
        <v>981</v>
      </c>
      <c r="E319" s="46">
        <v>6</v>
      </c>
      <c r="F319" s="45"/>
      <c r="G319" s="45"/>
      <c r="H319" s="45"/>
      <c r="I319" s="45"/>
      <c r="J319" s="45"/>
      <c r="K319" s="45"/>
      <c r="L319" s="45"/>
      <c r="M319" s="45"/>
      <c r="N319" s="45"/>
      <c r="O319" s="45"/>
      <c r="P319" s="45"/>
      <c r="Q319" s="45"/>
    </row>
    <row r="320" spans="2:17" ht="102" x14ac:dyDescent="0.2">
      <c r="B320" s="46">
        <v>2490</v>
      </c>
      <c r="C320" s="59" t="s">
        <v>982</v>
      </c>
      <c r="D320" s="59" t="s">
        <v>983</v>
      </c>
      <c r="E320" s="46">
        <v>6</v>
      </c>
      <c r="F320" s="45"/>
      <c r="G320" s="45"/>
      <c r="H320" s="45"/>
      <c r="I320" s="45"/>
      <c r="J320" s="45"/>
      <c r="K320" s="45"/>
      <c r="L320" s="45"/>
      <c r="M320" s="45"/>
      <c r="N320" s="45"/>
      <c r="O320" s="45"/>
      <c r="P320" s="45"/>
      <c r="Q320" s="45"/>
    </row>
    <row r="321" spans="2:17" ht="17" x14ac:dyDescent="0.2">
      <c r="B321" s="46">
        <v>2500</v>
      </c>
      <c r="C321" s="59" t="s">
        <v>984</v>
      </c>
      <c r="D321" s="59" t="s">
        <v>985</v>
      </c>
      <c r="E321" s="46">
        <v>6</v>
      </c>
      <c r="F321" s="45"/>
      <c r="G321" s="45"/>
      <c r="H321" s="45"/>
      <c r="I321" s="45"/>
      <c r="J321" s="45"/>
      <c r="K321" s="45"/>
      <c r="L321" s="45"/>
      <c r="M321" s="45"/>
      <c r="N321" s="45"/>
      <c r="O321" s="45"/>
      <c r="P321" s="45"/>
      <c r="Q321" s="45"/>
    </row>
    <row r="322" spans="2:17" ht="51" x14ac:dyDescent="0.2">
      <c r="B322" s="46">
        <v>2510</v>
      </c>
      <c r="C322" s="59" t="s">
        <v>986</v>
      </c>
      <c r="D322" s="59" t="s">
        <v>987</v>
      </c>
      <c r="E322" s="46">
        <v>6</v>
      </c>
      <c r="F322" s="45"/>
      <c r="G322" s="45"/>
      <c r="H322" s="45"/>
      <c r="I322" s="45"/>
      <c r="J322" s="45"/>
      <c r="K322" s="45"/>
      <c r="L322" s="45"/>
      <c r="M322" s="45"/>
      <c r="N322" s="45"/>
      <c r="O322" s="45"/>
      <c r="P322" s="45"/>
      <c r="Q322" s="45"/>
    </row>
    <row r="323" spans="2:17" ht="34" x14ac:dyDescent="0.2">
      <c r="B323" s="46">
        <v>90</v>
      </c>
      <c r="C323" s="59" t="s">
        <v>626</v>
      </c>
      <c r="D323" s="158" t="s">
        <v>988</v>
      </c>
      <c r="E323" s="46">
        <v>7</v>
      </c>
      <c r="F323" s="45"/>
      <c r="G323" s="45"/>
      <c r="H323" s="45"/>
      <c r="I323" s="45"/>
      <c r="J323" s="45"/>
      <c r="K323" s="45"/>
      <c r="L323" s="45"/>
      <c r="M323" s="45"/>
      <c r="N323" s="45"/>
      <c r="O323" s="45"/>
      <c r="P323" s="45"/>
      <c r="Q323" s="45"/>
    </row>
    <row r="324" spans="2:17" ht="85" x14ac:dyDescent="0.2">
      <c r="B324" s="46">
        <v>1170</v>
      </c>
      <c r="C324" s="59" t="s">
        <v>698</v>
      </c>
      <c r="D324" s="158"/>
      <c r="E324" s="46">
        <v>7</v>
      </c>
      <c r="F324" s="45"/>
      <c r="G324" s="45"/>
      <c r="H324" s="45"/>
      <c r="I324" s="45"/>
      <c r="J324" s="45"/>
      <c r="K324" s="45"/>
      <c r="L324" s="45"/>
      <c r="M324" s="45"/>
      <c r="N324" s="45"/>
      <c r="O324" s="45"/>
      <c r="P324" s="45"/>
      <c r="Q324" s="45"/>
    </row>
    <row r="325" spans="2:17" ht="102" x14ac:dyDescent="0.2">
      <c r="B325" s="46">
        <v>1430</v>
      </c>
      <c r="C325" s="59" t="s">
        <v>642</v>
      </c>
      <c r="D325" s="59" t="s">
        <v>989</v>
      </c>
      <c r="E325" s="46">
        <v>7</v>
      </c>
      <c r="F325" s="45"/>
      <c r="G325" s="45"/>
      <c r="H325" s="45"/>
      <c r="I325" s="45"/>
      <c r="J325" s="45"/>
      <c r="K325" s="45"/>
      <c r="L325" s="45"/>
      <c r="M325" s="45"/>
      <c r="N325" s="45"/>
      <c r="O325" s="45"/>
      <c r="P325" s="45"/>
      <c r="Q325" s="45"/>
    </row>
    <row r="326" spans="2:17" ht="221" x14ac:dyDescent="0.2">
      <c r="B326" s="46">
        <v>1490</v>
      </c>
      <c r="C326" s="59" t="s">
        <v>990</v>
      </c>
      <c r="D326" s="59" t="s">
        <v>991</v>
      </c>
      <c r="E326" s="46">
        <v>7</v>
      </c>
      <c r="F326" s="45"/>
      <c r="G326" s="45"/>
      <c r="H326" s="45"/>
      <c r="I326" s="45"/>
      <c r="J326" s="45"/>
      <c r="K326" s="45"/>
      <c r="L326" s="45"/>
      <c r="M326" s="45"/>
      <c r="N326" s="45"/>
      <c r="O326" s="45"/>
      <c r="P326" s="45"/>
      <c r="Q326" s="45"/>
    </row>
    <row r="327" spans="2:17" ht="187" x14ac:dyDescent="0.2">
      <c r="B327" s="46">
        <v>1870</v>
      </c>
      <c r="C327" s="59" t="s">
        <v>992</v>
      </c>
      <c r="D327" s="59" t="s">
        <v>993</v>
      </c>
      <c r="E327" s="46">
        <v>7</v>
      </c>
      <c r="F327" s="45"/>
      <c r="G327" s="45"/>
      <c r="H327" s="45"/>
      <c r="I327" s="45"/>
      <c r="J327" s="45"/>
      <c r="K327" s="45"/>
      <c r="L327" s="45"/>
      <c r="M327" s="45"/>
      <c r="N327" s="45"/>
      <c r="O327" s="45"/>
      <c r="P327" s="45"/>
      <c r="Q327" s="45"/>
    </row>
    <row r="328" spans="2:17" ht="17" x14ac:dyDescent="0.2">
      <c r="B328" s="156">
        <v>1981</v>
      </c>
      <c r="C328" s="157" t="s">
        <v>994</v>
      </c>
      <c r="D328" s="59" t="s">
        <v>995</v>
      </c>
      <c r="E328" s="46">
        <v>7</v>
      </c>
      <c r="F328" s="45"/>
      <c r="G328" s="45"/>
      <c r="H328" s="45"/>
      <c r="I328" s="45"/>
      <c r="J328" s="45"/>
      <c r="K328" s="45"/>
      <c r="L328" s="45"/>
      <c r="M328" s="45"/>
      <c r="N328" s="45"/>
      <c r="O328" s="45"/>
      <c r="P328" s="45"/>
      <c r="Q328" s="45"/>
    </row>
    <row r="329" spans="2:17" ht="56.25" customHeight="1" x14ac:dyDescent="0.2">
      <c r="B329" s="156"/>
      <c r="C329" s="157"/>
      <c r="D329" s="59" t="s">
        <v>996</v>
      </c>
      <c r="E329" s="46">
        <v>7</v>
      </c>
      <c r="F329" s="45"/>
      <c r="G329" s="45"/>
      <c r="H329" s="45"/>
      <c r="I329" s="45"/>
      <c r="J329" s="45"/>
      <c r="K329" s="45"/>
      <c r="L329" s="45"/>
      <c r="M329" s="45"/>
      <c r="N329" s="45"/>
      <c r="O329" s="45"/>
      <c r="P329" s="45"/>
      <c r="Q329" s="45"/>
    </row>
    <row r="330" spans="2:17" ht="34" x14ac:dyDescent="0.2">
      <c r="B330" s="159" t="s">
        <v>997</v>
      </c>
      <c r="C330" s="157" t="s">
        <v>998</v>
      </c>
      <c r="D330" s="59" t="s">
        <v>999</v>
      </c>
      <c r="E330" s="46">
        <v>7</v>
      </c>
      <c r="F330" s="45"/>
      <c r="G330" s="45"/>
      <c r="H330" s="45"/>
      <c r="I330" s="45"/>
      <c r="J330" s="45"/>
      <c r="K330" s="45"/>
      <c r="L330" s="45"/>
      <c r="M330" s="45"/>
      <c r="N330" s="45"/>
      <c r="O330" s="45"/>
      <c r="P330" s="45"/>
      <c r="Q330" s="45"/>
    </row>
    <row r="331" spans="2:17" ht="17" x14ac:dyDescent="0.2">
      <c r="B331" s="156"/>
      <c r="C331" s="157"/>
      <c r="D331" s="59" t="s">
        <v>1000</v>
      </c>
      <c r="E331" s="46">
        <v>7</v>
      </c>
      <c r="F331" s="45"/>
      <c r="G331" s="45"/>
      <c r="H331" s="45"/>
      <c r="I331" s="45"/>
      <c r="J331" s="45"/>
      <c r="K331" s="45"/>
      <c r="L331" s="45"/>
      <c r="M331" s="45"/>
      <c r="N331" s="45"/>
      <c r="O331" s="45"/>
      <c r="P331" s="45"/>
      <c r="Q331" s="45"/>
    </row>
    <row r="332" spans="2:17" ht="17" x14ac:dyDescent="0.2">
      <c r="B332" s="156"/>
      <c r="C332" s="157"/>
      <c r="D332" s="59" t="s">
        <v>1001</v>
      </c>
      <c r="E332" s="46">
        <v>7</v>
      </c>
      <c r="F332" s="45"/>
      <c r="G332" s="45"/>
      <c r="H332" s="45"/>
      <c r="I332" s="45"/>
      <c r="J332" s="45"/>
      <c r="K332" s="45"/>
      <c r="L332" s="45"/>
      <c r="M332" s="45"/>
      <c r="N332" s="45"/>
      <c r="O332" s="45"/>
      <c r="P332" s="45"/>
      <c r="Q332" s="45"/>
    </row>
    <row r="333" spans="2:17" ht="34" x14ac:dyDescent="0.2">
      <c r="B333" s="156"/>
      <c r="C333" s="157"/>
      <c r="D333" s="59" t="s">
        <v>1002</v>
      </c>
      <c r="E333" s="46">
        <v>7</v>
      </c>
      <c r="F333" s="45"/>
      <c r="G333" s="45"/>
      <c r="H333" s="45"/>
      <c r="I333" s="45"/>
      <c r="J333" s="45"/>
      <c r="K333" s="45"/>
      <c r="L333" s="45"/>
      <c r="M333" s="45"/>
      <c r="N333" s="45"/>
      <c r="O333" s="45"/>
      <c r="P333" s="45"/>
      <c r="Q333" s="45"/>
    </row>
    <row r="334" spans="2:17" ht="85" x14ac:dyDescent="0.2">
      <c r="B334" s="156"/>
      <c r="C334" s="157"/>
      <c r="D334" s="59" t="s">
        <v>1003</v>
      </c>
      <c r="E334" s="46">
        <v>7</v>
      </c>
      <c r="F334" s="45"/>
      <c r="G334" s="45"/>
      <c r="H334" s="45"/>
      <c r="I334" s="45"/>
      <c r="J334" s="45"/>
      <c r="K334" s="45"/>
      <c r="L334" s="45"/>
      <c r="M334" s="45"/>
      <c r="N334" s="45"/>
      <c r="O334" s="45"/>
      <c r="P334" s="45"/>
      <c r="Q334" s="45"/>
    </row>
    <row r="335" spans="2:17" ht="34" x14ac:dyDescent="0.2">
      <c r="B335" s="156"/>
      <c r="C335" s="157"/>
      <c r="D335" s="59" t="s">
        <v>1004</v>
      </c>
      <c r="E335" s="46">
        <v>7</v>
      </c>
      <c r="F335" s="45"/>
      <c r="G335" s="45"/>
      <c r="H335" s="45"/>
      <c r="I335" s="45"/>
      <c r="J335" s="45"/>
      <c r="K335" s="45"/>
      <c r="L335" s="45"/>
      <c r="M335" s="45"/>
      <c r="N335" s="45"/>
      <c r="O335" s="45"/>
      <c r="P335" s="45"/>
      <c r="Q335" s="45"/>
    </row>
    <row r="336" spans="2:17" ht="34" x14ac:dyDescent="0.2">
      <c r="B336" s="156"/>
      <c r="C336" s="157"/>
      <c r="D336" s="59" t="s">
        <v>1005</v>
      </c>
      <c r="E336" s="46">
        <v>7</v>
      </c>
      <c r="F336" s="45"/>
      <c r="G336" s="45"/>
      <c r="H336" s="45"/>
      <c r="I336" s="45"/>
      <c r="J336" s="45"/>
      <c r="K336" s="45"/>
      <c r="L336" s="45"/>
      <c r="M336" s="45"/>
      <c r="N336" s="45"/>
      <c r="O336" s="45"/>
      <c r="P336" s="45"/>
      <c r="Q336" s="45"/>
    </row>
    <row r="337" spans="2:17" ht="34" x14ac:dyDescent="0.2">
      <c r="B337" s="156"/>
      <c r="C337" s="157"/>
      <c r="D337" s="59" t="s">
        <v>1006</v>
      </c>
      <c r="E337" s="46">
        <v>7</v>
      </c>
      <c r="F337" s="45"/>
      <c r="G337" s="45"/>
      <c r="H337" s="45"/>
      <c r="I337" s="45"/>
      <c r="J337" s="45"/>
      <c r="K337" s="45"/>
      <c r="L337" s="45"/>
      <c r="M337" s="45"/>
      <c r="N337" s="45"/>
      <c r="O337" s="45"/>
      <c r="P337" s="45"/>
      <c r="Q337" s="45"/>
    </row>
    <row r="338" spans="2:17" ht="34" x14ac:dyDescent="0.2">
      <c r="B338" s="156"/>
      <c r="C338" s="157"/>
      <c r="D338" s="59" t="s">
        <v>1007</v>
      </c>
      <c r="E338" s="46">
        <v>7</v>
      </c>
      <c r="F338" s="45"/>
      <c r="G338" s="45"/>
      <c r="H338" s="45"/>
      <c r="I338" s="45"/>
      <c r="J338" s="45"/>
      <c r="K338" s="45"/>
      <c r="L338" s="45"/>
      <c r="M338" s="45"/>
      <c r="N338" s="45"/>
      <c r="O338" s="45"/>
      <c r="P338" s="45"/>
      <c r="Q338" s="45"/>
    </row>
    <row r="339" spans="2:17" ht="34" x14ac:dyDescent="0.2">
      <c r="B339" s="156"/>
      <c r="C339" s="157"/>
      <c r="D339" s="59" t="s">
        <v>999</v>
      </c>
      <c r="E339" s="46">
        <v>7</v>
      </c>
      <c r="F339" s="45"/>
      <c r="G339" s="45"/>
      <c r="H339" s="45"/>
      <c r="I339" s="45"/>
      <c r="J339" s="45"/>
      <c r="K339" s="45"/>
      <c r="L339" s="45"/>
      <c r="M339" s="45"/>
      <c r="N339" s="45"/>
      <c r="O339" s="45"/>
      <c r="P339" s="45"/>
      <c r="Q339" s="45"/>
    </row>
    <row r="340" spans="2:17" ht="51" x14ac:dyDescent="0.2">
      <c r="B340" s="159" t="s">
        <v>1008</v>
      </c>
      <c r="C340" s="157" t="s">
        <v>1009</v>
      </c>
      <c r="D340" s="59" t="s">
        <v>1010</v>
      </c>
      <c r="E340" s="156">
        <v>7</v>
      </c>
      <c r="F340" s="45"/>
      <c r="G340" s="45"/>
      <c r="H340" s="45"/>
      <c r="I340" s="45"/>
      <c r="J340" s="45"/>
      <c r="K340" s="45"/>
      <c r="L340" s="45"/>
      <c r="M340" s="45"/>
      <c r="N340" s="45"/>
      <c r="O340" s="45"/>
      <c r="P340" s="45"/>
      <c r="Q340" s="45"/>
    </row>
    <row r="341" spans="2:17" ht="17" x14ac:dyDescent="0.2">
      <c r="B341" s="159"/>
      <c r="C341" s="157"/>
      <c r="D341" s="59" t="s">
        <v>1011</v>
      </c>
      <c r="E341" s="156"/>
      <c r="F341" s="45"/>
      <c r="G341" s="45"/>
      <c r="H341" s="45"/>
      <c r="I341" s="45"/>
      <c r="J341" s="45"/>
      <c r="K341" s="45"/>
      <c r="L341" s="45"/>
      <c r="M341" s="45"/>
      <c r="N341" s="45"/>
      <c r="O341" s="45"/>
      <c r="P341" s="45"/>
      <c r="Q341" s="45"/>
    </row>
    <row r="342" spans="2:17" ht="17" x14ac:dyDescent="0.2">
      <c r="B342" s="159"/>
      <c r="C342" s="157"/>
      <c r="D342" s="59" t="s">
        <v>1012</v>
      </c>
      <c r="E342" s="156"/>
      <c r="F342" s="45"/>
      <c r="G342" s="45"/>
      <c r="H342" s="45"/>
      <c r="I342" s="45"/>
      <c r="J342" s="45"/>
      <c r="K342" s="45"/>
      <c r="L342" s="45"/>
      <c r="M342" s="45"/>
      <c r="N342" s="45"/>
      <c r="O342" s="45"/>
      <c r="P342" s="45"/>
      <c r="Q342" s="45"/>
    </row>
    <row r="343" spans="2:17" ht="17" x14ac:dyDescent="0.2">
      <c r="B343" s="159"/>
      <c r="C343" s="157"/>
      <c r="D343" s="59" t="s">
        <v>1013</v>
      </c>
      <c r="E343" s="156"/>
      <c r="F343" s="45"/>
      <c r="G343" s="45"/>
      <c r="H343" s="45"/>
      <c r="I343" s="45"/>
      <c r="J343" s="45"/>
      <c r="K343" s="45"/>
      <c r="L343" s="45"/>
      <c r="M343" s="45"/>
      <c r="N343" s="45"/>
      <c r="O343" s="45"/>
      <c r="P343" s="45"/>
      <c r="Q343" s="45"/>
    </row>
    <row r="344" spans="2:17" ht="17" x14ac:dyDescent="0.2">
      <c r="B344" s="159"/>
      <c r="C344" s="157"/>
      <c r="D344" s="59" t="s">
        <v>1014</v>
      </c>
      <c r="E344" s="156"/>
      <c r="F344" s="45"/>
      <c r="G344" s="45"/>
      <c r="H344" s="45"/>
      <c r="I344" s="45"/>
      <c r="J344" s="45"/>
      <c r="K344" s="45"/>
      <c r="L344" s="45"/>
      <c r="M344" s="45"/>
      <c r="N344" s="45"/>
      <c r="O344" s="45"/>
      <c r="P344" s="45"/>
      <c r="Q344" s="45"/>
    </row>
    <row r="345" spans="2:17" ht="17" x14ac:dyDescent="0.2">
      <c r="B345" s="159"/>
      <c r="C345" s="157"/>
      <c r="D345" s="59" t="s">
        <v>1015</v>
      </c>
      <c r="E345" s="156"/>
      <c r="F345" s="45"/>
      <c r="G345" s="45"/>
      <c r="H345" s="45"/>
      <c r="I345" s="45"/>
      <c r="J345" s="45"/>
      <c r="K345" s="45"/>
      <c r="L345" s="45"/>
      <c r="M345" s="45"/>
      <c r="N345" s="45"/>
      <c r="O345" s="45"/>
      <c r="P345" s="45"/>
      <c r="Q345" s="45"/>
    </row>
    <row r="346" spans="2:17" ht="17" x14ac:dyDescent="0.2">
      <c r="B346" s="159"/>
      <c r="C346" s="157"/>
      <c r="D346" s="59" t="s">
        <v>1016</v>
      </c>
      <c r="E346" s="156"/>
      <c r="F346" s="45"/>
      <c r="G346" s="45"/>
      <c r="H346" s="45"/>
      <c r="I346" s="45"/>
      <c r="J346" s="45"/>
      <c r="K346" s="45"/>
      <c r="L346" s="45"/>
      <c r="M346" s="45"/>
      <c r="N346" s="45"/>
      <c r="O346" s="45"/>
      <c r="P346" s="45"/>
      <c r="Q346" s="45"/>
    </row>
    <row r="347" spans="2:17" ht="17" x14ac:dyDescent="0.2">
      <c r="B347" s="159"/>
      <c r="C347" s="157"/>
      <c r="D347" s="59" t="s">
        <v>1017</v>
      </c>
      <c r="E347" s="156"/>
      <c r="F347" s="45"/>
      <c r="G347" s="45"/>
      <c r="H347" s="45"/>
      <c r="I347" s="45"/>
      <c r="J347" s="45"/>
      <c r="K347" s="45"/>
      <c r="L347" s="45"/>
      <c r="M347" s="45"/>
      <c r="N347" s="45"/>
      <c r="O347" s="45"/>
      <c r="P347" s="45"/>
      <c r="Q347" s="45"/>
    </row>
    <row r="348" spans="2:17" ht="17" x14ac:dyDescent="0.2">
      <c r="B348" s="159"/>
      <c r="C348" s="157"/>
      <c r="D348" s="59" t="s">
        <v>1018</v>
      </c>
      <c r="E348" s="156"/>
      <c r="F348" s="45"/>
      <c r="G348" s="45"/>
      <c r="H348" s="45"/>
      <c r="I348" s="45"/>
      <c r="J348" s="45"/>
      <c r="K348" s="45"/>
      <c r="L348" s="45"/>
      <c r="M348" s="45"/>
      <c r="N348" s="45"/>
      <c r="O348" s="45"/>
      <c r="P348" s="45"/>
      <c r="Q348" s="45"/>
    </row>
    <row r="349" spans="2:17" ht="34" x14ac:dyDescent="0.2">
      <c r="B349" s="159"/>
      <c r="C349" s="157"/>
      <c r="D349" s="59" t="s">
        <v>1019</v>
      </c>
      <c r="E349" s="156"/>
      <c r="F349" s="45"/>
      <c r="G349" s="45"/>
      <c r="H349" s="45"/>
      <c r="I349" s="45"/>
      <c r="J349" s="45"/>
      <c r="K349" s="45"/>
      <c r="L349" s="45"/>
      <c r="M349" s="45"/>
      <c r="N349" s="45"/>
      <c r="O349" s="45"/>
      <c r="P349" s="45"/>
      <c r="Q349" s="45"/>
    </row>
    <row r="350" spans="2:17" ht="34" x14ac:dyDescent="0.2">
      <c r="B350" s="159"/>
      <c r="C350" s="157"/>
      <c r="D350" s="59" t="s">
        <v>1020</v>
      </c>
      <c r="E350" s="156"/>
      <c r="F350" s="45"/>
      <c r="G350" s="45"/>
      <c r="H350" s="45"/>
      <c r="I350" s="45"/>
      <c r="J350" s="45"/>
      <c r="K350" s="45"/>
      <c r="L350" s="45"/>
      <c r="M350" s="45"/>
      <c r="N350" s="45"/>
      <c r="O350" s="45"/>
      <c r="P350" s="45"/>
      <c r="Q350" s="45"/>
    </row>
    <row r="351" spans="2:17" ht="17" x14ac:dyDescent="0.2">
      <c r="B351" s="159"/>
      <c r="C351" s="157"/>
      <c r="D351" s="59" t="s">
        <v>1021</v>
      </c>
      <c r="E351" s="156"/>
      <c r="F351" s="45"/>
      <c r="G351" s="45"/>
      <c r="H351" s="45"/>
      <c r="I351" s="45"/>
      <c r="J351" s="45"/>
      <c r="K351" s="45"/>
      <c r="L351" s="45"/>
      <c r="M351" s="45"/>
      <c r="N351" s="45"/>
      <c r="O351" s="45"/>
      <c r="P351" s="45"/>
      <c r="Q351" s="45"/>
    </row>
    <row r="352" spans="2:17" ht="34" x14ac:dyDescent="0.2">
      <c r="B352" s="159"/>
      <c r="C352" s="157"/>
      <c r="D352" s="59" t="s">
        <v>1022</v>
      </c>
      <c r="E352" s="156"/>
      <c r="F352" s="45"/>
      <c r="G352" s="45"/>
      <c r="H352" s="45"/>
      <c r="I352" s="45"/>
      <c r="J352" s="45"/>
      <c r="K352" s="45"/>
      <c r="L352" s="45"/>
      <c r="M352" s="45"/>
      <c r="N352" s="45"/>
      <c r="O352" s="45"/>
      <c r="P352" s="45"/>
      <c r="Q352" s="45"/>
    </row>
    <row r="353" spans="2:17" ht="17" x14ac:dyDescent="0.2">
      <c r="B353" s="159"/>
      <c r="C353" s="157"/>
      <c r="D353" s="59" t="s">
        <v>1023</v>
      </c>
      <c r="E353" s="156"/>
      <c r="F353" s="45"/>
      <c r="G353" s="45"/>
      <c r="H353" s="45"/>
      <c r="I353" s="45"/>
      <c r="J353" s="45"/>
      <c r="K353" s="45"/>
      <c r="L353" s="45"/>
      <c r="M353" s="45"/>
      <c r="N353" s="45"/>
      <c r="O353" s="45"/>
      <c r="P353" s="45"/>
      <c r="Q353" s="45"/>
    </row>
    <row r="354" spans="2:17" ht="17" x14ac:dyDescent="0.2">
      <c r="B354" s="159"/>
      <c r="C354" s="157"/>
      <c r="D354" s="59" t="s">
        <v>1024</v>
      </c>
      <c r="E354" s="156"/>
      <c r="F354" s="45"/>
      <c r="G354" s="45"/>
      <c r="H354" s="45"/>
      <c r="I354" s="45"/>
      <c r="J354" s="45"/>
      <c r="K354" s="45"/>
      <c r="L354" s="45"/>
      <c r="M354" s="45"/>
      <c r="N354" s="45"/>
      <c r="O354" s="45"/>
      <c r="P354" s="45"/>
      <c r="Q354" s="45"/>
    </row>
    <row r="355" spans="2:17" ht="17" x14ac:dyDescent="0.2">
      <c r="B355" s="159"/>
      <c r="C355" s="157"/>
      <c r="D355" s="59" t="s">
        <v>1025</v>
      </c>
      <c r="E355" s="156"/>
      <c r="F355" s="45"/>
      <c r="G355" s="45"/>
      <c r="H355" s="45"/>
      <c r="I355" s="45"/>
      <c r="J355" s="45"/>
      <c r="K355" s="45"/>
      <c r="L355" s="45"/>
      <c r="M355" s="45"/>
      <c r="N355" s="45"/>
      <c r="O355" s="45"/>
      <c r="P355" s="45"/>
      <c r="Q355" s="45"/>
    </row>
    <row r="356" spans="2:17" ht="34" x14ac:dyDescent="0.2">
      <c r="B356" s="159"/>
      <c r="C356" s="157"/>
      <c r="D356" s="59" t="s">
        <v>1026</v>
      </c>
      <c r="E356" s="156"/>
      <c r="F356" s="45"/>
      <c r="G356" s="45"/>
      <c r="H356" s="45"/>
      <c r="I356" s="45"/>
      <c r="J356" s="45"/>
      <c r="K356" s="45"/>
      <c r="L356" s="45"/>
      <c r="M356" s="45"/>
      <c r="N356" s="45"/>
      <c r="O356" s="45"/>
      <c r="P356" s="45"/>
      <c r="Q356" s="45"/>
    </row>
    <row r="357" spans="2:17" ht="17" x14ac:dyDescent="0.2">
      <c r="B357" s="159"/>
      <c r="C357" s="157"/>
      <c r="D357" s="59" t="s">
        <v>1027</v>
      </c>
      <c r="E357" s="156"/>
      <c r="F357" s="45"/>
      <c r="G357" s="45"/>
      <c r="H357" s="45"/>
      <c r="I357" s="45"/>
      <c r="J357" s="45"/>
      <c r="K357" s="45"/>
      <c r="L357" s="45"/>
      <c r="M357" s="45"/>
      <c r="N357" s="45"/>
      <c r="O357" s="45"/>
      <c r="P357" s="45"/>
      <c r="Q357" s="45"/>
    </row>
    <row r="358" spans="2:17" ht="17" x14ac:dyDescent="0.2">
      <c r="B358" s="159"/>
      <c r="C358" s="157"/>
      <c r="D358" s="59" t="s">
        <v>1028</v>
      </c>
      <c r="E358" s="156"/>
      <c r="F358" s="45"/>
      <c r="G358" s="45"/>
      <c r="H358" s="45"/>
      <c r="I358" s="45"/>
      <c r="J358" s="45"/>
      <c r="K358" s="45"/>
      <c r="L358" s="45"/>
      <c r="M358" s="45"/>
      <c r="N358" s="45"/>
      <c r="O358" s="45"/>
      <c r="P358" s="45"/>
      <c r="Q358" s="45"/>
    </row>
    <row r="359" spans="2:17" ht="102" x14ac:dyDescent="0.2">
      <c r="B359" s="159" t="s">
        <v>1029</v>
      </c>
      <c r="C359" s="157" t="s">
        <v>1030</v>
      </c>
      <c r="D359" s="59" t="s">
        <v>1031</v>
      </c>
      <c r="E359" s="156">
        <v>7</v>
      </c>
      <c r="F359" s="45"/>
      <c r="G359" s="45"/>
      <c r="H359" s="45"/>
      <c r="I359" s="45"/>
      <c r="J359" s="45"/>
      <c r="K359" s="45"/>
      <c r="L359" s="45"/>
      <c r="M359" s="45"/>
      <c r="N359" s="45"/>
      <c r="O359" s="45"/>
      <c r="P359" s="45"/>
      <c r="Q359" s="45"/>
    </row>
    <row r="360" spans="2:17" ht="34" x14ac:dyDescent="0.2">
      <c r="B360" s="159"/>
      <c r="C360" s="157"/>
      <c r="D360" s="59" t="s">
        <v>1032</v>
      </c>
      <c r="E360" s="156"/>
      <c r="F360" s="45"/>
      <c r="G360" s="45"/>
      <c r="H360" s="45"/>
      <c r="I360" s="45"/>
      <c r="J360" s="45"/>
      <c r="K360" s="45"/>
      <c r="L360" s="45"/>
      <c r="M360" s="45"/>
      <c r="N360" s="45"/>
      <c r="O360" s="45"/>
      <c r="P360" s="45"/>
      <c r="Q360" s="45"/>
    </row>
    <row r="361" spans="2:17" ht="153" x14ac:dyDescent="0.2">
      <c r="B361" s="46"/>
      <c r="C361" s="59" t="s">
        <v>1033</v>
      </c>
      <c r="D361" s="59" t="s">
        <v>1034</v>
      </c>
      <c r="E361" s="46">
        <v>8</v>
      </c>
      <c r="F361" s="45"/>
      <c r="G361" s="45"/>
      <c r="H361" s="45"/>
      <c r="I361" s="45"/>
      <c r="J361" s="45"/>
      <c r="K361" s="45"/>
      <c r="L361" s="45"/>
      <c r="M361" s="45"/>
      <c r="N361" s="45"/>
      <c r="O361" s="45"/>
      <c r="P361" s="45"/>
      <c r="Q361" s="45"/>
    </row>
    <row r="362" spans="2:17" ht="289" x14ac:dyDescent="0.2">
      <c r="B362" s="46">
        <v>170</v>
      </c>
      <c r="C362" s="59" t="s">
        <v>660</v>
      </c>
      <c r="D362" s="59" t="s">
        <v>1035</v>
      </c>
      <c r="E362" s="46">
        <v>8</v>
      </c>
      <c r="F362" s="45"/>
      <c r="G362" s="45"/>
      <c r="H362" s="45"/>
      <c r="I362" s="45"/>
      <c r="J362" s="45"/>
      <c r="K362" s="45"/>
      <c r="L362" s="45"/>
      <c r="M362" s="45"/>
      <c r="N362" s="45"/>
      <c r="O362" s="45"/>
      <c r="P362" s="45"/>
      <c r="Q362" s="45"/>
    </row>
    <row r="363" spans="2:17" ht="187" x14ac:dyDescent="0.2">
      <c r="B363" s="46">
        <v>230</v>
      </c>
      <c r="C363" s="59" t="s">
        <v>1036</v>
      </c>
      <c r="D363" s="59" t="s">
        <v>1037</v>
      </c>
      <c r="E363" s="46">
        <v>8</v>
      </c>
      <c r="F363" s="45"/>
      <c r="G363" s="45"/>
      <c r="H363" s="45"/>
      <c r="I363" s="45"/>
      <c r="J363" s="45"/>
      <c r="K363" s="45"/>
      <c r="L363" s="45"/>
      <c r="M363" s="45"/>
      <c r="N363" s="45"/>
      <c r="O363" s="45"/>
      <c r="P363" s="45"/>
      <c r="Q363" s="45"/>
    </row>
    <row r="364" spans="2:17" x14ac:dyDescent="0.2">
      <c r="B364" s="159" t="s">
        <v>1038</v>
      </c>
      <c r="C364" s="157" t="s">
        <v>1036</v>
      </c>
      <c r="D364" s="158" t="s">
        <v>1039</v>
      </c>
      <c r="E364" s="156">
        <v>8</v>
      </c>
      <c r="F364" s="45"/>
      <c r="G364" s="45"/>
      <c r="H364" s="45"/>
      <c r="I364" s="45"/>
      <c r="J364" s="45"/>
      <c r="K364" s="45"/>
      <c r="L364" s="45"/>
      <c r="M364" s="45"/>
      <c r="N364" s="45"/>
      <c r="O364" s="45"/>
      <c r="P364" s="45"/>
      <c r="Q364" s="45"/>
    </row>
    <row r="365" spans="2:17" x14ac:dyDescent="0.2">
      <c r="B365" s="159"/>
      <c r="C365" s="157"/>
      <c r="D365" s="158"/>
      <c r="E365" s="156"/>
      <c r="F365" s="45"/>
      <c r="G365" s="45"/>
      <c r="H365" s="45"/>
      <c r="I365" s="45"/>
      <c r="J365" s="45"/>
      <c r="K365" s="45"/>
      <c r="L365" s="45"/>
      <c r="M365" s="45"/>
      <c r="N365" s="45"/>
      <c r="O365" s="45"/>
      <c r="P365" s="45"/>
      <c r="Q365" s="45"/>
    </row>
    <row r="366" spans="2:17" x14ac:dyDescent="0.2">
      <c r="B366" s="159"/>
      <c r="C366" s="157"/>
      <c r="D366" s="158"/>
      <c r="E366" s="156"/>
      <c r="F366" s="45"/>
      <c r="G366" s="45"/>
      <c r="H366" s="45"/>
      <c r="I366" s="45"/>
      <c r="J366" s="45"/>
      <c r="K366" s="45"/>
      <c r="L366" s="45"/>
      <c r="M366" s="45"/>
      <c r="N366" s="45"/>
      <c r="O366" s="45"/>
      <c r="P366" s="45"/>
      <c r="Q366" s="45"/>
    </row>
    <row r="367" spans="2:17" ht="153" x14ac:dyDescent="0.2">
      <c r="B367" s="46">
        <v>240</v>
      </c>
      <c r="C367" s="59" t="s">
        <v>1040</v>
      </c>
      <c r="D367" s="59" t="s">
        <v>1041</v>
      </c>
      <c r="E367" s="46">
        <v>8</v>
      </c>
      <c r="F367" s="45"/>
      <c r="G367" s="45"/>
      <c r="H367" s="45"/>
      <c r="I367" s="45"/>
      <c r="J367" s="45"/>
      <c r="K367" s="45"/>
      <c r="L367" s="45"/>
      <c r="M367" s="45"/>
      <c r="N367" s="45"/>
      <c r="O367" s="45"/>
      <c r="P367" s="45"/>
      <c r="Q367" s="45"/>
    </row>
    <row r="368" spans="2:17" ht="289" x14ac:dyDescent="0.2">
      <c r="B368" s="46">
        <v>260</v>
      </c>
      <c r="C368" s="59" t="s">
        <v>1042</v>
      </c>
      <c r="D368" s="59" t="s">
        <v>1043</v>
      </c>
      <c r="E368" s="46">
        <v>8</v>
      </c>
      <c r="F368" s="45"/>
      <c r="G368" s="45"/>
      <c r="H368" s="45"/>
      <c r="I368" s="45"/>
      <c r="J368" s="45"/>
      <c r="K368" s="45"/>
      <c r="L368" s="45"/>
      <c r="M368" s="45"/>
      <c r="N368" s="45"/>
      <c r="O368" s="45"/>
      <c r="P368" s="45"/>
      <c r="Q368" s="45"/>
    </row>
    <row r="369" spans="2:17" ht="204" x14ac:dyDescent="0.2">
      <c r="B369" s="46">
        <v>270</v>
      </c>
      <c r="C369" s="59" t="s">
        <v>1044</v>
      </c>
      <c r="D369" s="59" t="s">
        <v>1045</v>
      </c>
      <c r="E369" s="46">
        <v>8</v>
      </c>
      <c r="F369" s="45"/>
      <c r="G369" s="45"/>
      <c r="H369" s="45"/>
      <c r="I369" s="45"/>
      <c r="J369" s="45"/>
      <c r="K369" s="45"/>
      <c r="L369" s="45"/>
      <c r="M369" s="45"/>
      <c r="N369" s="45"/>
      <c r="O369" s="45"/>
      <c r="P369" s="45"/>
      <c r="Q369" s="45"/>
    </row>
    <row r="370" spans="2:17" ht="102.75" customHeight="1" x14ac:dyDescent="0.2">
      <c r="B370" s="46">
        <v>280</v>
      </c>
      <c r="C370" s="59" t="s">
        <v>1046</v>
      </c>
      <c r="D370" s="59" t="s">
        <v>1047</v>
      </c>
      <c r="E370" s="46">
        <v>8</v>
      </c>
      <c r="F370" s="45"/>
      <c r="G370" s="45"/>
      <c r="H370" s="45"/>
      <c r="I370" s="45"/>
      <c r="J370" s="45"/>
      <c r="K370" s="45"/>
      <c r="L370" s="45"/>
      <c r="M370" s="45"/>
      <c r="N370" s="45"/>
      <c r="O370" s="45"/>
      <c r="P370" s="45"/>
      <c r="Q370" s="45"/>
    </row>
    <row r="371" spans="2:17" ht="68" x14ac:dyDescent="0.2">
      <c r="B371" s="46">
        <v>290</v>
      </c>
      <c r="C371" s="59" t="s">
        <v>1048</v>
      </c>
      <c r="D371" s="59" t="s">
        <v>1049</v>
      </c>
      <c r="E371" s="46">
        <v>8</v>
      </c>
      <c r="F371" s="45"/>
      <c r="G371" s="45"/>
      <c r="H371" s="45"/>
      <c r="I371" s="45"/>
      <c r="J371" s="45"/>
      <c r="K371" s="45"/>
      <c r="L371" s="45"/>
      <c r="M371" s="45"/>
      <c r="N371" s="45"/>
      <c r="O371" s="45"/>
      <c r="P371" s="45"/>
      <c r="Q371" s="45"/>
    </row>
    <row r="372" spans="2:17" ht="94.5" customHeight="1" x14ac:dyDescent="0.2">
      <c r="B372" s="46">
        <v>300</v>
      </c>
      <c r="C372" s="59" t="s">
        <v>1046</v>
      </c>
      <c r="D372" s="59" t="s">
        <v>1050</v>
      </c>
      <c r="E372" s="46">
        <v>8</v>
      </c>
      <c r="F372" s="45"/>
      <c r="G372" s="45"/>
      <c r="H372" s="45"/>
      <c r="I372" s="45"/>
      <c r="J372" s="45"/>
      <c r="K372" s="45"/>
      <c r="L372" s="45"/>
      <c r="M372" s="45"/>
      <c r="N372" s="45"/>
      <c r="O372" s="45"/>
      <c r="P372" s="45"/>
      <c r="Q372" s="45"/>
    </row>
    <row r="373" spans="2:17" ht="289" x14ac:dyDescent="0.2">
      <c r="B373" s="46">
        <v>310</v>
      </c>
      <c r="C373" s="59" t="s">
        <v>1051</v>
      </c>
      <c r="D373" s="59" t="s">
        <v>1052</v>
      </c>
      <c r="E373" s="46">
        <v>8</v>
      </c>
      <c r="F373" s="45"/>
      <c r="G373" s="45"/>
      <c r="H373" s="45"/>
      <c r="I373" s="45"/>
      <c r="J373" s="45"/>
      <c r="K373" s="45"/>
      <c r="L373" s="45"/>
      <c r="M373" s="45"/>
      <c r="N373" s="45"/>
      <c r="O373" s="45"/>
      <c r="P373" s="45"/>
      <c r="Q373" s="45"/>
    </row>
    <row r="374" spans="2:17" ht="221" x14ac:dyDescent="0.2">
      <c r="B374" s="63" t="s">
        <v>1053</v>
      </c>
      <c r="C374" s="59" t="s">
        <v>1051</v>
      </c>
      <c r="D374" s="59" t="s">
        <v>1054</v>
      </c>
      <c r="E374" s="46">
        <v>8</v>
      </c>
      <c r="F374" s="45"/>
      <c r="G374" s="45"/>
      <c r="H374" s="45"/>
      <c r="I374" s="45"/>
      <c r="J374" s="45"/>
      <c r="K374" s="45"/>
      <c r="L374" s="45"/>
      <c r="M374" s="45"/>
      <c r="N374" s="45"/>
      <c r="O374" s="45"/>
      <c r="P374" s="45"/>
      <c r="Q374" s="45"/>
    </row>
    <row r="375" spans="2:17" ht="153" x14ac:dyDescent="0.2">
      <c r="B375" s="46">
        <v>320</v>
      </c>
      <c r="C375" s="59" t="s">
        <v>1055</v>
      </c>
      <c r="D375" s="59" t="s">
        <v>1056</v>
      </c>
      <c r="E375" s="46">
        <v>8</v>
      </c>
      <c r="F375" s="45"/>
      <c r="G375" s="45"/>
      <c r="H375" s="45"/>
      <c r="I375" s="45"/>
      <c r="J375" s="45"/>
      <c r="K375" s="45"/>
      <c r="L375" s="45"/>
      <c r="M375" s="45"/>
      <c r="N375" s="45"/>
      <c r="O375" s="45"/>
      <c r="P375" s="45"/>
      <c r="Q375" s="45"/>
    </row>
    <row r="376" spans="2:17" ht="136" x14ac:dyDescent="0.2">
      <c r="B376" s="46">
        <v>340</v>
      </c>
      <c r="C376" s="59" t="s">
        <v>1057</v>
      </c>
      <c r="D376" s="59" t="s">
        <v>1058</v>
      </c>
      <c r="E376" s="46">
        <v>8</v>
      </c>
      <c r="F376" s="45"/>
      <c r="G376" s="45"/>
      <c r="H376" s="45"/>
      <c r="I376" s="45"/>
      <c r="J376" s="45"/>
      <c r="K376" s="45"/>
      <c r="L376" s="45"/>
      <c r="M376" s="45"/>
      <c r="N376" s="45"/>
      <c r="O376" s="45"/>
      <c r="P376" s="45"/>
      <c r="Q376" s="45"/>
    </row>
    <row r="377" spans="2:17" ht="136" x14ac:dyDescent="0.2">
      <c r="B377" s="46">
        <v>350</v>
      </c>
      <c r="C377" s="59" t="s">
        <v>1059</v>
      </c>
      <c r="D377" s="59" t="s">
        <v>1060</v>
      </c>
      <c r="E377" s="46">
        <v>8</v>
      </c>
      <c r="F377" s="45"/>
      <c r="G377" s="45"/>
      <c r="H377" s="45"/>
      <c r="I377" s="45"/>
      <c r="J377" s="45"/>
      <c r="K377" s="45"/>
      <c r="L377" s="45"/>
      <c r="M377" s="45"/>
      <c r="N377" s="45"/>
      <c r="O377" s="45"/>
      <c r="P377" s="45"/>
      <c r="Q377" s="45"/>
    </row>
    <row r="378" spans="2:17" ht="136" x14ac:dyDescent="0.2">
      <c r="B378" s="46">
        <v>360</v>
      </c>
      <c r="C378" s="59" t="s">
        <v>1061</v>
      </c>
      <c r="D378" s="59" t="s">
        <v>1062</v>
      </c>
      <c r="E378" s="46">
        <v>8</v>
      </c>
      <c r="F378" s="45"/>
      <c r="G378" s="45"/>
      <c r="H378" s="45"/>
      <c r="I378" s="45"/>
      <c r="J378" s="45"/>
      <c r="K378" s="45"/>
      <c r="L378" s="45"/>
      <c r="M378" s="45"/>
      <c r="N378" s="45"/>
      <c r="O378" s="45"/>
      <c r="P378" s="45"/>
      <c r="Q378" s="45"/>
    </row>
    <row r="379" spans="2:17" ht="51" x14ac:dyDescent="0.2">
      <c r="B379" s="46">
        <v>370</v>
      </c>
      <c r="C379" s="59" t="s">
        <v>1063</v>
      </c>
      <c r="D379" s="59" t="s">
        <v>1064</v>
      </c>
      <c r="E379" s="46">
        <v>8</v>
      </c>
      <c r="F379" s="45"/>
      <c r="G379" s="45"/>
      <c r="H379" s="45"/>
      <c r="I379" s="45"/>
      <c r="J379" s="45"/>
      <c r="K379" s="45"/>
      <c r="L379" s="45"/>
      <c r="M379" s="45"/>
      <c r="N379" s="45"/>
      <c r="O379" s="45"/>
      <c r="P379" s="45"/>
      <c r="Q379" s="45"/>
    </row>
    <row r="380" spans="2:17" ht="136" x14ac:dyDescent="0.2">
      <c r="B380" s="46">
        <v>400</v>
      </c>
      <c r="C380" s="59" t="s">
        <v>1065</v>
      </c>
      <c r="D380" s="59" t="s">
        <v>1066</v>
      </c>
      <c r="E380" s="46">
        <v>8</v>
      </c>
      <c r="F380" s="45"/>
      <c r="G380" s="45"/>
      <c r="H380" s="45"/>
      <c r="I380" s="45"/>
      <c r="J380" s="45"/>
      <c r="K380" s="45"/>
      <c r="L380" s="45"/>
      <c r="M380" s="45"/>
      <c r="N380" s="45"/>
      <c r="O380" s="45"/>
      <c r="P380" s="45"/>
      <c r="Q380" s="45"/>
    </row>
    <row r="381" spans="2:17" ht="102" x14ac:dyDescent="0.2">
      <c r="B381" s="46">
        <v>420</v>
      </c>
      <c r="C381" s="59" t="s">
        <v>1067</v>
      </c>
      <c r="D381" s="59" t="s">
        <v>1068</v>
      </c>
      <c r="E381" s="46">
        <v>8</v>
      </c>
      <c r="F381" s="45"/>
      <c r="G381" s="45"/>
      <c r="H381" s="45"/>
      <c r="I381" s="45"/>
      <c r="J381" s="45"/>
      <c r="K381" s="45"/>
      <c r="L381" s="45"/>
      <c r="M381" s="45"/>
      <c r="N381" s="45"/>
      <c r="O381" s="45"/>
      <c r="P381" s="45"/>
      <c r="Q381" s="45"/>
    </row>
    <row r="382" spans="2:17" ht="187" x14ac:dyDescent="0.2">
      <c r="B382" s="46">
        <v>430</v>
      </c>
      <c r="C382" s="59" t="s">
        <v>1069</v>
      </c>
      <c r="D382" s="59" t="s">
        <v>1070</v>
      </c>
      <c r="E382" s="46">
        <v>8</v>
      </c>
      <c r="F382" s="45"/>
      <c r="G382" s="45"/>
      <c r="H382" s="45"/>
      <c r="I382" s="45"/>
      <c r="J382" s="45"/>
      <c r="K382" s="45"/>
      <c r="L382" s="45"/>
      <c r="M382" s="45"/>
      <c r="N382" s="45"/>
      <c r="O382" s="45"/>
      <c r="P382" s="45"/>
      <c r="Q382" s="45"/>
    </row>
    <row r="383" spans="2:17" ht="34" x14ac:dyDescent="0.2">
      <c r="B383" s="46">
        <v>530</v>
      </c>
      <c r="C383" s="59" t="s">
        <v>1071</v>
      </c>
      <c r="D383" s="59" t="s">
        <v>1072</v>
      </c>
      <c r="E383" s="46">
        <v>8</v>
      </c>
      <c r="F383" s="45"/>
      <c r="G383" s="45"/>
      <c r="H383" s="45"/>
      <c r="I383" s="45"/>
      <c r="J383" s="45"/>
      <c r="K383" s="45"/>
      <c r="L383" s="45"/>
      <c r="M383" s="45"/>
      <c r="N383" s="45"/>
      <c r="O383" s="45"/>
      <c r="P383" s="45"/>
      <c r="Q383" s="45"/>
    </row>
    <row r="384" spans="2:17" ht="204" x14ac:dyDescent="0.2">
      <c r="B384" s="46">
        <v>610</v>
      </c>
      <c r="C384" s="59" t="s">
        <v>1073</v>
      </c>
      <c r="D384" s="59" t="s">
        <v>1074</v>
      </c>
      <c r="E384" s="46">
        <v>8</v>
      </c>
      <c r="F384" s="45"/>
      <c r="G384" s="45"/>
      <c r="H384" s="45"/>
      <c r="I384" s="45"/>
      <c r="J384" s="45"/>
      <c r="K384" s="45"/>
      <c r="L384" s="45"/>
      <c r="M384" s="45"/>
      <c r="N384" s="45"/>
      <c r="O384" s="45"/>
      <c r="P384" s="45"/>
      <c r="Q384" s="45"/>
    </row>
    <row r="385" spans="2:17" ht="34" x14ac:dyDescent="0.2">
      <c r="B385" s="46">
        <v>690</v>
      </c>
      <c r="C385" s="59" t="s">
        <v>1075</v>
      </c>
      <c r="D385" s="59" t="s">
        <v>1076</v>
      </c>
      <c r="E385" s="46">
        <v>8</v>
      </c>
      <c r="F385" s="45"/>
      <c r="G385" s="45"/>
      <c r="H385" s="45"/>
      <c r="I385" s="45"/>
      <c r="J385" s="45"/>
      <c r="K385" s="45"/>
      <c r="L385" s="45"/>
      <c r="M385" s="45"/>
      <c r="N385" s="45"/>
      <c r="O385" s="45"/>
      <c r="P385" s="45"/>
      <c r="Q385" s="45"/>
    </row>
    <row r="386" spans="2:17" ht="255" x14ac:dyDescent="0.2">
      <c r="B386" s="46">
        <v>781</v>
      </c>
      <c r="C386" s="59" t="s">
        <v>678</v>
      </c>
      <c r="D386" s="59" t="s">
        <v>1077</v>
      </c>
      <c r="E386" s="46">
        <v>8</v>
      </c>
      <c r="F386" s="45"/>
      <c r="G386" s="45"/>
      <c r="H386" s="45"/>
      <c r="I386" s="45"/>
      <c r="J386" s="45"/>
      <c r="K386" s="45"/>
      <c r="L386" s="45"/>
      <c r="M386" s="45"/>
      <c r="N386" s="45"/>
      <c r="O386" s="45"/>
      <c r="P386" s="45"/>
      <c r="Q386" s="45"/>
    </row>
    <row r="387" spans="2:17" ht="102" x14ac:dyDescent="0.2">
      <c r="B387" s="46">
        <v>910</v>
      </c>
      <c r="C387" s="59" t="s">
        <v>691</v>
      </c>
      <c r="D387" s="59" t="s">
        <v>1078</v>
      </c>
      <c r="E387" s="46">
        <v>8</v>
      </c>
      <c r="F387" s="45"/>
      <c r="G387" s="45"/>
      <c r="H387" s="45"/>
      <c r="I387" s="45"/>
      <c r="J387" s="45"/>
      <c r="K387" s="45"/>
      <c r="L387" s="45"/>
      <c r="M387" s="45"/>
      <c r="N387" s="45"/>
      <c r="O387" s="45"/>
      <c r="P387" s="45"/>
      <c r="Q387" s="45"/>
    </row>
    <row r="388" spans="2:17" ht="153" x14ac:dyDescent="0.2">
      <c r="B388" s="46">
        <v>1120</v>
      </c>
      <c r="C388" s="59" t="s">
        <v>731</v>
      </c>
      <c r="D388" s="59" t="s">
        <v>1079</v>
      </c>
      <c r="E388" s="46">
        <v>8</v>
      </c>
      <c r="F388" s="45"/>
      <c r="G388" s="45"/>
      <c r="H388" s="45"/>
      <c r="I388" s="45"/>
      <c r="J388" s="45"/>
      <c r="K388" s="45"/>
      <c r="L388" s="45"/>
      <c r="M388" s="45"/>
      <c r="N388" s="45"/>
      <c r="O388" s="45"/>
      <c r="P388" s="45"/>
      <c r="Q388" s="45"/>
    </row>
    <row r="389" spans="2:17" ht="34" x14ac:dyDescent="0.2">
      <c r="B389" s="46">
        <v>1140</v>
      </c>
      <c r="C389" s="59" t="s">
        <v>1080</v>
      </c>
      <c r="D389" s="59" t="s">
        <v>1081</v>
      </c>
      <c r="E389" s="46">
        <v>8</v>
      </c>
      <c r="F389" s="45"/>
      <c r="G389" s="45"/>
      <c r="H389" s="45"/>
      <c r="I389" s="45"/>
      <c r="J389" s="45"/>
      <c r="K389" s="45"/>
      <c r="L389" s="45"/>
      <c r="M389" s="45"/>
      <c r="N389" s="45"/>
      <c r="O389" s="45"/>
      <c r="P389" s="45"/>
      <c r="Q389" s="45"/>
    </row>
    <row r="390" spans="2:17" ht="119" x14ac:dyDescent="0.2">
      <c r="B390" s="46">
        <v>1150</v>
      </c>
      <c r="C390" s="59" t="s">
        <v>732</v>
      </c>
      <c r="D390" s="59" t="s">
        <v>1082</v>
      </c>
      <c r="E390" s="46">
        <v>8</v>
      </c>
      <c r="F390" s="45"/>
      <c r="G390" s="45"/>
      <c r="H390" s="45"/>
      <c r="I390" s="45"/>
      <c r="J390" s="45"/>
      <c r="K390" s="45"/>
      <c r="L390" s="45"/>
      <c r="M390" s="45"/>
      <c r="N390" s="45"/>
      <c r="O390" s="45"/>
      <c r="P390" s="45"/>
      <c r="Q390" s="45"/>
    </row>
    <row r="391" spans="2:17" ht="119" x14ac:dyDescent="0.2">
      <c r="B391" s="46">
        <v>1330</v>
      </c>
      <c r="C391" s="59" t="s">
        <v>1083</v>
      </c>
      <c r="D391" s="59" t="s">
        <v>1082</v>
      </c>
      <c r="E391" s="46">
        <v>8</v>
      </c>
      <c r="F391" s="45"/>
      <c r="G391" s="45"/>
      <c r="H391" s="45"/>
      <c r="I391" s="45"/>
      <c r="J391" s="45"/>
      <c r="K391" s="45"/>
      <c r="L391" s="45"/>
      <c r="M391" s="45"/>
      <c r="N391" s="45"/>
      <c r="O391" s="45"/>
      <c r="P391" s="45"/>
      <c r="Q391" s="45"/>
    </row>
    <row r="392" spans="2:17" ht="68" x14ac:dyDescent="0.2">
      <c r="B392" s="46">
        <v>1490</v>
      </c>
      <c r="C392" s="59" t="s">
        <v>990</v>
      </c>
      <c r="D392" s="59" t="s">
        <v>1084</v>
      </c>
      <c r="E392" s="46">
        <v>8</v>
      </c>
      <c r="F392" s="45"/>
      <c r="G392" s="45"/>
      <c r="H392" s="45"/>
      <c r="I392" s="45"/>
      <c r="J392" s="45"/>
      <c r="K392" s="45"/>
      <c r="L392" s="45"/>
      <c r="M392" s="45"/>
      <c r="N392" s="45"/>
      <c r="O392" s="45"/>
      <c r="P392" s="45"/>
      <c r="Q392" s="45"/>
    </row>
    <row r="393" spans="2:17" ht="85" x14ac:dyDescent="0.2">
      <c r="B393" s="46">
        <v>1500</v>
      </c>
      <c r="C393" s="59" t="s">
        <v>1085</v>
      </c>
      <c r="D393" s="59" t="s">
        <v>1086</v>
      </c>
      <c r="E393" s="46">
        <v>8</v>
      </c>
      <c r="F393" s="45"/>
      <c r="G393" s="45"/>
      <c r="H393" s="45"/>
      <c r="I393" s="45"/>
      <c r="J393" s="45"/>
      <c r="K393" s="45"/>
      <c r="L393" s="45"/>
      <c r="M393" s="45"/>
      <c r="N393" s="45"/>
      <c r="O393" s="45"/>
      <c r="P393" s="45"/>
      <c r="Q393" s="45"/>
    </row>
    <row r="394" spans="2:17" ht="51" x14ac:dyDescent="0.2">
      <c r="B394" s="46">
        <v>1510</v>
      </c>
      <c r="C394" s="59" t="s">
        <v>1087</v>
      </c>
      <c r="D394" s="59" t="s">
        <v>1088</v>
      </c>
      <c r="E394" s="46">
        <v>8</v>
      </c>
      <c r="F394" s="45"/>
      <c r="G394" s="45"/>
      <c r="H394" s="45"/>
      <c r="I394" s="45"/>
      <c r="J394" s="45"/>
      <c r="K394" s="45"/>
      <c r="L394" s="45"/>
      <c r="M394" s="45"/>
      <c r="N394" s="45"/>
      <c r="O394" s="45"/>
      <c r="P394" s="45"/>
      <c r="Q394" s="45"/>
    </row>
    <row r="395" spans="2:17" ht="119" x14ac:dyDescent="0.2">
      <c r="B395" s="46">
        <v>1820</v>
      </c>
      <c r="C395" s="59" t="s">
        <v>1089</v>
      </c>
      <c r="D395" s="59" t="s">
        <v>1090</v>
      </c>
      <c r="E395" s="46">
        <v>8</v>
      </c>
      <c r="F395" s="45"/>
      <c r="G395" s="45"/>
      <c r="H395" s="45"/>
      <c r="I395" s="45"/>
      <c r="J395" s="45"/>
      <c r="K395" s="45"/>
      <c r="L395" s="45"/>
      <c r="M395" s="45"/>
      <c r="N395" s="45"/>
      <c r="O395" s="45"/>
      <c r="P395" s="45"/>
      <c r="Q395" s="45"/>
    </row>
    <row r="396" spans="2:17" ht="272" x14ac:dyDescent="0.2">
      <c r="B396" s="46">
        <v>1870</v>
      </c>
      <c r="C396" s="59" t="s">
        <v>1091</v>
      </c>
      <c r="D396" s="59" t="s">
        <v>1092</v>
      </c>
      <c r="E396" s="46">
        <v>8</v>
      </c>
      <c r="F396" s="45"/>
      <c r="G396" s="45"/>
      <c r="H396" s="45"/>
      <c r="I396" s="45"/>
      <c r="J396" s="45"/>
      <c r="K396" s="45"/>
      <c r="L396" s="45"/>
      <c r="M396" s="45"/>
      <c r="N396" s="45"/>
      <c r="O396" s="45"/>
      <c r="P396" s="45"/>
      <c r="Q396" s="45"/>
    </row>
    <row r="397" spans="2:17" ht="136" x14ac:dyDescent="0.2">
      <c r="B397" s="46">
        <v>1950</v>
      </c>
      <c r="C397" s="59" t="s">
        <v>1093</v>
      </c>
      <c r="D397" s="59" t="s">
        <v>1094</v>
      </c>
      <c r="E397" s="46">
        <v>8</v>
      </c>
      <c r="F397" s="45"/>
      <c r="G397" s="45"/>
      <c r="H397" s="45"/>
      <c r="I397" s="45"/>
      <c r="J397" s="45"/>
      <c r="K397" s="45"/>
      <c r="L397" s="45"/>
      <c r="M397" s="45"/>
      <c r="N397" s="45"/>
      <c r="O397" s="45"/>
      <c r="P397" s="45"/>
      <c r="Q397" s="45"/>
    </row>
    <row r="398" spans="2:17" ht="85" x14ac:dyDescent="0.2">
      <c r="B398" s="46">
        <v>2000</v>
      </c>
      <c r="C398" s="59" t="s">
        <v>1095</v>
      </c>
      <c r="D398" s="59" t="s">
        <v>1096</v>
      </c>
      <c r="E398" s="46">
        <v>8</v>
      </c>
      <c r="F398" s="45"/>
      <c r="G398" s="45"/>
      <c r="H398" s="45"/>
      <c r="I398" s="45"/>
      <c r="J398" s="45"/>
      <c r="K398" s="45"/>
      <c r="L398" s="45"/>
      <c r="M398" s="45"/>
      <c r="N398" s="45"/>
      <c r="O398" s="45"/>
      <c r="P398" s="45"/>
      <c r="Q398" s="45"/>
    </row>
    <row r="399" spans="2:17" ht="68" x14ac:dyDescent="0.2">
      <c r="B399" s="46">
        <v>2280</v>
      </c>
      <c r="C399" s="59" t="s">
        <v>1097</v>
      </c>
      <c r="D399" s="59" t="s">
        <v>1098</v>
      </c>
      <c r="E399" s="46">
        <v>8</v>
      </c>
      <c r="F399" s="45"/>
      <c r="G399" s="45"/>
      <c r="H399" s="45"/>
      <c r="I399" s="45"/>
      <c r="J399" s="45"/>
      <c r="K399" s="45"/>
      <c r="L399" s="45"/>
      <c r="M399" s="45"/>
      <c r="N399" s="45"/>
      <c r="O399" s="45"/>
      <c r="P399" s="45"/>
      <c r="Q399" s="45"/>
    </row>
    <row r="400" spans="2:17" ht="17" x14ac:dyDescent="0.2">
      <c r="B400" s="46">
        <v>2290</v>
      </c>
      <c r="C400" s="59" t="s">
        <v>1099</v>
      </c>
      <c r="D400" s="59" t="s">
        <v>1100</v>
      </c>
      <c r="E400" s="46">
        <v>8</v>
      </c>
      <c r="F400" s="45"/>
      <c r="G400" s="45"/>
      <c r="H400" s="45"/>
      <c r="I400" s="45"/>
      <c r="J400" s="45"/>
      <c r="K400" s="45"/>
      <c r="L400" s="45"/>
      <c r="M400" s="45"/>
      <c r="N400" s="45"/>
      <c r="O400" s="45"/>
      <c r="P400" s="45"/>
      <c r="Q400" s="45"/>
    </row>
    <row r="401" spans="2:17" ht="272" x14ac:dyDescent="0.2">
      <c r="B401" s="46">
        <v>2660</v>
      </c>
      <c r="C401" s="59" t="s">
        <v>1101</v>
      </c>
      <c r="D401" s="59" t="s">
        <v>1102</v>
      </c>
      <c r="E401" s="46">
        <v>8</v>
      </c>
      <c r="F401" s="45"/>
      <c r="G401" s="45"/>
      <c r="H401" s="45"/>
      <c r="I401" s="45"/>
      <c r="J401" s="45"/>
      <c r="K401" s="45"/>
      <c r="L401" s="45"/>
      <c r="M401" s="45"/>
      <c r="N401" s="45"/>
      <c r="O401" s="45"/>
      <c r="P401" s="45"/>
      <c r="Q401" s="45"/>
    </row>
    <row r="402" spans="2:17" ht="102" x14ac:dyDescent="0.2">
      <c r="B402" s="46">
        <v>2670</v>
      </c>
      <c r="C402" s="59" t="s">
        <v>1103</v>
      </c>
      <c r="D402" s="59" t="s">
        <v>1104</v>
      </c>
      <c r="E402" s="46">
        <v>8</v>
      </c>
      <c r="F402" s="45"/>
      <c r="G402" s="45"/>
      <c r="H402" s="45"/>
      <c r="I402" s="45"/>
      <c r="J402" s="45"/>
      <c r="K402" s="45"/>
      <c r="L402" s="45"/>
      <c r="M402" s="45"/>
      <c r="N402" s="45"/>
      <c r="O402" s="45"/>
      <c r="P402" s="45"/>
      <c r="Q402" s="45"/>
    </row>
    <row r="403" spans="2:17" ht="85" x14ac:dyDescent="0.2">
      <c r="B403" s="46">
        <v>2680</v>
      </c>
      <c r="C403" s="59" t="s">
        <v>1105</v>
      </c>
      <c r="D403" s="59" t="s">
        <v>1106</v>
      </c>
      <c r="E403" s="46">
        <v>8</v>
      </c>
      <c r="F403" s="45"/>
      <c r="G403" s="45"/>
      <c r="H403" s="45"/>
      <c r="I403" s="45"/>
      <c r="J403" s="45"/>
      <c r="K403" s="45"/>
      <c r="L403" s="45"/>
      <c r="M403" s="45"/>
      <c r="N403" s="45"/>
      <c r="O403" s="45"/>
      <c r="P403" s="45"/>
      <c r="Q403" s="45"/>
    </row>
    <row r="404" spans="2:17" ht="153" x14ac:dyDescent="0.2">
      <c r="B404" s="46" t="s">
        <v>1107</v>
      </c>
      <c r="C404" s="59" t="s">
        <v>1108</v>
      </c>
      <c r="D404" s="59" t="s">
        <v>1109</v>
      </c>
      <c r="E404" s="46">
        <v>9</v>
      </c>
      <c r="F404" s="45"/>
      <c r="G404" s="45"/>
      <c r="H404" s="45"/>
      <c r="I404" s="45"/>
      <c r="J404" s="45"/>
      <c r="K404" s="45"/>
      <c r="L404" s="45"/>
      <c r="M404" s="45"/>
      <c r="N404" s="45"/>
      <c r="O404" s="45"/>
      <c r="P404" s="45"/>
      <c r="Q404" s="45"/>
    </row>
    <row r="405" spans="2:17" ht="34" x14ac:dyDescent="0.2">
      <c r="B405" s="46">
        <v>60</v>
      </c>
      <c r="C405" s="59" t="s">
        <v>1110</v>
      </c>
      <c r="D405" s="59" t="s">
        <v>1111</v>
      </c>
      <c r="E405" s="46">
        <v>9</v>
      </c>
      <c r="F405" s="45"/>
      <c r="G405" s="45"/>
      <c r="H405" s="45"/>
      <c r="I405" s="45"/>
      <c r="J405" s="45"/>
      <c r="K405" s="45"/>
      <c r="L405" s="45"/>
      <c r="M405" s="45"/>
      <c r="N405" s="45"/>
      <c r="O405" s="45"/>
      <c r="P405" s="45"/>
      <c r="Q405" s="45"/>
    </row>
    <row r="406" spans="2:17" ht="255" x14ac:dyDescent="0.2">
      <c r="B406" s="46">
        <v>120</v>
      </c>
      <c r="C406" s="59" t="s">
        <v>1112</v>
      </c>
      <c r="D406" s="59" t="s">
        <v>1113</v>
      </c>
      <c r="E406" s="46">
        <v>9</v>
      </c>
      <c r="F406" s="45"/>
      <c r="G406" s="45"/>
      <c r="H406" s="45"/>
      <c r="I406" s="45"/>
      <c r="J406" s="45"/>
      <c r="K406" s="45"/>
      <c r="L406" s="45"/>
      <c r="M406" s="45"/>
      <c r="N406" s="45"/>
      <c r="O406" s="45"/>
      <c r="P406" s="45"/>
      <c r="Q406" s="45"/>
    </row>
    <row r="407" spans="2:17" ht="85" x14ac:dyDescent="0.2">
      <c r="B407" s="46">
        <v>70</v>
      </c>
      <c r="C407" s="59" t="s">
        <v>1114</v>
      </c>
      <c r="D407" s="59" t="s">
        <v>1115</v>
      </c>
      <c r="E407" s="46">
        <v>9</v>
      </c>
      <c r="F407" s="45"/>
      <c r="G407" s="45"/>
      <c r="H407" s="45"/>
      <c r="I407" s="45"/>
      <c r="J407" s="45"/>
      <c r="K407" s="45"/>
      <c r="L407" s="45"/>
      <c r="M407" s="45"/>
      <c r="N407" s="45"/>
      <c r="O407" s="45"/>
      <c r="P407" s="45"/>
      <c r="Q407" s="45"/>
    </row>
    <row r="408" spans="2:17" ht="51" x14ac:dyDescent="0.2">
      <c r="B408" s="46">
        <v>90</v>
      </c>
      <c r="C408" s="59" t="s">
        <v>1116</v>
      </c>
      <c r="D408" s="59" t="s">
        <v>1117</v>
      </c>
      <c r="E408" s="46">
        <v>9</v>
      </c>
      <c r="F408" s="45"/>
      <c r="G408" s="45"/>
      <c r="H408" s="45"/>
      <c r="I408" s="45"/>
      <c r="J408" s="45"/>
      <c r="K408" s="45"/>
      <c r="L408" s="45"/>
      <c r="M408" s="45"/>
      <c r="N408" s="45"/>
      <c r="O408" s="45"/>
      <c r="P408" s="45"/>
      <c r="Q408" s="45"/>
    </row>
    <row r="409" spans="2:17" ht="102" x14ac:dyDescent="0.2">
      <c r="B409" s="46">
        <v>180</v>
      </c>
      <c r="C409" s="59" t="s">
        <v>1118</v>
      </c>
      <c r="D409" s="59" t="s">
        <v>1119</v>
      </c>
      <c r="E409" s="46">
        <v>99</v>
      </c>
      <c r="F409" s="45"/>
      <c r="G409" s="45"/>
      <c r="H409" s="45"/>
      <c r="I409" s="45"/>
      <c r="J409" s="45"/>
      <c r="K409" s="45"/>
      <c r="L409" s="45"/>
      <c r="M409" s="45"/>
      <c r="N409" s="45"/>
      <c r="O409" s="45"/>
      <c r="P409" s="45"/>
      <c r="Q409" s="45"/>
    </row>
    <row r="410" spans="2:17" ht="68" x14ac:dyDescent="0.2">
      <c r="B410" s="46">
        <v>1861</v>
      </c>
      <c r="C410" s="59" t="s">
        <v>1120</v>
      </c>
      <c r="D410" s="59" t="s">
        <v>1121</v>
      </c>
      <c r="E410" s="46">
        <v>9</v>
      </c>
      <c r="F410" s="45"/>
      <c r="G410" s="45"/>
      <c r="H410" s="45"/>
      <c r="I410" s="45"/>
      <c r="J410" s="45"/>
      <c r="K410" s="45"/>
      <c r="L410" s="45"/>
      <c r="M410" s="45"/>
      <c r="N410" s="45"/>
      <c r="O410" s="45"/>
      <c r="P410" s="45"/>
      <c r="Q410" s="45"/>
    </row>
    <row r="411" spans="2:17" ht="51" x14ac:dyDescent="0.2">
      <c r="B411" s="46">
        <v>1910</v>
      </c>
      <c r="C411" s="59" t="s">
        <v>1122</v>
      </c>
      <c r="D411" s="59" t="s">
        <v>1123</v>
      </c>
      <c r="E411" s="46">
        <v>9</v>
      </c>
      <c r="F411" s="45"/>
      <c r="G411" s="45"/>
      <c r="H411" s="45"/>
      <c r="I411" s="45"/>
      <c r="J411" s="45"/>
      <c r="K411" s="45"/>
      <c r="L411" s="45"/>
      <c r="M411" s="45"/>
      <c r="N411" s="45"/>
      <c r="O411" s="45"/>
      <c r="P411" s="45"/>
      <c r="Q411" s="45"/>
    </row>
    <row r="412" spans="2:17" ht="68" x14ac:dyDescent="0.2">
      <c r="B412" s="46">
        <v>1970</v>
      </c>
      <c r="C412" s="59" t="s">
        <v>1124</v>
      </c>
      <c r="D412" s="59" t="s">
        <v>1125</v>
      </c>
      <c r="E412" s="46">
        <v>9</v>
      </c>
      <c r="F412" s="45"/>
      <c r="G412" s="45"/>
      <c r="H412" s="45"/>
      <c r="I412" s="45"/>
      <c r="J412" s="45"/>
      <c r="K412" s="45"/>
      <c r="L412" s="45"/>
      <c r="M412" s="45"/>
      <c r="N412" s="45"/>
      <c r="O412" s="45"/>
      <c r="P412" s="45"/>
      <c r="Q412" s="45"/>
    </row>
    <row r="413" spans="2:17" ht="51" x14ac:dyDescent="0.2">
      <c r="B413" s="46">
        <v>2000</v>
      </c>
      <c r="C413" s="59" t="s">
        <v>1095</v>
      </c>
      <c r="D413" s="59" t="s">
        <v>1126</v>
      </c>
      <c r="E413" s="46">
        <v>9</v>
      </c>
      <c r="F413" s="45"/>
      <c r="G413" s="45"/>
      <c r="H413" s="45"/>
      <c r="I413" s="45"/>
      <c r="J413" s="45"/>
      <c r="K413" s="45"/>
      <c r="L413" s="45"/>
      <c r="M413" s="45"/>
      <c r="N413" s="45"/>
      <c r="O413" s="45"/>
      <c r="P413" s="45"/>
      <c r="Q413" s="45"/>
    </row>
    <row r="414" spans="2:17" ht="68" x14ac:dyDescent="0.2">
      <c r="B414" s="46">
        <v>2270</v>
      </c>
      <c r="C414" s="59" t="s">
        <v>1127</v>
      </c>
      <c r="D414" s="59" t="s">
        <v>1128</v>
      </c>
      <c r="E414" s="46">
        <v>9</v>
      </c>
      <c r="F414" s="45"/>
      <c r="G414" s="45"/>
      <c r="H414" s="45"/>
      <c r="I414" s="45"/>
      <c r="J414" s="45"/>
      <c r="K414" s="45"/>
      <c r="L414" s="45"/>
      <c r="M414" s="45"/>
      <c r="N414" s="45"/>
      <c r="O414" s="45"/>
      <c r="P414" s="45"/>
      <c r="Q414" s="45"/>
    </row>
    <row r="415" spans="2:17" ht="102" x14ac:dyDescent="0.2">
      <c r="B415" s="46">
        <v>2350</v>
      </c>
      <c r="C415" s="59" t="s">
        <v>1129</v>
      </c>
      <c r="D415" s="59" t="s">
        <v>1130</v>
      </c>
      <c r="E415" s="46">
        <v>9</v>
      </c>
      <c r="F415" s="45"/>
      <c r="G415" s="45"/>
      <c r="H415" s="45"/>
      <c r="I415" s="45"/>
      <c r="J415" s="45"/>
      <c r="K415" s="45"/>
      <c r="L415" s="45"/>
      <c r="M415" s="45"/>
      <c r="N415" s="45"/>
      <c r="O415" s="45"/>
      <c r="P415" s="45"/>
      <c r="Q415" s="45"/>
    </row>
    <row r="416" spans="2:17" ht="119" x14ac:dyDescent="0.2">
      <c r="B416" s="46">
        <v>160</v>
      </c>
      <c r="C416" s="59" t="s">
        <v>658</v>
      </c>
      <c r="D416" s="59" t="s">
        <v>1131</v>
      </c>
      <c r="E416" s="46">
        <v>9</v>
      </c>
      <c r="F416" s="45"/>
      <c r="G416" s="45"/>
      <c r="H416" s="45"/>
      <c r="I416" s="45"/>
      <c r="J416" s="45"/>
      <c r="K416" s="45"/>
      <c r="L416" s="45"/>
      <c r="M416" s="45"/>
      <c r="N416" s="45"/>
      <c r="O416" s="45"/>
      <c r="P416" s="45"/>
      <c r="Q416" s="45"/>
    </row>
    <row r="417" spans="2:17" ht="51" x14ac:dyDescent="0.2">
      <c r="B417" s="46">
        <v>170</v>
      </c>
      <c r="C417" s="59" t="s">
        <v>660</v>
      </c>
      <c r="D417" s="59" t="s">
        <v>1132</v>
      </c>
      <c r="E417" s="46">
        <v>9</v>
      </c>
      <c r="F417" s="45"/>
      <c r="G417" s="45"/>
      <c r="H417" s="45"/>
      <c r="I417" s="45"/>
      <c r="J417" s="45"/>
      <c r="K417" s="45"/>
      <c r="L417" s="45"/>
      <c r="M417" s="45"/>
      <c r="N417" s="45"/>
      <c r="O417" s="45"/>
      <c r="P417" s="45"/>
      <c r="Q417" s="45"/>
    </row>
    <row r="418" spans="2:17" ht="102" x14ac:dyDescent="0.2">
      <c r="B418" s="46">
        <v>190</v>
      </c>
      <c r="C418" s="59" t="s">
        <v>1133</v>
      </c>
      <c r="D418" s="59" t="s">
        <v>1134</v>
      </c>
      <c r="E418" s="46">
        <v>9</v>
      </c>
      <c r="F418" s="45"/>
      <c r="G418" s="45"/>
      <c r="H418" s="45"/>
      <c r="I418" s="45"/>
      <c r="J418" s="45"/>
      <c r="K418" s="45"/>
      <c r="L418" s="45"/>
      <c r="M418" s="45"/>
      <c r="N418" s="45"/>
      <c r="O418" s="45"/>
      <c r="P418" s="45"/>
      <c r="Q418" s="45"/>
    </row>
    <row r="419" spans="2:17" ht="68" x14ac:dyDescent="0.2">
      <c r="B419" s="46">
        <v>210</v>
      </c>
      <c r="C419" s="59" t="s">
        <v>661</v>
      </c>
      <c r="D419" s="59" t="s">
        <v>1135</v>
      </c>
      <c r="E419" s="46">
        <v>9</v>
      </c>
      <c r="F419" s="45"/>
      <c r="G419" s="45"/>
      <c r="H419" s="45"/>
      <c r="I419" s="45"/>
      <c r="J419" s="45"/>
      <c r="K419" s="45"/>
      <c r="L419" s="45"/>
      <c r="M419" s="45"/>
      <c r="N419" s="45"/>
      <c r="O419" s="45"/>
      <c r="P419" s="45"/>
      <c r="Q419" s="45"/>
    </row>
    <row r="420" spans="2:17" ht="17" x14ac:dyDescent="0.2">
      <c r="B420" s="46">
        <v>1930</v>
      </c>
      <c r="C420" s="59" t="s">
        <v>1136</v>
      </c>
      <c r="D420" s="59" t="s">
        <v>1137</v>
      </c>
      <c r="E420" s="46">
        <v>9</v>
      </c>
      <c r="F420" s="45"/>
      <c r="G420" s="45"/>
      <c r="H420" s="45"/>
      <c r="I420" s="45"/>
      <c r="J420" s="45"/>
      <c r="K420" s="45"/>
      <c r="L420" s="45"/>
      <c r="M420" s="45"/>
      <c r="N420" s="45"/>
      <c r="O420" s="45"/>
      <c r="P420" s="45"/>
      <c r="Q420" s="45"/>
    </row>
    <row r="421" spans="2:17" ht="85" x14ac:dyDescent="0.2">
      <c r="B421" s="46">
        <v>1980</v>
      </c>
      <c r="C421" s="59" t="s">
        <v>1138</v>
      </c>
      <c r="D421" s="59" t="s">
        <v>1139</v>
      </c>
      <c r="E421" s="46">
        <v>9</v>
      </c>
      <c r="F421" s="45"/>
      <c r="G421" s="45"/>
      <c r="H421" s="45"/>
      <c r="I421" s="45"/>
      <c r="J421" s="45"/>
      <c r="K421" s="45"/>
      <c r="L421" s="45"/>
      <c r="M421" s="45"/>
      <c r="N421" s="45"/>
      <c r="O421" s="45"/>
      <c r="P421" s="45"/>
      <c r="Q421" s="45"/>
    </row>
    <row r="422" spans="2:17" ht="68" x14ac:dyDescent="0.2">
      <c r="B422" s="46">
        <v>2280</v>
      </c>
      <c r="C422" s="59" t="s">
        <v>1140</v>
      </c>
      <c r="D422" s="59" t="s">
        <v>1141</v>
      </c>
      <c r="E422" s="46">
        <v>9</v>
      </c>
      <c r="F422" s="45"/>
      <c r="G422" s="45"/>
      <c r="H422" s="45"/>
      <c r="I422" s="45"/>
      <c r="J422" s="45"/>
      <c r="K422" s="45"/>
      <c r="L422" s="45"/>
      <c r="M422" s="45"/>
      <c r="N422" s="45"/>
      <c r="O422" s="45"/>
      <c r="P422" s="45"/>
      <c r="Q422" s="45"/>
    </row>
    <row r="423" spans="2:17" ht="119" x14ac:dyDescent="0.2">
      <c r="B423" s="46">
        <v>2290</v>
      </c>
      <c r="C423" s="59" t="s">
        <v>1099</v>
      </c>
      <c r="D423" s="59" t="s">
        <v>1142</v>
      </c>
      <c r="E423" s="46">
        <v>9</v>
      </c>
      <c r="F423" s="45"/>
      <c r="G423" s="45"/>
      <c r="H423" s="45"/>
      <c r="I423" s="45"/>
      <c r="J423" s="45"/>
      <c r="K423" s="45"/>
      <c r="L423" s="45"/>
      <c r="M423" s="45"/>
      <c r="N423" s="45"/>
      <c r="O423" s="45"/>
      <c r="P423" s="45"/>
      <c r="Q423" s="45"/>
    </row>
    <row r="424" spans="2:17" ht="68" x14ac:dyDescent="0.2">
      <c r="B424" s="46">
        <v>2300</v>
      </c>
      <c r="C424" s="59" t="s">
        <v>1143</v>
      </c>
      <c r="D424" s="59" t="s">
        <v>1144</v>
      </c>
      <c r="E424" s="46">
        <v>9</v>
      </c>
      <c r="F424" s="45"/>
      <c r="G424" s="45"/>
      <c r="H424" s="45"/>
      <c r="I424" s="45"/>
      <c r="J424" s="45"/>
      <c r="K424" s="45"/>
      <c r="L424" s="45"/>
      <c r="M424" s="45"/>
      <c r="N424" s="45"/>
      <c r="O424" s="45"/>
      <c r="P424" s="45"/>
      <c r="Q424" s="45"/>
    </row>
    <row r="425" spans="2:17" ht="34" x14ac:dyDescent="0.2">
      <c r="B425" s="46">
        <v>2310</v>
      </c>
      <c r="C425" s="59" t="s">
        <v>1145</v>
      </c>
      <c r="D425" s="59" t="s">
        <v>1146</v>
      </c>
      <c r="E425" s="46">
        <v>9</v>
      </c>
      <c r="F425" s="45"/>
      <c r="G425" s="45"/>
      <c r="H425" s="45"/>
      <c r="I425" s="45"/>
      <c r="J425" s="45"/>
      <c r="K425" s="45"/>
      <c r="L425" s="45"/>
      <c r="M425" s="45"/>
      <c r="N425" s="45"/>
      <c r="O425" s="45"/>
      <c r="P425" s="45"/>
      <c r="Q425" s="45"/>
    </row>
    <row r="426" spans="2:17" ht="68" x14ac:dyDescent="0.2">
      <c r="B426" s="46">
        <v>520</v>
      </c>
      <c r="C426" s="59" t="s">
        <v>1147</v>
      </c>
      <c r="D426" s="59" t="s">
        <v>1148</v>
      </c>
      <c r="E426" s="46">
        <v>10</v>
      </c>
      <c r="F426" s="45"/>
      <c r="G426" s="45"/>
      <c r="H426" s="45"/>
      <c r="I426" s="45"/>
      <c r="J426" s="45"/>
      <c r="K426" s="45"/>
      <c r="L426" s="45"/>
      <c r="M426" s="45"/>
      <c r="N426" s="45"/>
      <c r="O426" s="45"/>
      <c r="P426" s="45"/>
      <c r="Q426" s="45"/>
    </row>
    <row r="427" spans="2:17" ht="68" x14ac:dyDescent="0.2">
      <c r="B427" s="46">
        <v>540</v>
      </c>
      <c r="C427" s="59" t="s">
        <v>1149</v>
      </c>
      <c r="D427" s="59" t="s">
        <v>1150</v>
      </c>
      <c r="E427" s="46">
        <v>10</v>
      </c>
      <c r="F427" s="45"/>
      <c r="G427" s="45"/>
      <c r="H427" s="45"/>
      <c r="I427" s="45"/>
      <c r="J427" s="45"/>
      <c r="K427" s="45"/>
      <c r="L427" s="45"/>
      <c r="M427" s="45"/>
      <c r="N427" s="45"/>
      <c r="O427" s="45"/>
      <c r="P427" s="45"/>
      <c r="Q427" s="45"/>
    </row>
    <row r="428" spans="2:17" ht="68" x14ac:dyDescent="0.2">
      <c r="B428" s="46">
        <v>550</v>
      </c>
      <c r="C428" s="59" t="s">
        <v>1151</v>
      </c>
      <c r="D428" s="59" t="s">
        <v>1152</v>
      </c>
      <c r="E428" s="46">
        <v>10</v>
      </c>
      <c r="F428" s="45"/>
      <c r="G428" s="45"/>
      <c r="H428" s="45"/>
      <c r="I428" s="45"/>
      <c r="J428" s="45"/>
      <c r="K428" s="45"/>
      <c r="L428" s="45"/>
      <c r="M428" s="45"/>
      <c r="N428" s="45"/>
      <c r="O428" s="45"/>
      <c r="P428" s="45"/>
      <c r="Q428" s="45"/>
    </row>
    <row r="429" spans="2:17" ht="51" x14ac:dyDescent="0.2">
      <c r="B429" s="46" t="s">
        <v>1153</v>
      </c>
      <c r="C429" s="59" t="s">
        <v>1154</v>
      </c>
      <c r="D429" s="59" t="s">
        <v>1155</v>
      </c>
      <c r="E429" s="46">
        <v>10</v>
      </c>
      <c r="F429" s="45"/>
      <c r="G429" s="45"/>
      <c r="H429" s="45"/>
      <c r="I429" s="45"/>
      <c r="J429" s="45"/>
      <c r="K429" s="45"/>
      <c r="L429" s="45"/>
      <c r="M429" s="45"/>
      <c r="N429" s="45"/>
      <c r="O429" s="45"/>
      <c r="P429" s="45"/>
      <c r="Q429" s="45"/>
    </row>
    <row r="430" spans="2:17" ht="85" x14ac:dyDescent="0.2">
      <c r="B430" s="46" t="s">
        <v>1156</v>
      </c>
      <c r="C430" s="59" t="s">
        <v>1157</v>
      </c>
      <c r="D430" s="59" t="s">
        <v>1158</v>
      </c>
      <c r="E430" s="46">
        <v>10</v>
      </c>
      <c r="F430" s="45"/>
      <c r="G430" s="45"/>
      <c r="H430" s="45"/>
      <c r="I430" s="45"/>
      <c r="J430" s="45"/>
      <c r="K430" s="45"/>
      <c r="L430" s="45"/>
      <c r="M430" s="45"/>
      <c r="N430" s="45"/>
      <c r="O430" s="45"/>
      <c r="P430" s="45"/>
      <c r="Q430" s="45"/>
    </row>
    <row r="431" spans="2:17" ht="51" x14ac:dyDescent="0.2">
      <c r="B431" s="46" t="s">
        <v>1159</v>
      </c>
      <c r="C431" s="59" t="s">
        <v>1160</v>
      </c>
      <c r="D431" s="59" t="s">
        <v>1161</v>
      </c>
      <c r="E431" s="46">
        <v>10</v>
      </c>
      <c r="F431" s="45"/>
      <c r="G431" s="45"/>
      <c r="H431" s="45"/>
      <c r="I431" s="45"/>
      <c r="J431" s="45"/>
      <c r="K431" s="45"/>
      <c r="L431" s="45"/>
      <c r="M431" s="45"/>
      <c r="N431" s="45"/>
      <c r="O431" s="45"/>
      <c r="P431" s="45"/>
      <c r="Q431" s="45"/>
    </row>
    <row r="432" spans="2:17" ht="68" x14ac:dyDescent="0.2">
      <c r="B432" s="46" t="s">
        <v>1162</v>
      </c>
      <c r="C432" s="59" t="s">
        <v>1163</v>
      </c>
      <c r="D432" s="59" t="s">
        <v>1164</v>
      </c>
      <c r="E432" s="46">
        <v>10</v>
      </c>
      <c r="F432" s="45"/>
      <c r="G432" s="45"/>
      <c r="H432" s="45"/>
      <c r="I432" s="45"/>
      <c r="J432" s="45"/>
      <c r="K432" s="45"/>
      <c r="L432" s="45"/>
      <c r="M432" s="45"/>
      <c r="N432" s="45"/>
      <c r="O432" s="45"/>
      <c r="P432" s="45"/>
      <c r="Q432" s="45"/>
    </row>
    <row r="433" spans="2:17" ht="34" x14ac:dyDescent="0.2">
      <c r="B433" s="156">
        <v>20</v>
      </c>
      <c r="C433" s="157" t="s">
        <v>621</v>
      </c>
      <c r="D433" s="59" t="s">
        <v>1165</v>
      </c>
      <c r="E433" s="156">
        <v>11</v>
      </c>
      <c r="F433" s="45"/>
      <c r="G433" s="45"/>
      <c r="H433" s="45"/>
      <c r="I433" s="45"/>
      <c r="J433" s="45"/>
      <c r="K433" s="45"/>
      <c r="L433" s="45"/>
      <c r="M433" s="45"/>
      <c r="N433" s="45"/>
      <c r="O433" s="45"/>
      <c r="P433" s="45"/>
      <c r="Q433" s="45"/>
    </row>
    <row r="434" spans="2:17" ht="34" x14ac:dyDescent="0.2">
      <c r="B434" s="156"/>
      <c r="C434" s="157"/>
      <c r="D434" s="59" t="s">
        <v>1166</v>
      </c>
      <c r="E434" s="156"/>
      <c r="F434" s="45"/>
      <c r="G434" s="45"/>
      <c r="H434" s="45"/>
      <c r="I434" s="45"/>
      <c r="J434" s="45"/>
      <c r="K434" s="45"/>
      <c r="L434" s="45"/>
      <c r="M434" s="45"/>
      <c r="N434" s="45"/>
      <c r="O434" s="45"/>
      <c r="P434" s="45"/>
      <c r="Q434" s="45"/>
    </row>
    <row r="435" spans="2:17" ht="34" x14ac:dyDescent="0.2">
      <c r="B435" s="156"/>
      <c r="C435" s="157"/>
      <c r="D435" s="59" t="s">
        <v>1167</v>
      </c>
      <c r="E435" s="156"/>
      <c r="F435" s="45"/>
      <c r="G435" s="45"/>
      <c r="H435" s="45"/>
      <c r="I435" s="45"/>
      <c r="J435" s="45"/>
      <c r="K435" s="45"/>
      <c r="L435" s="45"/>
      <c r="M435" s="45"/>
      <c r="N435" s="45"/>
      <c r="O435" s="45"/>
      <c r="P435" s="45"/>
      <c r="Q435" s="45"/>
    </row>
    <row r="436" spans="2:17" ht="17" x14ac:dyDescent="0.2">
      <c r="B436" s="156">
        <v>110</v>
      </c>
      <c r="C436" s="157" t="s">
        <v>738</v>
      </c>
      <c r="D436" s="59" t="s">
        <v>739</v>
      </c>
      <c r="E436" s="156">
        <v>11</v>
      </c>
      <c r="F436" s="45"/>
      <c r="G436" s="45"/>
      <c r="H436" s="45"/>
      <c r="I436" s="45"/>
      <c r="J436" s="45"/>
      <c r="K436" s="45"/>
      <c r="L436" s="45"/>
      <c r="M436" s="45"/>
      <c r="N436" s="45"/>
      <c r="O436" s="45"/>
      <c r="P436" s="45"/>
      <c r="Q436" s="45"/>
    </row>
    <row r="437" spans="2:17" ht="34" x14ac:dyDescent="0.2">
      <c r="B437" s="156"/>
      <c r="C437" s="157"/>
      <c r="D437" s="59" t="s">
        <v>740</v>
      </c>
      <c r="E437" s="156"/>
      <c r="F437" s="45"/>
      <c r="G437" s="45"/>
      <c r="H437" s="45"/>
      <c r="I437" s="45"/>
      <c r="J437" s="45"/>
      <c r="K437" s="45"/>
      <c r="L437" s="45"/>
      <c r="M437" s="45"/>
      <c r="N437" s="45"/>
      <c r="O437" s="45"/>
      <c r="P437" s="45"/>
      <c r="Q437" s="45"/>
    </row>
    <row r="438" spans="2:17" ht="34" x14ac:dyDescent="0.2">
      <c r="B438" s="156"/>
      <c r="C438" s="157"/>
      <c r="D438" s="59" t="s">
        <v>741</v>
      </c>
      <c r="E438" s="156"/>
      <c r="F438" s="45"/>
      <c r="G438" s="45"/>
      <c r="H438" s="45"/>
      <c r="I438" s="45"/>
      <c r="J438" s="45"/>
      <c r="K438" s="45"/>
      <c r="L438" s="45"/>
      <c r="M438" s="45"/>
      <c r="N438" s="45"/>
      <c r="O438" s="45"/>
      <c r="P438" s="45"/>
      <c r="Q438" s="45"/>
    </row>
    <row r="439" spans="2:17" ht="17" x14ac:dyDescent="0.2">
      <c r="B439" s="156"/>
      <c r="C439" s="157"/>
      <c r="D439" s="59" t="s">
        <v>742</v>
      </c>
      <c r="E439" s="156"/>
      <c r="F439" s="45"/>
      <c r="G439" s="45"/>
      <c r="H439" s="45"/>
      <c r="I439" s="45"/>
      <c r="J439" s="45"/>
      <c r="K439" s="45"/>
      <c r="L439" s="45"/>
      <c r="M439" s="45"/>
      <c r="N439" s="45"/>
      <c r="O439" s="45"/>
      <c r="P439" s="45"/>
      <c r="Q439" s="45"/>
    </row>
    <row r="440" spans="2:17" ht="34" x14ac:dyDescent="0.2">
      <c r="B440" s="156">
        <v>262</v>
      </c>
      <c r="C440" s="157" t="s">
        <v>1168</v>
      </c>
      <c r="D440" s="59" t="s">
        <v>1169</v>
      </c>
      <c r="E440" s="156">
        <v>11</v>
      </c>
      <c r="F440" s="45"/>
      <c r="G440" s="45"/>
      <c r="H440" s="45"/>
      <c r="I440" s="45"/>
      <c r="J440" s="45"/>
      <c r="K440" s="45"/>
      <c r="L440" s="45"/>
      <c r="M440" s="45"/>
      <c r="N440" s="45"/>
      <c r="O440" s="45"/>
      <c r="P440" s="45"/>
      <c r="Q440" s="45"/>
    </row>
    <row r="441" spans="2:17" ht="34" x14ac:dyDescent="0.2">
      <c r="B441" s="156"/>
      <c r="C441" s="157"/>
      <c r="D441" s="59" t="s">
        <v>1170</v>
      </c>
      <c r="E441" s="156"/>
      <c r="F441" s="45"/>
      <c r="G441" s="45"/>
      <c r="H441" s="45"/>
      <c r="I441" s="45"/>
      <c r="J441" s="45"/>
      <c r="K441" s="45"/>
      <c r="L441" s="45"/>
      <c r="M441" s="45"/>
      <c r="N441" s="45"/>
      <c r="O441" s="45"/>
      <c r="P441" s="45"/>
      <c r="Q441" s="45"/>
    </row>
    <row r="442" spans="2:17" ht="51" x14ac:dyDescent="0.2">
      <c r="B442" s="156"/>
      <c r="C442" s="157"/>
      <c r="D442" s="59" t="s">
        <v>1171</v>
      </c>
      <c r="E442" s="156"/>
      <c r="F442" s="45"/>
      <c r="G442" s="45"/>
      <c r="H442" s="45"/>
      <c r="I442" s="45"/>
      <c r="J442" s="45"/>
      <c r="K442" s="45"/>
      <c r="L442" s="45"/>
      <c r="M442" s="45"/>
      <c r="N442" s="45"/>
      <c r="O442" s="45"/>
      <c r="P442" s="45"/>
      <c r="Q442" s="45"/>
    </row>
    <row r="443" spans="2:17" ht="51" x14ac:dyDescent="0.2">
      <c r="B443" s="156"/>
      <c r="C443" s="157"/>
      <c r="D443" s="59" t="s">
        <v>1172</v>
      </c>
      <c r="E443" s="156"/>
      <c r="F443" s="45"/>
      <c r="G443" s="45"/>
      <c r="H443" s="45"/>
      <c r="I443" s="45"/>
      <c r="J443" s="45"/>
      <c r="K443" s="45"/>
      <c r="L443" s="45"/>
      <c r="M443" s="45"/>
      <c r="N443" s="45"/>
      <c r="O443" s="45"/>
      <c r="P443" s="45"/>
      <c r="Q443" s="45"/>
    </row>
    <row r="444" spans="2:17" ht="17" x14ac:dyDescent="0.2">
      <c r="B444" s="156">
        <v>340</v>
      </c>
      <c r="C444" s="157" t="s">
        <v>1057</v>
      </c>
      <c r="D444" s="59" t="s">
        <v>1173</v>
      </c>
      <c r="E444" s="156">
        <v>11</v>
      </c>
      <c r="F444" s="45"/>
      <c r="G444" s="45"/>
      <c r="H444" s="45"/>
      <c r="I444" s="45"/>
      <c r="J444" s="45"/>
      <c r="K444" s="45"/>
      <c r="L444" s="45"/>
      <c r="M444" s="45"/>
      <c r="N444" s="45"/>
      <c r="O444" s="45"/>
      <c r="P444" s="45"/>
      <c r="Q444" s="45"/>
    </row>
    <row r="445" spans="2:17" ht="17" x14ac:dyDescent="0.2">
      <c r="B445" s="156"/>
      <c r="C445" s="157"/>
      <c r="D445" s="59" t="s">
        <v>1174</v>
      </c>
      <c r="E445" s="156"/>
      <c r="F445" s="45"/>
      <c r="G445" s="45"/>
      <c r="H445" s="45"/>
      <c r="I445" s="45"/>
      <c r="J445" s="45"/>
      <c r="K445" s="45"/>
      <c r="L445" s="45"/>
      <c r="M445" s="45"/>
      <c r="N445" s="45"/>
      <c r="O445" s="45"/>
      <c r="P445" s="45"/>
      <c r="Q445" s="45"/>
    </row>
    <row r="446" spans="2:17" ht="34" x14ac:dyDescent="0.2">
      <c r="B446" s="156"/>
      <c r="C446" s="157"/>
      <c r="D446" s="59" t="s">
        <v>1175</v>
      </c>
      <c r="E446" s="156"/>
      <c r="F446" s="45"/>
      <c r="G446" s="45"/>
      <c r="H446" s="45"/>
      <c r="I446" s="45"/>
      <c r="J446" s="45"/>
      <c r="K446" s="45"/>
      <c r="L446" s="45"/>
      <c r="M446" s="45"/>
      <c r="N446" s="45"/>
      <c r="O446" s="45"/>
      <c r="P446" s="45"/>
      <c r="Q446" s="45"/>
    </row>
    <row r="447" spans="2:17" ht="51" x14ac:dyDescent="0.2">
      <c r="B447" s="156"/>
      <c r="C447" s="157"/>
      <c r="D447" s="59" t="s">
        <v>1176</v>
      </c>
      <c r="E447" s="156"/>
      <c r="F447" s="45"/>
      <c r="G447" s="45"/>
      <c r="H447" s="45"/>
      <c r="I447" s="45"/>
      <c r="J447" s="45"/>
      <c r="K447" s="45"/>
      <c r="L447" s="45"/>
      <c r="M447" s="45"/>
      <c r="N447" s="45"/>
      <c r="O447" s="45"/>
      <c r="P447" s="45"/>
      <c r="Q447" s="45"/>
    </row>
    <row r="448" spans="2:17" ht="17" x14ac:dyDescent="0.2">
      <c r="B448" s="156">
        <v>410</v>
      </c>
      <c r="C448" s="157" t="s">
        <v>743</v>
      </c>
      <c r="D448" s="59" t="s">
        <v>585</v>
      </c>
      <c r="E448" s="156">
        <v>11</v>
      </c>
      <c r="F448" s="45"/>
      <c r="G448" s="45"/>
      <c r="H448" s="45"/>
      <c r="I448" s="45"/>
      <c r="J448" s="45"/>
      <c r="K448" s="45"/>
      <c r="L448" s="45"/>
      <c r="M448" s="45"/>
      <c r="N448" s="45"/>
      <c r="O448" s="45"/>
      <c r="P448" s="45"/>
      <c r="Q448" s="45"/>
    </row>
    <row r="449" spans="2:17" ht="34" x14ac:dyDescent="0.2">
      <c r="B449" s="156"/>
      <c r="C449" s="157"/>
      <c r="D449" s="59" t="s">
        <v>586</v>
      </c>
      <c r="E449" s="156"/>
      <c r="F449" s="45"/>
      <c r="G449" s="45"/>
      <c r="H449" s="45"/>
      <c r="I449" s="45"/>
      <c r="J449" s="45"/>
      <c r="K449" s="45"/>
      <c r="L449" s="45"/>
      <c r="M449" s="45"/>
      <c r="N449" s="45"/>
      <c r="O449" s="45"/>
      <c r="P449" s="45"/>
      <c r="Q449" s="45"/>
    </row>
    <row r="450" spans="2:17" ht="34" x14ac:dyDescent="0.2">
      <c r="B450" s="156"/>
      <c r="C450" s="157"/>
      <c r="D450" s="59" t="s">
        <v>587</v>
      </c>
      <c r="E450" s="156"/>
      <c r="F450" s="45"/>
      <c r="G450" s="45"/>
      <c r="H450" s="45"/>
      <c r="I450" s="45"/>
      <c r="J450" s="45"/>
      <c r="K450" s="45"/>
      <c r="L450" s="45"/>
      <c r="M450" s="45"/>
      <c r="N450" s="45"/>
      <c r="O450" s="45"/>
      <c r="P450" s="45"/>
      <c r="Q450" s="45"/>
    </row>
    <row r="451" spans="2:17" ht="17" x14ac:dyDescent="0.2">
      <c r="B451" s="156"/>
      <c r="C451" s="157"/>
      <c r="D451" s="59" t="s">
        <v>744</v>
      </c>
      <c r="E451" s="156"/>
      <c r="F451" s="45"/>
      <c r="G451" s="45"/>
      <c r="H451" s="45"/>
      <c r="I451" s="45"/>
      <c r="J451" s="45"/>
      <c r="K451" s="45"/>
      <c r="L451" s="45"/>
      <c r="M451" s="45"/>
      <c r="N451" s="45"/>
      <c r="O451" s="45"/>
      <c r="P451" s="45"/>
      <c r="Q451" s="45"/>
    </row>
    <row r="452" spans="2:17" ht="34" x14ac:dyDescent="0.2">
      <c r="B452" s="156"/>
      <c r="C452" s="157"/>
      <c r="D452" s="59" t="s">
        <v>745</v>
      </c>
      <c r="E452" s="156"/>
      <c r="F452" s="45"/>
      <c r="G452" s="45"/>
      <c r="H452" s="45"/>
      <c r="I452" s="45"/>
      <c r="J452" s="45"/>
      <c r="K452" s="45"/>
      <c r="L452" s="45"/>
      <c r="M452" s="45"/>
      <c r="N452" s="45"/>
      <c r="O452" s="45"/>
      <c r="P452" s="45"/>
      <c r="Q452" s="45"/>
    </row>
    <row r="453" spans="2:17" ht="34" x14ac:dyDescent="0.2">
      <c r="B453" s="156"/>
      <c r="C453" s="157"/>
      <c r="D453" s="59" t="s">
        <v>590</v>
      </c>
      <c r="E453" s="156"/>
      <c r="F453" s="45"/>
      <c r="G453" s="45"/>
      <c r="H453" s="45"/>
      <c r="I453" s="45"/>
      <c r="J453" s="45"/>
      <c r="K453" s="45"/>
      <c r="L453" s="45"/>
      <c r="M453" s="45"/>
      <c r="N453" s="45"/>
      <c r="O453" s="45"/>
      <c r="P453" s="45"/>
      <c r="Q453" s="45"/>
    </row>
    <row r="454" spans="2:17" ht="51" x14ac:dyDescent="0.2">
      <c r="B454" s="156"/>
      <c r="C454" s="157"/>
      <c r="D454" s="59" t="s">
        <v>1177</v>
      </c>
      <c r="E454" s="156"/>
      <c r="F454" s="45"/>
      <c r="G454" s="45"/>
      <c r="H454" s="45"/>
      <c r="I454" s="45"/>
      <c r="J454" s="45"/>
      <c r="K454" s="45"/>
      <c r="L454" s="45"/>
      <c r="M454" s="45"/>
      <c r="N454" s="45"/>
      <c r="O454" s="45"/>
      <c r="P454" s="45"/>
      <c r="Q454" s="45"/>
    </row>
    <row r="455" spans="2:17" ht="34" x14ac:dyDescent="0.2">
      <c r="B455" s="156"/>
      <c r="C455" s="157"/>
      <c r="D455" s="59" t="s">
        <v>747</v>
      </c>
      <c r="E455" s="156"/>
      <c r="F455" s="45"/>
      <c r="G455" s="45"/>
      <c r="H455" s="45"/>
      <c r="I455" s="45"/>
      <c r="J455" s="45"/>
      <c r="K455" s="45"/>
      <c r="L455" s="45"/>
      <c r="M455" s="45"/>
      <c r="N455" s="45"/>
      <c r="O455" s="45"/>
      <c r="P455" s="45"/>
      <c r="Q455" s="45"/>
    </row>
    <row r="456" spans="2:17" ht="34" x14ac:dyDescent="0.2">
      <c r="B456" s="156"/>
      <c r="C456" s="157"/>
      <c r="D456" s="59" t="s">
        <v>748</v>
      </c>
      <c r="E456" s="156"/>
      <c r="F456" s="45"/>
      <c r="G456" s="45"/>
      <c r="H456" s="45"/>
      <c r="I456" s="45"/>
      <c r="J456" s="45"/>
      <c r="K456" s="45"/>
      <c r="L456" s="45"/>
      <c r="M456" s="45"/>
      <c r="N456" s="45"/>
      <c r="O456" s="45"/>
      <c r="P456" s="45"/>
      <c r="Q456" s="45"/>
    </row>
    <row r="457" spans="2:17" ht="51" x14ac:dyDescent="0.2">
      <c r="B457" s="156"/>
      <c r="C457" s="157"/>
      <c r="D457" s="59" t="s">
        <v>749</v>
      </c>
      <c r="E457" s="156"/>
      <c r="F457" s="45"/>
      <c r="G457" s="45"/>
      <c r="H457" s="45"/>
      <c r="I457" s="45"/>
      <c r="J457" s="45"/>
      <c r="K457" s="45"/>
      <c r="L457" s="45"/>
      <c r="M457" s="45"/>
      <c r="N457" s="45"/>
      <c r="O457" s="45"/>
      <c r="P457" s="45"/>
      <c r="Q457" s="45"/>
    </row>
    <row r="458" spans="2:17" ht="34" x14ac:dyDescent="0.2">
      <c r="B458" s="46">
        <v>470</v>
      </c>
      <c r="C458" s="59" t="s">
        <v>1178</v>
      </c>
      <c r="D458" s="60" t="s">
        <v>1179</v>
      </c>
      <c r="E458" s="46">
        <v>11</v>
      </c>
      <c r="F458" s="45"/>
      <c r="G458" s="45"/>
      <c r="H458" s="45"/>
      <c r="I458" s="45"/>
      <c r="J458" s="45"/>
      <c r="K458" s="45"/>
      <c r="L458" s="45"/>
      <c r="M458" s="45"/>
      <c r="N458" s="45"/>
      <c r="O458" s="45"/>
      <c r="P458" s="45"/>
      <c r="Q458" s="45"/>
    </row>
    <row r="459" spans="2:17" ht="51" x14ac:dyDescent="0.2">
      <c r="B459" s="46">
        <v>500</v>
      </c>
      <c r="C459" s="59" t="s">
        <v>1180</v>
      </c>
      <c r="D459" s="60" t="s">
        <v>1181</v>
      </c>
      <c r="E459" s="46">
        <v>11</v>
      </c>
      <c r="F459" s="45"/>
      <c r="G459" s="45"/>
      <c r="H459" s="45"/>
      <c r="I459" s="45"/>
      <c r="J459" s="45"/>
      <c r="K459" s="45"/>
      <c r="L459" s="45"/>
      <c r="M459" s="45"/>
      <c r="N459" s="45"/>
      <c r="O459" s="45"/>
      <c r="P459" s="45"/>
      <c r="Q459" s="45"/>
    </row>
    <row r="460" spans="2:17" ht="17" x14ac:dyDescent="0.2">
      <c r="B460" s="46">
        <v>530</v>
      </c>
      <c r="C460" s="59" t="s">
        <v>1071</v>
      </c>
      <c r="D460" s="60" t="s">
        <v>1182</v>
      </c>
      <c r="E460" s="46">
        <v>11</v>
      </c>
      <c r="F460" s="45"/>
      <c r="G460" s="45"/>
      <c r="H460" s="45"/>
      <c r="I460" s="45"/>
      <c r="J460" s="45"/>
      <c r="K460" s="45"/>
      <c r="L460" s="45"/>
      <c r="M460" s="45"/>
      <c r="N460" s="45"/>
      <c r="O460" s="45"/>
      <c r="P460" s="45"/>
      <c r="Q460" s="45"/>
    </row>
    <row r="461" spans="2:17" ht="34" x14ac:dyDescent="0.2">
      <c r="B461" s="156">
        <v>680</v>
      </c>
      <c r="C461" s="157" t="s">
        <v>1183</v>
      </c>
      <c r="D461" s="60" t="s">
        <v>1184</v>
      </c>
      <c r="E461" s="156">
        <v>11</v>
      </c>
      <c r="F461" s="45"/>
      <c r="G461" s="45"/>
      <c r="H461" s="45"/>
      <c r="I461" s="45"/>
      <c r="J461" s="45"/>
      <c r="K461" s="45"/>
      <c r="L461" s="45"/>
      <c r="M461" s="45"/>
      <c r="N461" s="45"/>
      <c r="O461" s="45"/>
      <c r="P461" s="45"/>
      <c r="Q461" s="45"/>
    </row>
    <row r="462" spans="2:17" ht="34" x14ac:dyDescent="0.2">
      <c r="B462" s="156"/>
      <c r="C462" s="157"/>
      <c r="D462" s="60" t="s">
        <v>1185</v>
      </c>
      <c r="E462" s="156"/>
      <c r="F462" s="45"/>
      <c r="G462" s="45"/>
      <c r="H462" s="45"/>
      <c r="I462" s="45"/>
      <c r="J462" s="45"/>
      <c r="K462" s="45"/>
      <c r="L462" s="45"/>
      <c r="M462" s="45"/>
      <c r="N462" s="45"/>
      <c r="O462" s="45"/>
      <c r="P462" s="45"/>
      <c r="Q462" s="45"/>
    </row>
    <row r="463" spans="2:17" ht="17" x14ac:dyDescent="0.2">
      <c r="B463" s="156">
        <v>700</v>
      </c>
      <c r="C463" s="157" t="s">
        <v>1186</v>
      </c>
      <c r="D463" s="60" t="s">
        <v>1187</v>
      </c>
      <c r="E463" s="156">
        <v>11</v>
      </c>
      <c r="F463" s="45"/>
      <c r="G463" s="45"/>
      <c r="H463" s="45"/>
      <c r="I463" s="45"/>
      <c r="J463" s="45"/>
      <c r="K463" s="45"/>
      <c r="L463" s="45"/>
      <c r="M463" s="45"/>
      <c r="N463" s="45"/>
      <c r="O463" s="45"/>
      <c r="P463" s="45"/>
      <c r="Q463" s="45"/>
    </row>
    <row r="464" spans="2:17" ht="17" x14ac:dyDescent="0.2">
      <c r="B464" s="156"/>
      <c r="C464" s="157"/>
      <c r="D464" s="60" t="s">
        <v>1188</v>
      </c>
      <c r="E464" s="156"/>
      <c r="F464" s="45"/>
      <c r="G464" s="45"/>
      <c r="H464" s="45"/>
      <c r="I464" s="45"/>
      <c r="J464" s="45"/>
      <c r="K464" s="45"/>
      <c r="L464" s="45"/>
      <c r="M464" s="45"/>
      <c r="N464" s="45"/>
      <c r="O464" s="45"/>
      <c r="P464" s="45"/>
      <c r="Q464" s="45"/>
    </row>
    <row r="465" spans="2:17" ht="17" x14ac:dyDescent="0.2">
      <c r="B465" s="156">
        <v>710</v>
      </c>
      <c r="C465" s="157" t="s">
        <v>1189</v>
      </c>
      <c r="D465" s="60" t="s">
        <v>1190</v>
      </c>
      <c r="E465" s="156">
        <v>11</v>
      </c>
      <c r="F465" s="45"/>
      <c r="G465" s="45"/>
      <c r="H465" s="45"/>
      <c r="I465" s="45"/>
      <c r="J465" s="45"/>
      <c r="K465" s="45"/>
      <c r="L465" s="45"/>
      <c r="M465" s="45"/>
      <c r="N465" s="45"/>
      <c r="O465" s="45"/>
      <c r="P465" s="45"/>
      <c r="Q465" s="45"/>
    </row>
    <row r="466" spans="2:17" ht="34" x14ac:dyDescent="0.2">
      <c r="B466" s="156"/>
      <c r="C466" s="157"/>
      <c r="D466" s="60" t="s">
        <v>1191</v>
      </c>
      <c r="E466" s="156"/>
      <c r="F466" s="45"/>
      <c r="G466" s="45"/>
      <c r="H466" s="45"/>
      <c r="I466" s="45"/>
      <c r="J466" s="45"/>
      <c r="K466" s="45"/>
      <c r="L466" s="45"/>
      <c r="M466" s="45"/>
      <c r="N466" s="45"/>
      <c r="O466" s="45"/>
      <c r="P466" s="45"/>
      <c r="Q466" s="45"/>
    </row>
    <row r="467" spans="2:17" ht="34" x14ac:dyDescent="0.2">
      <c r="B467" s="46">
        <v>720</v>
      </c>
      <c r="C467" s="59" t="s">
        <v>1192</v>
      </c>
      <c r="D467" s="60" t="s">
        <v>1193</v>
      </c>
      <c r="E467" s="46">
        <v>11</v>
      </c>
      <c r="F467" s="45"/>
      <c r="G467" s="45"/>
      <c r="H467" s="45"/>
      <c r="I467" s="45"/>
      <c r="J467" s="45"/>
      <c r="K467" s="45"/>
      <c r="L467" s="45"/>
      <c r="M467" s="45"/>
      <c r="N467" s="45"/>
      <c r="O467" s="45"/>
      <c r="P467" s="45"/>
      <c r="Q467" s="45"/>
    </row>
    <row r="468" spans="2:17" ht="34" x14ac:dyDescent="0.2">
      <c r="B468" s="46">
        <v>730</v>
      </c>
      <c r="C468" s="59" t="s">
        <v>1194</v>
      </c>
      <c r="D468" s="60" t="s">
        <v>1195</v>
      </c>
      <c r="E468" s="46">
        <v>11</v>
      </c>
      <c r="F468" s="45"/>
      <c r="G468" s="45"/>
      <c r="H468" s="45"/>
      <c r="I468" s="45"/>
      <c r="J468" s="45"/>
      <c r="K468" s="45"/>
      <c r="L468" s="45"/>
      <c r="M468" s="45"/>
      <c r="N468" s="45"/>
      <c r="O468" s="45"/>
      <c r="P468" s="45"/>
      <c r="Q468" s="45"/>
    </row>
    <row r="469" spans="2:17" ht="17" x14ac:dyDescent="0.2">
      <c r="B469" s="156">
        <v>750</v>
      </c>
      <c r="C469" s="157" t="s">
        <v>1196</v>
      </c>
      <c r="D469" s="60" t="s">
        <v>1197</v>
      </c>
      <c r="E469" s="156">
        <v>11</v>
      </c>
      <c r="F469" s="45"/>
      <c r="G469" s="45"/>
      <c r="H469" s="45"/>
      <c r="I469" s="45"/>
      <c r="J469" s="45"/>
      <c r="K469" s="45"/>
      <c r="L469" s="45"/>
      <c r="M469" s="45"/>
      <c r="N469" s="45"/>
      <c r="O469" s="45"/>
      <c r="P469" s="45"/>
      <c r="Q469" s="45"/>
    </row>
    <row r="470" spans="2:17" ht="17" x14ac:dyDescent="0.2">
      <c r="B470" s="156"/>
      <c r="C470" s="157"/>
      <c r="D470" s="60" t="s">
        <v>1198</v>
      </c>
      <c r="E470" s="156"/>
      <c r="F470" s="45"/>
      <c r="G470" s="45"/>
      <c r="H470" s="45"/>
      <c r="I470" s="45"/>
      <c r="J470" s="45"/>
      <c r="K470" s="45"/>
      <c r="L470" s="45"/>
      <c r="M470" s="45"/>
      <c r="N470" s="45"/>
      <c r="O470" s="45"/>
      <c r="P470" s="45"/>
      <c r="Q470" s="45"/>
    </row>
    <row r="471" spans="2:17" ht="17" x14ac:dyDescent="0.2">
      <c r="B471" s="156"/>
      <c r="C471" s="157"/>
      <c r="D471" s="60" t="s">
        <v>1199</v>
      </c>
      <c r="E471" s="156"/>
      <c r="F471" s="45"/>
      <c r="G471" s="45"/>
      <c r="H471" s="45"/>
      <c r="I471" s="45"/>
      <c r="J471" s="45"/>
      <c r="K471" s="45"/>
      <c r="L471" s="45"/>
      <c r="M471" s="45"/>
      <c r="N471" s="45"/>
      <c r="O471" s="45"/>
      <c r="P471" s="45"/>
      <c r="Q471" s="45"/>
    </row>
    <row r="472" spans="2:17" ht="17" x14ac:dyDescent="0.2">
      <c r="B472" s="156" t="s">
        <v>1200</v>
      </c>
      <c r="C472" s="157" t="s">
        <v>1201</v>
      </c>
      <c r="D472" s="60" t="s">
        <v>585</v>
      </c>
      <c r="E472" s="156">
        <v>11</v>
      </c>
      <c r="F472" s="45"/>
      <c r="G472" s="45"/>
      <c r="H472" s="45"/>
      <c r="I472" s="45"/>
      <c r="J472" s="45"/>
      <c r="K472" s="45"/>
      <c r="L472" s="45"/>
      <c r="M472" s="45"/>
      <c r="N472" s="45"/>
      <c r="O472" s="45"/>
      <c r="P472" s="45"/>
      <c r="Q472" s="45"/>
    </row>
    <row r="473" spans="2:17" ht="34" x14ac:dyDescent="0.2">
      <c r="B473" s="156"/>
      <c r="C473" s="157"/>
      <c r="D473" s="60" t="s">
        <v>586</v>
      </c>
      <c r="E473" s="156"/>
      <c r="F473" s="45"/>
      <c r="G473" s="45"/>
      <c r="H473" s="45"/>
      <c r="I473" s="45"/>
      <c r="J473" s="45"/>
      <c r="K473" s="45"/>
      <c r="L473" s="45"/>
      <c r="M473" s="45"/>
      <c r="N473" s="45"/>
      <c r="O473" s="45"/>
      <c r="P473" s="45"/>
      <c r="Q473" s="45"/>
    </row>
    <row r="474" spans="2:17" ht="34" x14ac:dyDescent="0.2">
      <c r="B474" s="156"/>
      <c r="C474" s="157"/>
      <c r="D474" s="60" t="s">
        <v>587</v>
      </c>
      <c r="E474" s="156"/>
      <c r="F474" s="45"/>
      <c r="G474" s="45"/>
      <c r="H474" s="45"/>
      <c r="I474" s="45"/>
      <c r="J474" s="45"/>
      <c r="K474" s="45"/>
      <c r="L474" s="45"/>
      <c r="M474" s="45"/>
      <c r="N474" s="45"/>
      <c r="O474" s="45"/>
      <c r="P474" s="45"/>
      <c r="Q474" s="45"/>
    </row>
    <row r="475" spans="2:17" ht="17" x14ac:dyDescent="0.2">
      <c r="B475" s="156"/>
      <c r="C475" s="157"/>
      <c r="D475" s="60" t="s">
        <v>777</v>
      </c>
      <c r="E475" s="156"/>
      <c r="F475" s="45"/>
      <c r="G475" s="45"/>
      <c r="H475" s="45"/>
      <c r="I475" s="45"/>
      <c r="J475" s="45"/>
      <c r="K475" s="45"/>
      <c r="L475" s="45"/>
      <c r="M475" s="45"/>
      <c r="N475" s="45"/>
      <c r="O475" s="45"/>
      <c r="P475" s="45"/>
      <c r="Q475" s="45"/>
    </row>
    <row r="476" spans="2:17" ht="34" x14ac:dyDescent="0.2">
      <c r="B476" s="156"/>
      <c r="C476" s="157"/>
      <c r="D476" s="60" t="s">
        <v>1202</v>
      </c>
      <c r="E476" s="156"/>
      <c r="F476" s="45"/>
      <c r="G476" s="45"/>
      <c r="H476" s="45"/>
      <c r="I476" s="45"/>
      <c r="J476" s="45"/>
      <c r="K476" s="45"/>
      <c r="L476" s="45"/>
      <c r="M476" s="45"/>
      <c r="N476" s="45"/>
      <c r="O476" s="45"/>
      <c r="P476" s="45"/>
      <c r="Q476" s="45"/>
    </row>
    <row r="477" spans="2:17" ht="34" x14ac:dyDescent="0.2">
      <c r="B477" s="156"/>
      <c r="C477" s="157"/>
      <c r="D477" s="60" t="s">
        <v>779</v>
      </c>
      <c r="E477" s="156"/>
      <c r="F477" s="45"/>
      <c r="G477" s="45"/>
      <c r="H477" s="45"/>
      <c r="I477" s="45"/>
      <c r="J477" s="45"/>
      <c r="K477" s="45"/>
      <c r="L477" s="45"/>
      <c r="M477" s="45"/>
      <c r="N477" s="45"/>
      <c r="O477" s="45"/>
      <c r="P477" s="45"/>
      <c r="Q477" s="45"/>
    </row>
    <row r="478" spans="2:17" ht="34" x14ac:dyDescent="0.2">
      <c r="B478" s="156"/>
      <c r="C478" s="157"/>
      <c r="D478" s="60" t="s">
        <v>1203</v>
      </c>
      <c r="E478" s="156"/>
      <c r="F478" s="45"/>
      <c r="G478" s="45"/>
      <c r="H478" s="45"/>
      <c r="I478" s="45"/>
      <c r="J478" s="45"/>
      <c r="K478" s="45"/>
      <c r="L478" s="45"/>
      <c r="M478" s="45"/>
      <c r="N478" s="45"/>
      <c r="O478" s="45"/>
      <c r="P478" s="45"/>
      <c r="Q478" s="45"/>
    </row>
    <row r="479" spans="2:17" ht="17" x14ac:dyDescent="0.2">
      <c r="B479" s="156">
        <v>781</v>
      </c>
      <c r="C479" s="157" t="s">
        <v>1204</v>
      </c>
      <c r="D479" s="60" t="s">
        <v>1205</v>
      </c>
      <c r="E479" s="156">
        <v>11</v>
      </c>
      <c r="F479" s="45"/>
      <c r="G479" s="45"/>
      <c r="H479" s="45"/>
      <c r="I479" s="45"/>
      <c r="J479" s="45"/>
      <c r="K479" s="45"/>
      <c r="L479" s="45"/>
      <c r="M479" s="45"/>
      <c r="N479" s="45"/>
      <c r="O479" s="45"/>
      <c r="P479" s="45"/>
      <c r="Q479" s="45"/>
    </row>
    <row r="480" spans="2:17" ht="34" x14ac:dyDescent="0.2">
      <c r="B480" s="156"/>
      <c r="C480" s="157"/>
      <c r="D480" s="60" t="s">
        <v>1206</v>
      </c>
      <c r="E480" s="156"/>
      <c r="F480" s="45"/>
      <c r="G480" s="45"/>
      <c r="H480" s="45"/>
      <c r="I480" s="45"/>
      <c r="J480" s="45"/>
      <c r="K480" s="45"/>
      <c r="L480" s="45"/>
      <c r="M480" s="45"/>
      <c r="N480" s="45"/>
      <c r="O480" s="45"/>
      <c r="P480" s="45"/>
      <c r="Q480" s="45"/>
    </row>
    <row r="481" spans="2:17" ht="34" x14ac:dyDescent="0.2">
      <c r="B481" s="156"/>
      <c r="C481" s="157"/>
      <c r="D481" s="60" t="s">
        <v>1207</v>
      </c>
      <c r="E481" s="156"/>
      <c r="F481" s="45"/>
      <c r="G481" s="45"/>
      <c r="H481" s="45"/>
      <c r="I481" s="45"/>
      <c r="J481" s="45"/>
      <c r="K481" s="45"/>
      <c r="L481" s="45"/>
      <c r="M481" s="45"/>
      <c r="N481" s="45"/>
      <c r="O481" s="45"/>
      <c r="P481" s="45"/>
      <c r="Q481" s="45"/>
    </row>
    <row r="482" spans="2:17" ht="34" x14ac:dyDescent="0.2">
      <c r="B482" s="156"/>
      <c r="C482" s="157"/>
      <c r="D482" s="60" t="s">
        <v>1208</v>
      </c>
      <c r="E482" s="156"/>
      <c r="F482" s="45"/>
      <c r="G482" s="45"/>
      <c r="H482" s="45"/>
      <c r="I482" s="45"/>
      <c r="J482" s="45"/>
      <c r="K482" s="45"/>
      <c r="L482" s="45"/>
      <c r="M482" s="45"/>
      <c r="N482" s="45"/>
      <c r="O482" s="45"/>
      <c r="P482" s="45"/>
      <c r="Q482" s="45"/>
    </row>
    <row r="483" spans="2:17" ht="34" x14ac:dyDescent="0.2">
      <c r="B483" s="156">
        <v>790</v>
      </c>
      <c r="C483" s="157" t="s">
        <v>673</v>
      </c>
      <c r="D483" s="59" t="s">
        <v>1209</v>
      </c>
      <c r="E483" s="156">
        <v>11</v>
      </c>
      <c r="F483" s="45"/>
      <c r="G483" s="45"/>
      <c r="H483" s="45"/>
      <c r="I483" s="45"/>
      <c r="J483" s="45"/>
      <c r="K483" s="45"/>
      <c r="L483" s="45"/>
      <c r="M483" s="45"/>
      <c r="N483" s="45"/>
      <c r="O483" s="45"/>
      <c r="P483" s="45"/>
      <c r="Q483" s="45"/>
    </row>
    <row r="484" spans="2:17" ht="34" x14ac:dyDescent="0.2">
      <c r="B484" s="156"/>
      <c r="C484" s="157"/>
      <c r="D484" s="59" t="s">
        <v>1210</v>
      </c>
      <c r="E484" s="156"/>
      <c r="F484" s="45"/>
      <c r="G484" s="45"/>
      <c r="H484" s="45"/>
      <c r="I484" s="45"/>
      <c r="J484" s="45"/>
      <c r="K484" s="45"/>
      <c r="L484" s="45"/>
      <c r="M484" s="45"/>
      <c r="N484" s="45"/>
      <c r="O484" s="45"/>
      <c r="P484" s="45"/>
      <c r="Q484" s="45"/>
    </row>
    <row r="485" spans="2:17" ht="17" x14ac:dyDescent="0.2">
      <c r="B485" s="156">
        <v>820</v>
      </c>
      <c r="C485" s="157" t="s">
        <v>1211</v>
      </c>
      <c r="D485" s="59" t="s">
        <v>1212</v>
      </c>
      <c r="E485" s="156">
        <v>11</v>
      </c>
      <c r="F485" s="45"/>
      <c r="G485" s="45"/>
      <c r="H485" s="45"/>
      <c r="I485" s="45"/>
      <c r="J485" s="45"/>
      <c r="K485" s="45"/>
      <c r="L485" s="45"/>
      <c r="M485" s="45"/>
      <c r="N485" s="45"/>
      <c r="O485" s="45"/>
      <c r="P485" s="45"/>
      <c r="Q485" s="45"/>
    </row>
    <row r="486" spans="2:17" ht="17" x14ac:dyDescent="0.2">
      <c r="B486" s="156"/>
      <c r="C486" s="157"/>
      <c r="D486" s="59" t="s">
        <v>1213</v>
      </c>
      <c r="E486" s="156"/>
      <c r="F486" s="45"/>
      <c r="G486" s="45"/>
      <c r="H486" s="45"/>
      <c r="I486" s="45"/>
      <c r="J486" s="45"/>
      <c r="K486" s="45"/>
      <c r="L486" s="45"/>
      <c r="M486" s="45"/>
      <c r="N486" s="45"/>
      <c r="O486" s="45"/>
      <c r="P486" s="45"/>
      <c r="Q486" s="45"/>
    </row>
    <row r="487" spans="2:17" ht="34" x14ac:dyDescent="0.2">
      <c r="B487" s="156"/>
      <c r="C487" s="157"/>
      <c r="D487" s="59" t="s">
        <v>1214</v>
      </c>
      <c r="E487" s="156"/>
      <c r="F487" s="45"/>
      <c r="G487" s="45"/>
      <c r="H487" s="45"/>
      <c r="I487" s="45"/>
      <c r="J487" s="45"/>
      <c r="K487" s="45"/>
      <c r="L487" s="45"/>
      <c r="M487" s="45"/>
      <c r="N487" s="45"/>
      <c r="O487" s="45"/>
      <c r="P487" s="45"/>
      <c r="Q487" s="45"/>
    </row>
    <row r="488" spans="2:17" ht="34" x14ac:dyDescent="0.2">
      <c r="B488" s="156"/>
      <c r="C488" s="157"/>
      <c r="D488" s="59" t="s">
        <v>1215</v>
      </c>
      <c r="E488" s="156"/>
      <c r="F488" s="45"/>
      <c r="G488" s="45"/>
      <c r="H488" s="45"/>
      <c r="I488" s="45"/>
      <c r="J488" s="45"/>
      <c r="K488" s="45"/>
      <c r="L488" s="45"/>
      <c r="M488" s="45"/>
      <c r="N488" s="45"/>
      <c r="O488" s="45"/>
      <c r="P488" s="45"/>
      <c r="Q488" s="45"/>
    </row>
    <row r="489" spans="2:17" ht="17" x14ac:dyDescent="0.2">
      <c r="B489" s="156"/>
      <c r="C489" s="157"/>
      <c r="D489" s="59" t="s">
        <v>1216</v>
      </c>
      <c r="E489" s="156"/>
      <c r="F489" s="45"/>
      <c r="G489" s="45"/>
      <c r="H489" s="45"/>
      <c r="I489" s="45"/>
      <c r="J489" s="45"/>
      <c r="K489" s="45"/>
      <c r="L489" s="45"/>
      <c r="M489" s="45"/>
      <c r="N489" s="45"/>
      <c r="O489" s="45"/>
      <c r="P489" s="45"/>
      <c r="Q489" s="45"/>
    </row>
    <row r="490" spans="2:17" ht="34" x14ac:dyDescent="0.2">
      <c r="B490" s="156"/>
      <c r="C490" s="157"/>
      <c r="D490" s="59" t="s">
        <v>1217</v>
      </c>
      <c r="E490" s="156"/>
      <c r="F490" s="45"/>
      <c r="G490" s="45"/>
      <c r="H490" s="45"/>
      <c r="I490" s="45"/>
      <c r="J490" s="45"/>
      <c r="K490" s="45"/>
      <c r="L490" s="45"/>
      <c r="M490" s="45"/>
      <c r="N490" s="45"/>
      <c r="O490" s="45"/>
      <c r="P490" s="45"/>
      <c r="Q490" s="45"/>
    </row>
    <row r="491" spans="2:17" x14ac:dyDescent="0.2">
      <c r="B491" s="156"/>
      <c r="C491" s="157"/>
      <c r="D491" s="59"/>
      <c r="E491" s="156"/>
      <c r="F491" s="45"/>
      <c r="G491" s="45"/>
      <c r="H491" s="45"/>
      <c r="I491" s="45"/>
      <c r="J491" s="45"/>
      <c r="K491" s="45"/>
      <c r="L491" s="45"/>
      <c r="M491" s="45"/>
      <c r="N491" s="45"/>
      <c r="O491" s="45"/>
      <c r="P491" s="45"/>
      <c r="Q491" s="45"/>
    </row>
    <row r="492" spans="2:17" ht="17" x14ac:dyDescent="0.2">
      <c r="B492" s="156">
        <v>830</v>
      </c>
      <c r="C492" s="157" t="s">
        <v>1218</v>
      </c>
      <c r="D492" s="59" t="s">
        <v>1212</v>
      </c>
      <c r="E492" s="156">
        <v>11</v>
      </c>
      <c r="F492" s="45"/>
      <c r="G492" s="45"/>
      <c r="H492" s="45"/>
      <c r="I492" s="45"/>
      <c r="J492" s="45"/>
      <c r="K492" s="45"/>
      <c r="L492" s="45"/>
      <c r="M492" s="45"/>
      <c r="N492" s="45"/>
      <c r="O492" s="45"/>
      <c r="P492" s="45"/>
      <c r="Q492" s="45"/>
    </row>
    <row r="493" spans="2:17" ht="17" x14ac:dyDescent="0.2">
      <c r="B493" s="156"/>
      <c r="C493" s="157"/>
      <c r="D493" s="59" t="s">
        <v>1213</v>
      </c>
      <c r="E493" s="156"/>
      <c r="F493" s="45"/>
      <c r="G493" s="45"/>
      <c r="H493" s="45"/>
      <c r="I493" s="45"/>
      <c r="J493" s="45"/>
      <c r="K493" s="45"/>
      <c r="L493" s="45"/>
      <c r="M493" s="45"/>
      <c r="N493" s="45"/>
      <c r="O493" s="45"/>
      <c r="P493" s="45"/>
      <c r="Q493" s="45"/>
    </row>
    <row r="494" spans="2:17" ht="34" x14ac:dyDescent="0.2">
      <c r="B494" s="156"/>
      <c r="C494" s="157"/>
      <c r="D494" s="59" t="s">
        <v>1219</v>
      </c>
      <c r="E494" s="156"/>
      <c r="F494" s="45"/>
      <c r="G494" s="45"/>
      <c r="H494" s="45"/>
      <c r="I494" s="45"/>
      <c r="J494" s="45"/>
      <c r="K494" s="45"/>
      <c r="L494" s="45"/>
      <c r="M494" s="45"/>
      <c r="N494" s="45"/>
      <c r="O494" s="45"/>
      <c r="P494" s="45"/>
      <c r="Q494" s="45"/>
    </row>
    <row r="495" spans="2:17" x14ac:dyDescent="0.2">
      <c r="B495" s="156"/>
      <c r="C495" s="157"/>
      <c r="D495" s="59"/>
      <c r="E495" s="156"/>
      <c r="F495" s="45"/>
      <c r="G495" s="45"/>
      <c r="H495" s="45"/>
      <c r="I495" s="45"/>
      <c r="J495" s="45"/>
      <c r="K495" s="45"/>
      <c r="L495" s="45"/>
      <c r="M495" s="45"/>
      <c r="N495" s="45"/>
      <c r="O495" s="45"/>
      <c r="P495" s="45"/>
      <c r="Q495" s="45"/>
    </row>
    <row r="496" spans="2:17" ht="34" x14ac:dyDescent="0.2">
      <c r="B496" s="156"/>
      <c r="C496" s="157"/>
      <c r="D496" s="59" t="s">
        <v>1220</v>
      </c>
      <c r="E496" s="156"/>
      <c r="F496" s="45"/>
      <c r="G496" s="45"/>
      <c r="H496" s="45"/>
      <c r="I496" s="45"/>
      <c r="J496" s="45"/>
      <c r="K496" s="45"/>
      <c r="L496" s="45"/>
      <c r="M496" s="45"/>
      <c r="N496" s="45"/>
      <c r="O496" s="45"/>
      <c r="P496" s="45"/>
      <c r="Q496" s="45"/>
    </row>
    <row r="497" spans="2:17" ht="17" x14ac:dyDescent="0.2">
      <c r="B497" s="156"/>
      <c r="C497" s="157"/>
      <c r="D497" s="59" t="s">
        <v>1216</v>
      </c>
      <c r="E497" s="156"/>
      <c r="F497" s="45"/>
      <c r="G497" s="45"/>
      <c r="H497" s="45"/>
      <c r="I497" s="45"/>
      <c r="J497" s="45"/>
      <c r="K497" s="45"/>
      <c r="L497" s="45"/>
      <c r="M497" s="45"/>
      <c r="N497" s="45"/>
      <c r="O497" s="45"/>
      <c r="P497" s="45"/>
      <c r="Q497" s="45"/>
    </row>
    <row r="498" spans="2:17" ht="34" x14ac:dyDescent="0.2">
      <c r="B498" s="156"/>
      <c r="C498" s="157"/>
      <c r="D498" s="59" t="s">
        <v>1221</v>
      </c>
      <c r="E498" s="156"/>
      <c r="F498" s="45"/>
      <c r="G498" s="45"/>
      <c r="H498" s="45"/>
      <c r="I498" s="45"/>
      <c r="J498" s="45"/>
      <c r="K498" s="45"/>
      <c r="L498" s="45"/>
      <c r="M498" s="45"/>
      <c r="N498" s="45"/>
      <c r="O498" s="45"/>
      <c r="P498" s="45"/>
      <c r="Q498" s="45"/>
    </row>
    <row r="499" spans="2:17" ht="17" x14ac:dyDescent="0.2">
      <c r="B499" s="156">
        <v>880</v>
      </c>
      <c r="C499" s="157" t="s">
        <v>686</v>
      </c>
      <c r="D499" s="59" t="s">
        <v>1222</v>
      </c>
      <c r="E499" s="156">
        <v>11</v>
      </c>
      <c r="F499" s="45"/>
      <c r="G499" s="45"/>
      <c r="H499" s="45"/>
      <c r="I499" s="45"/>
      <c r="J499" s="45"/>
      <c r="K499" s="45"/>
      <c r="L499" s="45"/>
      <c r="M499" s="45"/>
      <c r="N499" s="45"/>
      <c r="O499" s="45"/>
      <c r="P499" s="45"/>
      <c r="Q499" s="45"/>
    </row>
    <row r="500" spans="2:17" ht="51" x14ac:dyDescent="0.2">
      <c r="B500" s="156"/>
      <c r="C500" s="157"/>
      <c r="D500" s="59" t="s">
        <v>1223</v>
      </c>
      <c r="E500" s="156"/>
      <c r="F500" s="45"/>
      <c r="G500" s="45"/>
      <c r="H500" s="45"/>
      <c r="I500" s="45"/>
      <c r="J500" s="45"/>
      <c r="K500" s="45"/>
      <c r="L500" s="45"/>
      <c r="M500" s="45"/>
      <c r="N500" s="45"/>
      <c r="O500" s="45"/>
      <c r="P500" s="45"/>
      <c r="Q500" s="45"/>
    </row>
    <row r="501" spans="2:17" ht="51" x14ac:dyDescent="0.2">
      <c r="B501" s="156"/>
      <c r="C501" s="157"/>
      <c r="D501" s="59" t="s">
        <v>1224</v>
      </c>
      <c r="E501" s="156"/>
      <c r="F501" s="45"/>
      <c r="G501" s="45"/>
      <c r="H501" s="45"/>
      <c r="I501" s="45"/>
      <c r="J501" s="45"/>
      <c r="K501" s="45"/>
      <c r="L501" s="45"/>
      <c r="M501" s="45"/>
      <c r="N501" s="45"/>
      <c r="O501" s="45"/>
      <c r="P501" s="45"/>
      <c r="Q501" s="45"/>
    </row>
    <row r="502" spans="2:17" ht="17" x14ac:dyDescent="0.2">
      <c r="B502" s="156"/>
      <c r="C502" s="157"/>
      <c r="D502" s="59" t="s">
        <v>1225</v>
      </c>
      <c r="E502" s="156"/>
      <c r="F502" s="45"/>
      <c r="G502" s="45"/>
      <c r="H502" s="45"/>
      <c r="I502" s="45"/>
      <c r="J502" s="45"/>
      <c r="K502" s="45"/>
      <c r="L502" s="45"/>
      <c r="M502" s="45"/>
      <c r="N502" s="45"/>
      <c r="O502" s="45"/>
      <c r="P502" s="45"/>
      <c r="Q502" s="45"/>
    </row>
    <row r="503" spans="2:17" ht="17" x14ac:dyDescent="0.2">
      <c r="B503" s="156"/>
      <c r="C503" s="157"/>
      <c r="D503" s="59" t="s">
        <v>1226</v>
      </c>
      <c r="E503" s="156"/>
      <c r="F503" s="45"/>
      <c r="G503" s="45"/>
      <c r="H503" s="45"/>
      <c r="I503" s="45"/>
      <c r="J503" s="45"/>
      <c r="K503" s="45"/>
      <c r="L503" s="45"/>
      <c r="M503" s="45"/>
      <c r="N503" s="45"/>
      <c r="O503" s="45"/>
      <c r="P503" s="45"/>
      <c r="Q503" s="45"/>
    </row>
    <row r="504" spans="2:17" ht="17" x14ac:dyDescent="0.2">
      <c r="B504" s="156"/>
      <c r="C504" s="157"/>
      <c r="D504" s="59" t="s">
        <v>1227</v>
      </c>
      <c r="E504" s="156"/>
      <c r="F504" s="45"/>
      <c r="G504" s="45"/>
      <c r="H504" s="45"/>
      <c r="I504" s="45"/>
      <c r="J504" s="45"/>
      <c r="K504" s="45"/>
      <c r="L504" s="45"/>
      <c r="M504" s="45"/>
      <c r="N504" s="45"/>
      <c r="O504" s="45"/>
      <c r="P504" s="45"/>
      <c r="Q504" s="45"/>
    </row>
    <row r="505" spans="2:17" ht="17" x14ac:dyDescent="0.2">
      <c r="B505" s="156">
        <v>890</v>
      </c>
      <c r="C505" s="157" t="s">
        <v>1228</v>
      </c>
      <c r="D505" s="59" t="s">
        <v>1229</v>
      </c>
      <c r="E505" s="156">
        <v>11</v>
      </c>
      <c r="F505" s="45"/>
      <c r="G505" s="45"/>
      <c r="H505" s="45"/>
      <c r="I505" s="45"/>
      <c r="J505" s="45"/>
      <c r="K505" s="45"/>
      <c r="L505" s="45"/>
      <c r="M505" s="45"/>
      <c r="N505" s="45"/>
      <c r="O505" s="45"/>
      <c r="P505" s="45"/>
      <c r="Q505" s="45"/>
    </row>
    <row r="506" spans="2:17" ht="17" x14ac:dyDescent="0.2">
      <c r="B506" s="156"/>
      <c r="C506" s="157"/>
      <c r="D506" s="59" t="s">
        <v>1230</v>
      </c>
      <c r="E506" s="156"/>
      <c r="F506" s="45"/>
      <c r="G506" s="45"/>
      <c r="H506" s="45"/>
      <c r="I506" s="45"/>
      <c r="J506" s="45"/>
      <c r="K506" s="45"/>
      <c r="L506" s="45"/>
      <c r="M506" s="45"/>
      <c r="N506" s="45"/>
      <c r="O506" s="45"/>
      <c r="P506" s="45"/>
      <c r="Q506" s="45"/>
    </row>
    <row r="507" spans="2:17" ht="68" x14ac:dyDescent="0.2">
      <c r="B507" s="156"/>
      <c r="C507" s="157"/>
      <c r="D507" s="59" t="s">
        <v>1231</v>
      </c>
      <c r="E507" s="156"/>
      <c r="F507" s="45"/>
      <c r="G507" s="45"/>
      <c r="H507" s="45"/>
      <c r="I507" s="45"/>
      <c r="J507" s="45"/>
      <c r="K507" s="45"/>
      <c r="L507" s="45"/>
      <c r="M507" s="45"/>
      <c r="N507" s="45"/>
      <c r="O507" s="45"/>
      <c r="P507" s="45"/>
      <c r="Q507" s="45"/>
    </row>
    <row r="508" spans="2:17" ht="17" x14ac:dyDescent="0.2">
      <c r="B508" s="156"/>
      <c r="C508" s="157"/>
      <c r="D508" s="59" t="s">
        <v>1232</v>
      </c>
      <c r="E508" s="156"/>
      <c r="F508" s="45"/>
      <c r="G508" s="45"/>
      <c r="H508" s="45"/>
      <c r="I508" s="45"/>
      <c r="J508" s="45"/>
      <c r="K508" s="45"/>
      <c r="L508" s="45"/>
      <c r="M508" s="45"/>
      <c r="N508" s="45"/>
      <c r="O508" s="45"/>
      <c r="P508" s="45"/>
      <c r="Q508" s="45"/>
    </row>
    <row r="509" spans="2:17" ht="17" x14ac:dyDescent="0.2">
      <c r="B509" s="156"/>
      <c r="C509" s="157"/>
      <c r="D509" s="59" t="s">
        <v>1233</v>
      </c>
      <c r="E509" s="156"/>
      <c r="F509" s="45"/>
      <c r="G509" s="45"/>
      <c r="H509" s="45"/>
      <c r="I509" s="45"/>
      <c r="J509" s="45"/>
      <c r="K509" s="45"/>
      <c r="L509" s="45"/>
      <c r="M509" s="45"/>
      <c r="N509" s="45"/>
      <c r="O509" s="45"/>
      <c r="P509" s="45"/>
      <c r="Q509" s="45"/>
    </row>
    <row r="510" spans="2:17" ht="17" x14ac:dyDescent="0.2">
      <c r="B510" s="156"/>
      <c r="C510" s="157"/>
      <c r="D510" s="59" t="s">
        <v>1234</v>
      </c>
      <c r="E510" s="156"/>
      <c r="F510" s="45"/>
      <c r="G510" s="45"/>
      <c r="H510" s="45"/>
      <c r="I510" s="45"/>
      <c r="J510" s="45"/>
      <c r="K510" s="45"/>
      <c r="L510" s="45"/>
      <c r="M510" s="45"/>
      <c r="N510" s="45"/>
      <c r="O510" s="45"/>
      <c r="P510" s="45"/>
      <c r="Q510" s="45"/>
    </row>
    <row r="511" spans="2:17" ht="51" x14ac:dyDescent="0.2">
      <c r="B511" s="46">
        <v>1000</v>
      </c>
      <c r="C511" s="59" t="s">
        <v>701</v>
      </c>
      <c r="D511" s="59" t="s">
        <v>1179</v>
      </c>
      <c r="E511" s="46">
        <v>11</v>
      </c>
      <c r="F511" s="45"/>
      <c r="G511" s="45"/>
      <c r="H511" s="45"/>
      <c r="I511" s="45"/>
      <c r="J511" s="45"/>
      <c r="K511" s="45"/>
      <c r="L511" s="45"/>
      <c r="M511" s="45"/>
      <c r="N511" s="45"/>
      <c r="O511" s="45"/>
      <c r="P511" s="45"/>
      <c r="Q511" s="45"/>
    </row>
    <row r="512" spans="2:17" ht="51" x14ac:dyDescent="0.2">
      <c r="B512" s="46">
        <v>1030</v>
      </c>
      <c r="C512" s="59" t="s">
        <v>705</v>
      </c>
      <c r="D512" s="59" t="s">
        <v>1235</v>
      </c>
      <c r="E512" s="46">
        <v>11</v>
      </c>
      <c r="F512" s="45"/>
      <c r="G512" s="45"/>
      <c r="H512" s="45"/>
      <c r="I512" s="45"/>
      <c r="J512" s="45"/>
      <c r="K512" s="45"/>
      <c r="L512" s="45"/>
      <c r="M512" s="45"/>
      <c r="N512" s="45"/>
      <c r="O512" s="45"/>
      <c r="P512" s="45"/>
      <c r="Q512" s="45"/>
    </row>
    <row r="513" spans="2:17" ht="68" x14ac:dyDescent="0.2">
      <c r="B513" s="46">
        <v>1060</v>
      </c>
      <c r="C513" s="59" t="s">
        <v>703</v>
      </c>
      <c r="D513" s="59" t="s">
        <v>1179</v>
      </c>
      <c r="E513" s="46">
        <v>11</v>
      </c>
      <c r="F513" s="45"/>
      <c r="G513" s="45"/>
      <c r="H513" s="45"/>
      <c r="I513" s="45"/>
      <c r="J513" s="45"/>
      <c r="K513" s="45"/>
      <c r="L513" s="45"/>
      <c r="M513" s="45"/>
      <c r="N513" s="45"/>
      <c r="O513" s="45"/>
      <c r="P513" s="45"/>
      <c r="Q513" s="45"/>
    </row>
    <row r="514" spans="2:17" ht="34" x14ac:dyDescent="0.2">
      <c r="B514" s="156">
        <v>1070</v>
      </c>
      <c r="C514" s="157" t="s">
        <v>1236</v>
      </c>
      <c r="D514" s="59" t="s">
        <v>717</v>
      </c>
      <c r="E514" s="156">
        <v>11</v>
      </c>
      <c r="F514" s="45"/>
      <c r="G514" s="45"/>
      <c r="H514" s="45"/>
      <c r="I514" s="45"/>
      <c r="J514" s="45"/>
      <c r="K514" s="45"/>
      <c r="L514" s="45"/>
      <c r="M514" s="45"/>
      <c r="N514" s="45"/>
      <c r="O514" s="45"/>
      <c r="P514" s="45"/>
      <c r="Q514" s="45"/>
    </row>
    <row r="515" spans="2:17" ht="17" x14ac:dyDescent="0.2">
      <c r="B515" s="156"/>
      <c r="C515" s="157"/>
      <c r="D515" s="59" t="s">
        <v>718</v>
      </c>
      <c r="E515" s="156"/>
      <c r="F515" s="45"/>
      <c r="G515" s="45"/>
      <c r="H515" s="45"/>
      <c r="I515" s="45"/>
      <c r="J515" s="45"/>
      <c r="K515" s="45"/>
      <c r="L515" s="45"/>
      <c r="M515" s="45"/>
      <c r="N515" s="45"/>
      <c r="O515" s="45"/>
      <c r="P515" s="45"/>
      <c r="Q515" s="45"/>
    </row>
    <row r="516" spans="2:17" ht="17" x14ac:dyDescent="0.2">
      <c r="B516" s="156"/>
      <c r="C516" s="157"/>
      <c r="D516" s="59" t="s">
        <v>836</v>
      </c>
      <c r="E516" s="156"/>
      <c r="F516" s="45"/>
      <c r="G516" s="45"/>
      <c r="H516" s="45"/>
      <c r="I516" s="45"/>
      <c r="J516" s="45"/>
      <c r="K516" s="45"/>
      <c r="L516" s="45"/>
      <c r="M516" s="45"/>
      <c r="N516" s="45"/>
      <c r="O516" s="45"/>
      <c r="P516" s="45"/>
      <c r="Q516" s="45"/>
    </row>
    <row r="517" spans="2:17" ht="17" x14ac:dyDescent="0.2">
      <c r="B517" s="156"/>
      <c r="C517" s="157"/>
      <c r="D517" s="59" t="s">
        <v>837</v>
      </c>
      <c r="E517" s="156"/>
      <c r="F517" s="45"/>
      <c r="G517" s="45"/>
      <c r="H517" s="45"/>
      <c r="I517" s="45"/>
      <c r="J517" s="45"/>
      <c r="K517" s="45"/>
      <c r="L517" s="45"/>
      <c r="M517" s="45"/>
      <c r="N517" s="45"/>
      <c r="O517" s="45"/>
      <c r="P517" s="45"/>
      <c r="Q517" s="45"/>
    </row>
    <row r="518" spans="2:17" ht="34" x14ac:dyDescent="0.2">
      <c r="B518" s="156"/>
      <c r="C518" s="157"/>
      <c r="D518" s="59" t="s">
        <v>838</v>
      </c>
      <c r="E518" s="156"/>
      <c r="F518" s="45"/>
      <c r="G518" s="45"/>
      <c r="H518" s="45"/>
      <c r="I518" s="45"/>
      <c r="J518" s="45"/>
      <c r="K518" s="45"/>
      <c r="L518" s="45"/>
      <c r="M518" s="45"/>
      <c r="N518" s="45"/>
      <c r="O518" s="45"/>
      <c r="P518" s="45"/>
      <c r="Q518" s="45"/>
    </row>
    <row r="519" spans="2:17" ht="34" x14ac:dyDescent="0.2">
      <c r="B519" s="156"/>
      <c r="C519" s="157"/>
      <c r="D519" s="59" t="s">
        <v>1237</v>
      </c>
      <c r="E519" s="156"/>
      <c r="F519" s="45"/>
      <c r="G519" s="45"/>
      <c r="H519" s="45"/>
      <c r="I519" s="45"/>
      <c r="J519" s="45"/>
      <c r="K519" s="45"/>
      <c r="L519" s="45"/>
      <c r="M519" s="45"/>
      <c r="N519" s="45"/>
      <c r="O519" s="45"/>
      <c r="P519" s="45"/>
      <c r="Q519" s="45"/>
    </row>
    <row r="520" spans="2:17" ht="17" x14ac:dyDescent="0.2">
      <c r="B520" s="156"/>
      <c r="C520" s="157"/>
      <c r="D520" s="59" t="s">
        <v>723</v>
      </c>
      <c r="E520" s="156"/>
      <c r="F520" s="45"/>
      <c r="G520" s="45"/>
      <c r="H520" s="45"/>
      <c r="I520" s="45"/>
      <c r="J520" s="45"/>
      <c r="K520" s="45"/>
      <c r="L520" s="45"/>
      <c r="M520" s="45"/>
      <c r="N520" s="45"/>
      <c r="O520" s="45"/>
      <c r="P520" s="45"/>
      <c r="Q520" s="45"/>
    </row>
    <row r="521" spans="2:17" ht="17" x14ac:dyDescent="0.2">
      <c r="B521" s="156"/>
      <c r="C521" s="157"/>
      <c r="D521" s="59" t="s">
        <v>724</v>
      </c>
      <c r="E521" s="156"/>
      <c r="F521" s="45"/>
      <c r="G521" s="45"/>
      <c r="H521" s="45"/>
      <c r="I521" s="45"/>
      <c r="J521" s="45"/>
      <c r="K521" s="45"/>
      <c r="L521" s="45"/>
      <c r="M521" s="45"/>
      <c r="N521" s="45"/>
      <c r="O521" s="45"/>
      <c r="P521" s="45"/>
      <c r="Q521" s="45"/>
    </row>
    <row r="522" spans="2:17" ht="51" x14ac:dyDescent="0.2">
      <c r="B522" s="156">
        <v>1161</v>
      </c>
      <c r="C522" s="157" t="s">
        <v>1238</v>
      </c>
      <c r="D522" s="60" t="s">
        <v>1239</v>
      </c>
      <c r="E522" s="156">
        <v>11</v>
      </c>
      <c r="F522" s="45"/>
      <c r="G522" s="45"/>
      <c r="H522" s="45"/>
      <c r="I522" s="45"/>
      <c r="J522" s="45"/>
      <c r="K522" s="45"/>
      <c r="L522" s="45"/>
      <c r="M522" s="45"/>
      <c r="N522" s="45"/>
      <c r="O522" s="45"/>
      <c r="P522" s="45"/>
      <c r="Q522" s="45"/>
    </row>
    <row r="523" spans="2:17" ht="17" x14ac:dyDescent="0.2">
      <c r="B523" s="156"/>
      <c r="C523" s="157"/>
      <c r="D523" s="60" t="s">
        <v>1240</v>
      </c>
      <c r="E523" s="156"/>
      <c r="F523" s="45"/>
      <c r="G523" s="45"/>
      <c r="H523" s="45"/>
      <c r="I523" s="45"/>
      <c r="J523" s="45"/>
      <c r="K523" s="45"/>
      <c r="L523" s="45"/>
      <c r="M523" s="45"/>
      <c r="N523" s="45"/>
      <c r="O523" s="45"/>
      <c r="P523" s="45"/>
      <c r="Q523" s="45"/>
    </row>
    <row r="524" spans="2:17" ht="17" x14ac:dyDescent="0.2">
      <c r="B524" s="156"/>
      <c r="C524" s="157"/>
      <c r="D524" s="60" t="s">
        <v>1241</v>
      </c>
      <c r="E524" s="156"/>
      <c r="F524" s="45"/>
      <c r="G524" s="45"/>
      <c r="H524" s="45"/>
      <c r="I524" s="45"/>
      <c r="J524" s="45"/>
      <c r="K524" s="45"/>
      <c r="L524" s="45"/>
      <c r="M524" s="45"/>
      <c r="N524" s="45"/>
      <c r="O524" s="45"/>
      <c r="P524" s="45"/>
      <c r="Q524" s="45"/>
    </row>
    <row r="525" spans="2:17" ht="34" x14ac:dyDescent="0.2">
      <c r="B525" s="156"/>
      <c r="C525" s="157"/>
      <c r="D525" s="60" t="s">
        <v>1242</v>
      </c>
      <c r="E525" s="156"/>
      <c r="F525" s="45"/>
      <c r="G525" s="45"/>
      <c r="H525" s="45"/>
      <c r="I525" s="45"/>
      <c r="J525" s="45"/>
      <c r="K525" s="45"/>
      <c r="L525" s="45"/>
      <c r="M525" s="45"/>
      <c r="N525" s="45"/>
      <c r="O525" s="45"/>
      <c r="P525" s="45"/>
      <c r="Q525" s="45"/>
    </row>
    <row r="526" spans="2:17" ht="34" x14ac:dyDescent="0.2">
      <c r="B526" s="156">
        <v>1190</v>
      </c>
      <c r="C526" s="157" t="s">
        <v>768</v>
      </c>
      <c r="D526" s="60" t="s">
        <v>769</v>
      </c>
      <c r="E526" s="156">
        <v>11</v>
      </c>
      <c r="F526" s="45"/>
      <c r="G526" s="45"/>
      <c r="H526" s="45"/>
      <c r="I526" s="45"/>
      <c r="J526" s="45"/>
      <c r="K526" s="45"/>
      <c r="L526" s="45"/>
      <c r="M526" s="45"/>
      <c r="N526" s="45"/>
      <c r="O526" s="45"/>
      <c r="P526" s="45"/>
      <c r="Q526" s="45"/>
    </row>
    <row r="527" spans="2:17" ht="51" x14ac:dyDescent="0.2">
      <c r="B527" s="156"/>
      <c r="C527" s="157"/>
      <c r="D527" s="59" t="s">
        <v>770</v>
      </c>
      <c r="E527" s="156"/>
      <c r="F527" s="45"/>
      <c r="G527" s="45"/>
      <c r="H527" s="45"/>
      <c r="I527" s="45"/>
      <c r="J527" s="45"/>
      <c r="K527" s="45"/>
      <c r="L527" s="45"/>
      <c r="M527" s="45"/>
      <c r="N527" s="45"/>
      <c r="O527" s="45"/>
      <c r="P527" s="45"/>
      <c r="Q527" s="45"/>
    </row>
    <row r="528" spans="2:17" ht="34" x14ac:dyDescent="0.2">
      <c r="B528" s="156"/>
      <c r="C528" s="157"/>
      <c r="D528" s="59" t="s">
        <v>771</v>
      </c>
      <c r="E528" s="156"/>
      <c r="F528" s="45"/>
      <c r="G528" s="45"/>
      <c r="H528" s="45"/>
      <c r="I528" s="45"/>
      <c r="J528" s="45"/>
      <c r="K528" s="45"/>
      <c r="L528" s="45"/>
      <c r="M528" s="45"/>
      <c r="N528" s="45"/>
      <c r="O528" s="45"/>
      <c r="P528" s="45"/>
      <c r="Q528" s="45"/>
    </row>
    <row r="529" spans="2:17" ht="17" x14ac:dyDescent="0.2">
      <c r="B529" s="156"/>
      <c r="C529" s="157"/>
      <c r="D529" s="59" t="s">
        <v>772</v>
      </c>
      <c r="E529" s="156"/>
      <c r="F529" s="45"/>
      <c r="G529" s="45"/>
      <c r="H529" s="45"/>
      <c r="I529" s="45"/>
      <c r="J529" s="45"/>
      <c r="K529" s="45"/>
      <c r="L529" s="45"/>
      <c r="M529" s="45"/>
      <c r="N529" s="45"/>
      <c r="O529" s="45"/>
      <c r="P529" s="45"/>
      <c r="Q529" s="45"/>
    </row>
    <row r="530" spans="2:17" ht="34" x14ac:dyDescent="0.2">
      <c r="B530" s="156"/>
      <c r="C530" s="157"/>
      <c r="D530" s="59" t="s">
        <v>1243</v>
      </c>
      <c r="E530" s="156"/>
      <c r="F530" s="45"/>
      <c r="G530" s="45"/>
      <c r="H530" s="45"/>
      <c r="I530" s="45"/>
      <c r="J530" s="45"/>
      <c r="K530" s="45"/>
      <c r="L530" s="45"/>
      <c r="M530" s="45"/>
      <c r="N530" s="45"/>
      <c r="O530" s="45"/>
      <c r="P530" s="45"/>
      <c r="Q530" s="45"/>
    </row>
    <row r="531" spans="2:17" ht="17" x14ac:dyDescent="0.2">
      <c r="B531" s="156">
        <v>1191</v>
      </c>
      <c r="C531" s="157" t="s">
        <v>775</v>
      </c>
      <c r="D531" s="59" t="s">
        <v>585</v>
      </c>
      <c r="E531" s="156">
        <v>11</v>
      </c>
      <c r="F531" s="45"/>
      <c r="G531" s="45"/>
      <c r="H531" s="45"/>
      <c r="I531" s="45"/>
      <c r="J531" s="45"/>
      <c r="K531" s="45"/>
      <c r="L531" s="45"/>
      <c r="M531" s="45"/>
      <c r="N531" s="45"/>
      <c r="O531" s="45"/>
      <c r="P531" s="45"/>
      <c r="Q531" s="45"/>
    </row>
    <row r="532" spans="2:17" ht="34" x14ac:dyDescent="0.2">
      <c r="B532" s="156"/>
      <c r="C532" s="157"/>
      <c r="D532" s="59" t="s">
        <v>586</v>
      </c>
      <c r="E532" s="156"/>
      <c r="F532" s="45"/>
      <c r="G532" s="45"/>
      <c r="H532" s="45"/>
      <c r="I532" s="45"/>
      <c r="J532" s="45"/>
      <c r="K532" s="45"/>
      <c r="L532" s="45"/>
      <c r="M532" s="45"/>
      <c r="N532" s="45"/>
      <c r="O532" s="45"/>
      <c r="P532" s="45"/>
      <c r="Q532" s="45"/>
    </row>
    <row r="533" spans="2:17" ht="34" x14ac:dyDescent="0.2">
      <c r="B533" s="156"/>
      <c r="C533" s="157"/>
      <c r="D533" s="59" t="s">
        <v>776</v>
      </c>
      <c r="E533" s="156"/>
      <c r="F533" s="45"/>
      <c r="G533" s="45"/>
      <c r="H533" s="45"/>
      <c r="I533" s="45"/>
      <c r="J533" s="45"/>
      <c r="K533" s="45"/>
      <c r="L533" s="45"/>
      <c r="M533" s="45"/>
      <c r="N533" s="45"/>
      <c r="O533" s="45"/>
      <c r="P533" s="45"/>
      <c r="Q533" s="45"/>
    </row>
    <row r="534" spans="2:17" ht="17" x14ac:dyDescent="0.2">
      <c r="B534" s="156"/>
      <c r="C534" s="157"/>
      <c r="D534" s="59" t="s">
        <v>777</v>
      </c>
      <c r="E534" s="156"/>
      <c r="F534" s="45"/>
      <c r="G534" s="45"/>
      <c r="H534" s="45"/>
      <c r="I534" s="45"/>
      <c r="J534" s="45"/>
      <c r="K534" s="45"/>
      <c r="L534" s="45"/>
      <c r="M534" s="45"/>
      <c r="N534" s="45"/>
      <c r="O534" s="45"/>
      <c r="P534" s="45"/>
      <c r="Q534" s="45"/>
    </row>
    <row r="535" spans="2:17" ht="34" x14ac:dyDescent="0.2">
      <c r="B535" s="156"/>
      <c r="C535" s="157"/>
      <c r="D535" s="59" t="s">
        <v>778</v>
      </c>
      <c r="E535" s="156"/>
      <c r="F535" s="45"/>
      <c r="G535" s="45"/>
      <c r="H535" s="45"/>
      <c r="I535" s="45"/>
      <c r="J535" s="45"/>
      <c r="K535" s="45"/>
      <c r="L535" s="45"/>
      <c r="M535" s="45"/>
      <c r="N535" s="45"/>
      <c r="O535" s="45"/>
      <c r="P535" s="45"/>
      <c r="Q535" s="45"/>
    </row>
    <row r="536" spans="2:17" ht="34" x14ac:dyDescent="0.2">
      <c r="B536" s="156"/>
      <c r="C536" s="157"/>
      <c r="D536" s="59" t="s">
        <v>779</v>
      </c>
      <c r="E536" s="156"/>
      <c r="F536" s="45"/>
      <c r="G536" s="45"/>
      <c r="H536" s="45"/>
      <c r="I536" s="45"/>
      <c r="J536" s="45"/>
      <c r="K536" s="45"/>
      <c r="L536" s="45"/>
      <c r="M536" s="45"/>
      <c r="N536" s="45"/>
      <c r="O536" s="45"/>
      <c r="P536" s="45"/>
      <c r="Q536" s="45"/>
    </row>
    <row r="537" spans="2:17" ht="17" x14ac:dyDescent="0.2">
      <c r="B537" s="156"/>
      <c r="C537" s="157"/>
      <c r="D537" s="59" t="s">
        <v>780</v>
      </c>
      <c r="E537" s="156"/>
      <c r="F537" s="45"/>
      <c r="G537" s="45"/>
      <c r="H537" s="45"/>
      <c r="I537" s="45"/>
      <c r="J537" s="45"/>
      <c r="K537" s="45"/>
      <c r="L537" s="45"/>
      <c r="M537" s="45"/>
      <c r="N537" s="45"/>
      <c r="O537" s="45"/>
      <c r="P537" s="45"/>
      <c r="Q537" s="45"/>
    </row>
    <row r="538" spans="2:17" ht="34" x14ac:dyDescent="0.2">
      <c r="B538" s="156">
        <v>1192</v>
      </c>
      <c r="C538" s="157" t="s">
        <v>1244</v>
      </c>
      <c r="D538" s="59" t="s">
        <v>783</v>
      </c>
      <c r="E538" s="156">
        <v>11</v>
      </c>
      <c r="F538" s="45"/>
      <c r="G538" s="45"/>
      <c r="H538" s="45"/>
      <c r="I538" s="45"/>
      <c r="J538" s="45"/>
      <c r="K538" s="45"/>
      <c r="L538" s="45"/>
      <c r="M538" s="45"/>
      <c r="N538" s="45"/>
      <c r="O538" s="45"/>
      <c r="P538" s="45"/>
      <c r="Q538" s="45"/>
    </row>
    <row r="539" spans="2:17" ht="17" x14ac:dyDescent="0.2">
      <c r="B539" s="156"/>
      <c r="C539" s="157"/>
      <c r="D539" s="59" t="s">
        <v>784</v>
      </c>
      <c r="E539" s="156"/>
      <c r="F539" s="45"/>
      <c r="G539" s="45"/>
      <c r="H539" s="45"/>
      <c r="I539" s="45"/>
      <c r="J539" s="45"/>
      <c r="K539" s="45"/>
      <c r="L539" s="45"/>
      <c r="M539" s="45"/>
      <c r="N539" s="45"/>
      <c r="O539" s="45"/>
      <c r="P539" s="45"/>
      <c r="Q539" s="45"/>
    </row>
    <row r="540" spans="2:17" ht="17" x14ac:dyDescent="0.2">
      <c r="B540" s="156"/>
      <c r="C540" s="157"/>
      <c r="D540" s="59" t="s">
        <v>785</v>
      </c>
      <c r="E540" s="156"/>
      <c r="F540" s="45"/>
      <c r="G540" s="45"/>
      <c r="H540" s="45"/>
      <c r="I540" s="45"/>
      <c r="J540" s="45"/>
      <c r="K540" s="45"/>
      <c r="L540" s="45"/>
      <c r="M540" s="45"/>
      <c r="N540" s="45"/>
      <c r="O540" s="45"/>
      <c r="P540" s="45"/>
      <c r="Q540" s="45"/>
    </row>
    <row r="541" spans="2:17" ht="17" x14ac:dyDescent="0.2">
      <c r="B541" s="156"/>
      <c r="C541" s="157"/>
      <c r="D541" s="59" t="s">
        <v>786</v>
      </c>
      <c r="E541" s="156"/>
      <c r="F541" s="45"/>
      <c r="G541" s="45"/>
      <c r="H541" s="45"/>
      <c r="I541" s="45"/>
      <c r="J541" s="45"/>
      <c r="K541" s="45"/>
      <c r="L541" s="45"/>
      <c r="M541" s="45"/>
      <c r="N541" s="45"/>
      <c r="O541" s="45"/>
      <c r="P541" s="45"/>
      <c r="Q541" s="45"/>
    </row>
    <row r="542" spans="2:17" ht="17" x14ac:dyDescent="0.2">
      <c r="B542" s="156"/>
      <c r="C542" s="157"/>
      <c r="D542" s="59" t="s">
        <v>787</v>
      </c>
      <c r="E542" s="156"/>
      <c r="F542" s="45"/>
      <c r="G542" s="45"/>
      <c r="H542" s="45"/>
      <c r="I542" s="45"/>
      <c r="J542" s="45"/>
      <c r="K542" s="45"/>
      <c r="L542" s="45"/>
      <c r="M542" s="45"/>
      <c r="N542" s="45"/>
      <c r="O542" s="45"/>
      <c r="P542" s="45"/>
      <c r="Q542" s="45"/>
    </row>
    <row r="543" spans="2:17" ht="17" x14ac:dyDescent="0.2">
      <c r="B543" s="156">
        <v>1240</v>
      </c>
      <c r="C543" s="157" t="s">
        <v>1245</v>
      </c>
      <c r="D543" s="59" t="s">
        <v>804</v>
      </c>
      <c r="E543" s="156">
        <v>11</v>
      </c>
      <c r="F543" s="45"/>
      <c r="G543" s="45"/>
      <c r="H543" s="45"/>
      <c r="I543" s="45"/>
      <c r="J543" s="45"/>
      <c r="K543" s="45"/>
      <c r="L543" s="45"/>
      <c r="M543" s="45"/>
      <c r="N543" s="45"/>
      <c r="O543" s="45"/>
      <c r="P543" s="45"/>
      <c r="Q543" s="45"/>
    </row>
    <row r="544" spans="2:17" ht="34" x14ac:dyDescent="0.2">
      <c r="B544" s="156"/>
      <c r="C544" s="157"/>
      <c r="D544" s="59" t="s">
        <v>805</v>
      </c>
      <c r="E544" s="156"/>
      <c r="F544" s="45"/>
      <c r="G544" s="45"/>
      <c r="H544" s="45"/>
      <c r="I544" s="45"/>
      <c r="J544" s="45"/>
      <c r="K544" s="45"/>
      <c r="L544" s="45"/>
      <c r="M544" s="45"/>
      <c r="N544" s="45"/>
      <c r="O544" s="45"/>
      <c r="P544" s="45"/>
      <c r="Q544" s="45"/>
    </row>
    <row r="545" spans="2:17" ht="34" x14ac:dyDescent="0.2">
      <c r="B545" s="46">
        <v>1250</v>
      </c>
      <c r="C545" s="59" t="s">
        <v>806</v>
      </c>
      <c r="D545" s="59" t="s">
        <v>1246</v>
      </c>
      <c r="E545" s="46">
        <v>11</v>
      </c>
      <c r="F545" s="45"/>
      <c r="G545" s="45"/>
      <c r="H545" s="45"/>
      <c r="I545" s="45"/>
      <c r="J545" s="45"/>
      <c r="K545" s="45"/>
      <c r="L545" s="45"/>
      <c r="M545" s="45"/>
      <c r="N545" s="45"/>
      <c r="O545" s="45"/>
      <c r="P545" s="45"/>
      <c r="Q545" s="45"/>
    </row>
    <row r="546" spans="2:17" ht="17" x14ac:dyDescent="0.2">
      <c r="B546" s="156">
        <v>1251</v>
      </c>
      <c r="C546" s="157" t="s">
        <v>810</v>
      </c>
      <c r="D546" s="59" t="s">
        <v>1247</v>
      </c>
      <c r="E546" s="156">
        <v>11</v>
      </c>
      <c r="F546" s="45"/>
      <c r="G546" s="45"/>
      <c r="H546" s="45"/>
      <c r="I546" s="45"/>
      <c r="J546" s="45"/>
      <c r="K546" s="45"/>
      <c r="L546" s="45"/>
      <c r="M546" s="45"/>
      <c r="N546" s="45"/>
      <c r="O546" s="45"/>
      <c r="P546" s="45"/>
      <c r="Q546" s="45"/>
    </row>
    <row r="547" spans="2:17" ht="17" x14ac:dyDescent="0.2">
      <c r="B547" s="156"/>
      <c r="C547" s="157"/>
      <c r="D547" s="59" t="s">
        <v>1248</v>
      </c>
      <c r="E547" s="156"/>
      <c r="F547" s="45"/>
      <c r="G547" s="45"/>
      <c r="H547" s="45"/>
      <c r="I547" s="45"/>
      <c r="J547" s="45"/>
      <c r="K547" s="45"/>
      <c r="L547" s="45"/>
      <c r="M547" s="45"/>
      <c r="N547" s="45"/>
      <c r="O547" s="45"/>
      <c r="P547" s="45"/>
      <c r="Q547" s="45"/>
    </row>
    <row r="548" spans="2:17" ht="17" x14ac:dyDescent="0.2">
      <c r="B548" s="156">
        <v>1300</v>
      </c>
      <c r="C548" s="157" t="s">
        <v>819</v>
      </c>
      <c r="D548" s="59" t="s">
        <v>1249</v>
      </c>
      <c r="E548" s="156">
        <v>11</v>
      </c>
      <c r="F548" s="45"/>
      <c r="G548" s="45"/>
      <c r="H548" s="45"/>
      <c r="I548" s="45"/>
      <c r="J548" s="45"/>
      <c r="K548" s="45"/>
      <c r="L548" s="45"/>
      <c r="M548" s="45"/>
      <c r="N548" s="45"/>
      <c r="O548" s="45"/>
      <c r="P548" s="45"/>
      <c r="Q548" s="45"/>
    </row>
    <row r="549" spans="2:17" ht="34" x14ac:dyDescent="0.2">
      <c r="B549" s="156"/>
      <c r="C549" s="157"/>
      <c r="D549" s="59" t="s">
        <v>1250</v>
      </c>
      <c r="E549" s="156"/>
      <c r="F549" s="45"/>
      <c r="G549" s="45"/>
      <c r="H549" s="45"/>
      <c r="I549" s="45"/>
      <c r="J549" s="45"/>
      <c r="K549" s="45"/>
      <c r="L549" s="45"/>
      <c r="M549" s="45"/>
      <c r="N549" s="45"/>
      <c r="O549" s="45"/>
      <c r="P549" s="45"/>
      <c r="Q549" s="45"/>
    </row>
    <row r="550" spans="2:17" ht="34" x14ac:dyDescent="0.2">
      <c r="B550" s="156"/>
      <c r="C550" s="157"/>
      <c r="D550" s="59" t="s">
        <v>1251</v>
      </c>
      <c r="E550" s="156"/>
      <c r="F550" s="45"/>
      <c r="G550" s="45"/>
      <c r="H550" s="45"/>
      <c r="I550" s="45"/>
      <c r="J550" s="45"/>
      <c r="K550" s="45"/>
      <c r="L550" s="45"/>
      <c r="M550" s="45"/>
      <c r="N550" s="45"/>
      <c r="O550" s="45"/>
      <c r="P550" s="45"/>
      <c r="Q550" s="45"/>
    </row>
    <row r="551" spans="2:17" ht="17" x14ac:dyDescent="0.2">
      <c r="B551" s="156"/>
      <c r="C551" s="157"/>
      <c r="D551" s="59" t="s">
        <v>1252</v>
      </c>
      <c r="E551" s="156"/>
      <c r="F551" s="45"/>
      <c r="G551" s="45"/>
      <c r="H551" s="45"/>
      <c r="I551" s="45"/>
      <c r="J551" s="45"/>
      <c r="K551" s="45"/>
      <c r="L551" s="45"/>
      <c r="M551" s="45"/>
      <c r="N551" s="45"/>
      <c r="O551" s="45"/>
      <c r="P551" s="45"/>
      <c r="Q551" s="45"/>
    </row>
    <row r="552" spans="2:17" ht="17" x14ac:dyDescent="0.2">
      <c r="B552" s="156"/>
      <c r="C552" s="157"/>
      <c r="D552" s="59" t="s">
        <v>1253</v>
      </c>
      <c r="E552" s="156"/>
      <c r="F552" s="45"/>
      <c r="G552" s="45"/>
      <c r="H552" s="45"/>
      <c r="I552" s="45"/>
      <c r="J552" s="45"/>
      <c r="K552" s="45"/>
      <c r="L552" s="45"/>
      <c r="M552" s="45"/>
      <c r="N552" s="45"/>
      <c r="O552" s="45"/>
      <c r="P552" s="45"/>
      <c r="Q552" s="45"/>
    </row>
    <row r="553" spans="2:17" ht="17" x14ac:dyDescent="0.2">
      <c r="B553" s="156"/>
      <c r="C553" s="157"/>
      <c r="D553" s="59" t="s">
        <v>1227</v>
      </c>
      <c r="E553" s="156"/>
      <c r="F553" s="45"/>
      <c r="G553" s="45"/>
      <c r="H553" s="45"/>
      <c r="I553" s="45"/>
      <c r="J553" s="45"/>
      <c r="K553" s="45"/>
      <c r="L553" s="45"/>
      <c r="M553" s="45"/>
      <c r="N553" s="45"/>
      <c r="O553" s="45"/>
      <c r="P553" s="45"/>
      <c r="Q553" s="45"/>
    </row>
    <row r="554" spans="2:17" ht="34" x14ac:dyDescent="0.2">
      <c r="B554" s="46">
        <v>1340</v>
      </c>
      <c r="C554" s="59" t="s">
        <v>827</v>
      </c>
      <c r="D554" s="59" t="s">
        <v>1179</v>
      </c>
      <c r="E554" s="46">
        <v>11</v>
      </c>
      <c r="F554" s="45"/>
      <c r="G554" s="45"/>
      <c r="H554" s="45"/>
      <c r="I554" s="45"/>
      <c r="J554" s="45"/>
      <c r="K554" s="45"/>
      <c r="L554" s="45"/>
      <c r="M554" s="45"/>
      <c r="N554" s="45"/>
      <c r="O554" s="45"/>
      <c r="P554" s="45"/>
      <c r="Q554" s="45"/>
    </row>
    <row r="555" spans="2:17" ht="34" x14ac:dyDescent="0.2">
      <c r="B555" s="156">
        <v>1380</v>
      </c>
      <c r="C555" s="157" t="s">
        <v>835</v>
      </c>
      <c r="D555" s="59" t="s">
        <v>717</v>
      </c>
      <c r="E555" s="156">
        <v>11</v>
      </c>
      <c r="F555" s="45"/>
      <c r="G555" s="45"/>
      <c r="H555" s="45"/>
      <c r="I555" s="45"/>
      <c r="J555" s="45"/>
      <c r="K555" s="45"/>
      <c r="L555" s="45"/>
      <c r="M555" s="45"/>
      <c r="N555" s="45"/>
      <c r="O555" s="45"/>
      <c r="P555" s="45"/>
      <c r="Q555" s="45"/>
    </row>
    <row r="556" spans="2:17" ht="17" x14ac:dyDescent="0.2">
      <c r="B556" s="156"/>
      <c r="C556" s="157"/>
      <c r="D556" s="59" t="s">
        <v>718</v>
      </c>
      <c r="E556" s="156"/>
      <c r="F556" s="45"/>
      <c r="G556" s="45"/>
      <c r="H556" s="45"/>
      <c r="I556" s="45"/>
      <c r="J556" s="45"/>
      <c r="K556" s="45"/>
      <c r="L556" s="45"/>
      <c r="M556" s="45"/>
      <c r="N556" s="45"/>
      <c r="O556" s="45"/>
      <c r="P556" s="45"/>
      <c r="Q556" s="45"/>
    </row>
    <row r="557" spans="2:17" ht="17" x14ac:dyDescent="0.2">
      <c r="B557" s="156"/>
      <c r="C557" s="157"/>
      <c r="D557" s="59" t="s">
        <v>836</v>
      </c>
      <c r="E557" s="156"/>
      <c r="F557" s="45"/>
      <c r="G557" s="45"/>
      <c r="H557" s="45"/>
      <c r="I557" s="45"/>
      <c r="J557" s="45"/>
      <c r="K557" s="45"/>
      <c r="L557" s="45"/>
      <c r="M557" s="45"/>
      <c r="N557" s="45"/>
      <c r="O557" s="45"/>
      <c r="P557" s="45"/>
      <c r="Q557" s="45"/>
    </row>
    <row r="558" spans="2:17" ht="17" x14ac:dyDescent="0.2">
      <c r="B558" s="156"/>
      <c r="C558" s="157"/>
      <c r="D558" s="59" t="s">
        <v>837</v>
      </c>
      <c r="E558" s="156"/>
      <c r="F558" s="45"/>
      <c r="G558" s="45"/>
      <c r="H558" s="45"/>
      <c r="I558" s="45"/>
      <c r="J558" s="45"/>
      <c r="K558" s="45"/>
      <c r="L558" s="45"/>
      <c r="M558" s="45"/>
      <c r="N558" s="45"/>
      <c r="O558" s="45"/>
      <c r="P558" s="45"/>
      <c r="Q558" s="45"/>
    </row>
    <row r="559" spans="2:17" ht="34" x14ac:dyDescent="0.2">
      <c r="B559" s="156"/>
      <c r="C559" s="157"/>
      <c r="D559" s="59" t="s">
        <v>838</v>
      </c>
      <c r="E559" s="156"/>
      <c r="F559" s="45"/>
      <c r="G559" s="45"/>
      <c r="H559" s="45"/>
      <c r="I559" s="45"/>
      <c r="J559" s="45"/>
      <c r="K559" s="45"/>
      <c r="L559" s="45"/>
      <c r="M559" s="45"/>
      <c r="N559" s="45"/>
      <c r="O559" s="45"/>
      <c r="P559" s="45"/>
      <c r="Q559" s="45"/>
    </row>
    <row r="560" spans="2:17" ht="17" x14ac:dyDescent="0.2">
      <c r="B560" s="156"/>
      <c r="C560" s="157"/>
      <c r="D560" s="59" t="s">
        <v>722</v>
      </c>
      <c r="E560" s="156"/>
      <c r="F560" s="45"/>
      <c r="G560" s="45"/>
      <c r="H560" s="45"/>
      <c r="I560" s="45"/>
      <c r="J560" s="45"/>
      <c r="K560" s="45"/>
      <c r="L560" s="45"/>
      <c r="M560" s="45"/>
      <c r="N560" s="45"/>
      <c r="O560" s="45"/>
      <c r="P560" s="45"/>
      <c r="Q560" s="45"/>
    </row>
    <row r="561" spans="2:17" ht="17" x14ac:dyDescent="0.2">
      <c r="B561" s="156">
        <v>1460</v>
      </c>
      <c r="C561" s="157" t="s">
        <v>622</v>
      </c>
      <c r="D561" s="59" t="s">
        <v>1254</v>
      </c>
      <c r="E561" s="156">
        <v>11</v>
      </c>
      <c r="F561" s="45"/>
      <c r="G561" s="45"/>
      <c r="H561" s="45"/>
      <c r="I561" s="45"/>
      <c r="J561" s="45"/>
      <c r="K561" s="45"/>
      <c r="L561" s="45"/>
      <c r="M561" s="45"/>
      <c r="N561" s="45"/>
      <c r="O561" s="45"/>
      <c r="P561" s="45"/>
      <c r="Q561" s="45"/>
    </row>
    <row r="562" spans="2:17" ht="34" x14ac:dyDescent="0.2">
      <c r="B562" s="156"/>
      <c r="C562" s="157"/>
      <c r="D562" s="59" t="s">
        <v>1255</v>
      </c>
      <c r="E562" s="156"/>
      <c r="F562" s="45"/>
      <c r="G562" s="45"/>
      <c r="H562" s="45"/>
      <c r="I562" s="45"/>
      <c r="J562" s="45"/>
      <c r="K562" s="45"/>
      <c r="L562" s="45"/>
      <c r="M562" s="45"/>
      <c r="N562" s="45"/>
      <c r="O562" s="45"/>
      <c r="P562" s="45"/>
      <c r="Q562" s="45"/>
    </row>
    <row r="563" spans="2:17" ht="17" x14ac:dyDescent="0.2">
      <c r="B563" s="156"/>
      <c r="C563" s="157"/>
      <c r="D563" s="59" t="s">
        <v>1256</v>
      </c>
      <c r="E563" s="156"/>
      <c r="F563" s="45"/>
      <c r="G563" s="45"/>
      <c r="H563" s="45"/>
      <c r="I563" s="45"/>
      <c r="J563" s="45"/>
      <c r="K563" s="45"/>
      <c r="L563" s="45"/>
      <c r="M563" s="45"/>
      <c r="N563" s="45"/>
      <c r="O563" s="45"/>
      <c r="P563" s="45"/>
      <c r="Q563" s="45"/>
    </row>
    <row r="564" spans="2:17" ht="17" x14ac:dyDescent="0.2">
      <c r="B564" s="156">
        <v>1470</v>
      </c>
      <c r="C564" s="157" t="s">
        <v>1257</v>
      </c>
      <c r="D564" s="59" t="s">
        <v>1254</v>
      </c>
      <c r="E564" s="156">
        <v>11</v>
      </c>
      <c r="F564" s="45"/>
      <c r="G564" s="45"/>
      <c r="H564" s="45"/>
      <c r="I564" s="45"/>
      <c r="J564" s="45"/>
      <c r="K564" s="45"/>
      <c r="L564" s="45"/>
      <c r="M564" s="45"/>
      <c r="N564" s="45"/>
      <c r="O564" s="45"/>
      <c r="P564" s="45"/>
      <c r="Q564" s="45"/>
    </row>
    <row r="565" spans="2:17" ht="34" x14ac:dyDescent="0.2">
      <c r="B565" s="156"/>
      <c r="C565" s="157"/>
      <c r="D565" s="59" t="s">
        <v>1255</v>
      </c>
      <c r="E565" s="156"/>
      <c r="F565" s="45"/>
      <c r="G565" s="45"/>
      <c r="H565" s="45"/>
      <c r="I565" s="45"/>
      <c r="J565" s="45"/>
      <c r="K565" s="45"/>
      <c r="L565" s="45"/>
      <c r="M565" s="45"/>
      <c r="N565" s="45"/>
      <c r="O565" s="45"/>
      <c r="P565" s="45"/>
      <c r="Q565" s="45"/>
    </row>
    <row r="566" spans="2:17" ht="17" x14ac:dyDescent="0.2">
      <c r="B566" s="156"/>
      <c r="C566" s="157"/>
      <c r="D566" s="59" t="s">
        <v>1256</v>
      </c>
      <c r="E566" s="156"/>
      <c r="F566" s="45"/>
      <c r="G566" s="45"/>
      <c r="H566" s="45"/>
      <c r="I566" s="45"/>
      <c r="J566" s="45"/>
      <c r="K566" s="45"/>
      <c r="L566" s="45"/>
      <c r="M566" s="45"/>
      <c r="N566" s="45"/>
      <c r="O566" s="45"/>
      <c r="P566" s="45"/>
      <c r="Q566" s="45"/>
    </row>
    <row r="567" spans="2:17" ht="51" x14ac:dyDescent="0.2">
      <c r="B567" s="156"/>
      <c r="C567" s="157"/>
      <c r="D567" s="59" t="s">
        <v>1258</v>
      </c>
      <c r="E567" s="156"/>
      <c r="F567" s="45"/>
      <c r="G567" s="45"/>
      <c r="H567" s="45"/>
      <c r="I567" s="45"/>
      <c r="J567" s="45"/>
      <c r="K567" s="45"/>
      <c r="L567" s="45"/>
      <c r="M567" s="45"/>
      <c r="N567" s="45"/>
      <c r="O567" s="45"/>
      <c r="P567" s="45"/>
      <c r="Q567" s="45"/>
    </row>
    <row r="568" spans="2:17" ht="34" x14ac:dyDescent="0.2">
      <c r="B568" s="156"/>
      <c r="C568" s="157"/>
      <c r="D568" s="59" t="s">
        <v>1259</v>
      </c>
      <c r="E568" s="156"/>
      <c r="F568" s="45"/>
      <c r="G568" s="45"/>
      <c r="H568" s="45"/>
      <c r="I568" s="45"/>
      <c r="J568" s="45"/>
      <c r="K568" s="45"/>
      <c r="L568" s="45"/>
      <c r="M568" s="45"/>
      <c r="N568" s="45"/>
      <c r="O568" s="45"/>
      <c r="P568" s="45"/>
      <c r="Q568" s="45"/>
    </row>
    <row r="569" spans="2:17" ht="17" x14ac:dyDescent="0.2">
      <c r="B569" s="156">
        <v>1480</v>
      </c>
      <c r="C569" s="157" t="s">
        <v>1260</v>
      </c>
      <c r="D569" s="59" t="s">
        <v>1261</v>
      </c>
      <c r="E569" s="156">
        <v>11</v>
      </c>
      <c r="F569" s="45"/>
      <c r="G569" s="45"/>
      <c r="H569" s="45"/>
      <c r="I569" s="45"/>
      <c r="J569" s="45"/>
      <c r="K569" s="45"/>
      <c r="L569" s="45"/>
      <c r="M569" s="45"/>
      <c r="N569" s="45"/>
      <c r="O569" s="45"/>
      <c r="P569" s="45"/>
      <c r="Q569" s="45"/>
    </row>
    <row r="570" spans="2:17" ht="51" x14ac:dyDescent="0.2">
      <c r="B570" s="156"/>
      <c r="C570" s="157"/>
      <c r="D570" s="59" t="s">
        <v>1262</v>
      </c>
      <c r="E570" s="156"/>
      <c r="F570" s="45"/>
      <c r="G570" s="45"/>
      <c r="H570" s="45"/>
      <c r="I570" s="45"/>
      <c r="J570" s="45"/>
      <c r="K570" s="45"/>
      <c r="L570" s="45"/>
      <c r="M570" s="45"/>
      <c r="N570" s="45"/>
      <c r="O570" s="45"/>
      <c r="P570" s="45"/>
      <c r="Q570" s="45"/>
    </row>
    <row r="571" spans="2:17" ht="17" x14ac:dyDescent="0.2">
      <c r="B571" s="159">
        <v>1530.1</v>
      </c>
      <c r="C571" s="157" t="s">
        <v>1263</v>
      </c>
      <c r="D571" s="59" t="s">
        <v>1264</v>
      </c>
      <c r="E571" s="156">
        <v>11</v>
      </c>
      <c r="F571" s="45"/>
      <c r="G571" s="45"/>
      <c r="H571" s="45"/>
      <c r="I571" s="45"/>
      <c r="J571" s="45"/>
      <c r="K571" s="45"/>
      <c r="L571" s="45"/>
      <c r="M571" s="45"/>
      <c r="N571" s="45"/>
      <c r="O571" s="45"/>
      <c r="P571" s="45"/>
      <c r="Q571" s="45"/>
    </row>
    <row r="572" spans="2:17" ht="17" x14ac:dyDescent="0.2">
      <c r="B572" s="159"/>
      <c r="C572" s="157"/>
      <c r="D572" s="59" t="s">
        <v>1265</v>
      </c>
      <c r="E572" s="156"/>
      <c r="F572" s="45"/>
      <c r="G572" s="45"/>
      <c r="H572" s="45"/>
      <c r="I572" s="45"/>
      <c r="J572" s="45"/>
      <c r="K572" s="45"/>
      <c r="L572" s="45"/>
      <c r="M572" s="45"/>
      <c r="N572" s="45"/>
      <c r="O572" s="45"/>
      <c r="P572" s="45"/>
      <c r="Q572" s="45"/>
    </row>
    <row r="573" spans="2:17" ht="34" x14ac:dyDescent="0.2">
      <c r="B573" s="159"/>
      <c r="C573" s="157"/>
      <c r="D573" s="59" t="s">
        <v>1266</v>
      </c>
      <c r="E573" s="156"/>
      <c r="F573" s="45"/>
      <c r="G573" s="45"/>
      <c r="H573" s="45"/>
      <c r="I573" s="45"/>
      <c r="J573" s="45"/>
      <c r="K573" s="45"/>
      <c r="L573" s="45"/>
      <c r="M573" s="45"/>
      <c r="N573" s="45"/>
      <c r="O573" s="45"/>
      <c r="P573" s="45"/>
      <c r="Q573" s="45"/>
    </row>
    <row r="574" spans="2:17" ht="17" x14ac:dyDescent="0.2">
      <c r="B574" s="159"/>
      <c r="C574" s="157"/>
      <c r="D574" s="59" t="s">
        <v>1267</v>
      </c>
      <c r="E574" s="156"/>
      <c r="F574" s="45"/>
      <c r="G574" s="45"/>
      <c r="H574" s="45"/>
      <c r="I574" s="45"/>
      <c r="J574" s="45"/>
      <c r="K574" s="45"/>
      <c r="L574" s="45"/>
      <c r="M574" s="45"/>
      <c r="N574" s="45"/>
      <c r="O574" s="45"/>
      <c r="P574" s="45"/>
      <c r="Q574" s="45"/>
    </row>
    <row r="575" spans="2:17" ht="51" x14ac:dyDescent="0.2">
      <c r="B575" s="159"/>
      <c r="C575" s="157"/>
      <c r="D575" s="59" t="s">
        <v>1268</v>
      </c>
      <c r="E575" s="156"/>
      <c r="F575" s="45"/>
      <c r="G575" s="45"/>
      <c r="H575" s="45"/>
      <c r="I575" s="45"/>
      <c r="J575" s="45"/>
      <c r="K575" s="45"/>
      <c r="L575" s="45"/>
      <c r="M575" s="45"/>
      <c r="N575" s="45"/>
      <c r="O575" s="45"/>
      <c r="P575" s="45"/>
      <c r="Q575" s="45"/>
    </row>
    <row r="576" spans="2:17" ht="17" x14ac:dyDescent="0.2">
      <c r="B576" s="159"/>
      <c r="C576" s="157"/>
      <c r="D576" s="59" t="s">
        <v>1269</v>
      </c>
      <c r="E576" s="156"/>
      <c r="F576" s="45"/>
      <c r="G576" s="45"/>
      <c r="H576" s="45"/>
      <c r="I576" s="45"/>
      <c r="J576" s="45"/>
      <c r="K576" s="45"/>
      <c r="L576" s="45"/>
      <c r="M576" s="45"/>
      <c r="N576" s="45"/>
      <c r="O576" s="45"/>
      <c r="P576" s="45"/>
      <c r="Q576" s="45"/>
    </row>
    <row r="577" spans="2:17" ht="17" x14ac:dyDescent="0.2">
      <c r="B577" s="156">
        <v>2010</v>
      </c>
      <c r="C577" s="157" t="s">
        <v>1270</v>
      </c>
      <c r="D577" s="59" t="s">
        <v>836</v>
      </c>
      <c r="E577" s="156">
        <v>11</v>
      </c>
      <c r="F577" s="45"/>
      <c r="G577" s="45"/>
      <c r="H577" s="45"/>
      <c r="I577" s="45"/>
      <c r="J577" s="45"/>
      <c r="K577" s="45"/>
      <c r="L577" s="45"/>
      <c r="M577" s="45"/>
      <c r="N577" s="45"/>
      <c r="O577" s="45"/>
      <c r="P577" s="45"/>
      <c r="Q577" s="45"/>
    </row>
    <row r="578" spans="2:17" ht="34" x14ac:dyDescent="0.2">
      <c r="B578" s="156"/>
      <c r="C578" s="157"/>
      <c r="D578" s="59" t="s">
        <v>1271</v>
      </c>
      <c r="E578" s="156"/>
      <c r="F578" s="45"/>
      <c r="G578" s="45"/>
      <c r="H578" s="45"/>
      <c r="I578" s="45"/>
      <c r="J578" s="45"/>
      <c r="K578" s="45"/>
      <c r="L578" s="45"/>
      <c r="M578" s="45"/>
      <c r="N578" s="45"/>
      <c r="O578" s="45"/>
      <c r="P578" s="45"/>
      <c r="Q578" s="45"/>
    </row>
    <row r="579" spans="2:17" ht="34" x14ac:dyDescent="0.2">
      <c r="B579" s="156">
        <v>2020</v>
      </c>
      <c r="C579" s="157" t="s">
        <v>1272</v>
      </c>
      <c r="D579" s="59" t="s">
        <v>1273</v>
      </c>
      <c r="E579" s="156">
        <v>11</v>
      </c>
      <c r="F579" s="45"/>
      <c r="G579" s="45"/>
      <c r="H579" s="45"/>
      <c r="I579" s="45"/>
      <c r="J579" s="45"/>
      <c r="K579" s="45"/>
      <c r="L579" s="45"/>
      <c r="M579" s="45"/>
      <c r="N579" s="45"/>
      <c r="O579" s="45"/>
      <c r="P579" s="45"/>
      <c r="Q579" s="45"/>
    </row>
    <row r="580" spans="2:17" ht="51" x14ac:dyDescent="0.2">
      <c r="B580" s="156"/>
      <c r="C580" s="157"/>
      <c r="D580" s="59" t="s">
        <v>1274</v>
      </c>
      <c r="E580" s="156"/>
      <c r="F580" s="45"/>
      <c r="G580" s="45"/>
      <c r="H580" s="45"/>
      <c r="I580" s="45"/>
      <c r="J580" s="45"/>
      <c r="K580" s="45"/>
      <c r="L580" s="45"/>
      <c r="M580" s="45"/>
      <c r="N580" s="45"/>
      <c r="O580" s="45"/>
      <c r="P580" s="45"/>
      <c r="Q580" s="45"/>
    </row>
    <row r="581" spans="2:17" ht="34" x14ac:dyDescent="0.2">
      <c r="B581" s="156"/>
      <c r="C581" s="157"/>
      <c r="D581" s="59" t="s">
        <v>1275</v>
      </c>
      <c r="E581" s="156"/>
      <c r="F581" s="45"/>
      <c r="G581" s="45"/>
      <c r="H581" s="45"/>
      <c r="I581" s="45"/>
      <c r="J581" s="45"/>
      <c r="K581" s="45"/>
      <c r="L581" s="45"/>
      <c r="M581" s="45"/>
      <c r="N581" s="45"/>
      <c r="O581" s="45"/>
      <c r="P581" s="45"/>
      <c r="Q581" s="45"/>
    </row>
    <row r="582" spans="2:17" ht="34" x14ac:dyDescent="0.2">
      <c r="B582" s="156"/>
      <c r="C582" s="157"/>
      <c r="D582" s="59" t="s">
        <v>1276</v>
      </c>
      <c r="E582" s="156"/>
      <c r="F582" s="45"/>
      <c r="G582" s="45"/>
      <c r="H582" s="45"/>
      <c r="I582" s="45"/>
      <c r="J582" s="45"/>
      <c r="K582" s="45"/>
      <c r="L582" s="45"/>
      <c r="M582" s="45"/>
      <c r="N582" s="45"/>
      <c r="O582" s="45"/>
      <c r="P582" s="45"/>
      <c r="Q582" s="45"/>
    </row>
    <row r="583" spans="2:17" ht="17" x14ac:dyDescent="0.2">
      <c r="B583" s="156">
        <v>2050</v>
      </c>
      <c r="C583" s="157" t="s">
        <v>1277</v>
      </c>
      <c r="D583" s="59" t="s">
        <v>1278</v>
      </c>
      <c r="E583" s="156">
        <v>11</v>
      </c>
      <c r="F583" s="45"/>
      <c r="G583" s="45"/>
      <c r="H583" s="45"/>
      <c r="I583" s="45"/>
      <c r="J583" s="45"/>
      <c r="K583" s="45"/>
      <c r="L583" s="45"/>
      <c r="M583" s="45"/>
      <c r="N583" s="45"/>
      <c r="O583" s="45"/>
      <c r="P583" s="45"/>
      <c r="Q583" s="45"/>
    </row>
    <row r="584" spans="2:17" ht="34" x14ac:dyDescent="0.2">
      <c r="B584" s="156"/>
      <c r="C584" s="157"/>
      <c r="D584" s="59" t="s">
        <v>1279</v>
      </c>
      <c r="E584" s="156"/>
      <c r="F584" s="45"/>
      <c r="G584" s="45"/>
      <c r="H584" s="45"/>
      <c r="I584" s="45"/>
      <c r="J584" s="45"/>
      <c r="K584" s="45"/>
      <c r="L584" s="45"/>
      <c r="M584" s="45"/>
      <c r="N584" s="45"/>
      <c r="O584" s="45"/>
      <c r="P584" s="45"/>
      <c r="Q584" s="45"/>
    </row>
    <row r="585" spans="2:17" ht="34" x14ac:dyDescent="0.2">
      <c r="B585" s="156"/>
      <c r="C585" s="157"/>
      <c r="D585" s="59" t="s">
        <v>1280</v>
      </c>
      <c r="E585" s="156"/>
      <c r="F585" s="45"/>
      <c r="G585" s="45"/>
      <c r="H585" s="45"/>
      <c r="I585" s="45"/>
      <c r="J585" s="45"/>
      <c r="K585" s="45"/>
      <c r="L585" s="45"/>
      <c r="M585" s="45"/>
      <c r="N585" s="45"/>
      <c r="O585" s="45"/>
      <c r="P585" s="45"/>
      <c r="Q585" s="45"/>
    </row>
    <row r="586" spans="2:17" ht="17" x14ac:dyDescent="0.2">
      <c r="B586" s="156"/>
      <c r="C586" s="157"/>
      <c r="D586" s="59" t="s">
        <v>1281</v>
      </c>
      <c r="E586" s="156"/>
      <c r="F586" s="45"/>
      <c r="G586" s="45"/>
      <c r="H586" s="45"/>
      <c r="I586" s="45"/>
      <c r="J586" s="45"/>
      <c r="K586" s="45"/>
      <c r="L586" s="45"/>
      <c r="M586" s="45"/>
      <c r="N586" s="45"/>
      <c r="O586" s="45"/>
      <c r="P586" s="45"/>
      <c r="Q586" s="45"/>
    </row>
    <row r="587" spans="2:17" ht="17" x14ac:dyDescent="0.2">
      <c r="B587" s="156">
        <v>2060</v>
      </c>
      <c r="C587" s="157" t="s">
        <v>1282</v>
      </c>
      <c r="D587" s="59" t="s">
        <v>1283</v>
      </c>
      <c r="E587" s="156">
        <v>11</v>
      </c>
      <c r="F587" s="45"/>
      <c r="G587" s="45"/>
      <c r="H587" s="45"/>
      <c r="I587" s="45"/>
      <c r="J587" s="45"/>
      <c r="K587" s="45"/>
      <c r="L587" s="45"/>
      <c r="M587" s="45"/>
      <c r="N587" s="45"/>
      <c r="O587" s="45"/>
      <c r="P587" s="45"/>
      <c r="Q587" s="45"/>
    </row>
    <row r="588" spans="2:17" ht="17" x14ac:dyDescent="0.2">
      <c r="B588" s="156"/>
      <c r="C588" s="157"/>
      <c r="D588" s="59" t="s">
        <v>1284</v>
      </c>
      <c r="E588" s="156"/>
      <c r="F588" s="45"/>
      <c r="G588" s="45"/>
      <c r="H588" s="45"/>
      <c r="I588" s="45"/>
      <c r="J588" s="45"/>
      <c r="K588" s="45"/>
      <c r="L588" s="45"/>
      <c r="M588" s="45"/>
      <c r="N588" s="45"/>
      <c r="O588" s="45"/>
      <c r="P588" s="45"/>
      <c r="Q588" s="45"/>
    </row>
    <row r="589" spans="2:17" ht="34" x14ac:dyDescent="0.2">
      <c r="B589" s="156">
        <v>2070</v>
      </c>
      <c r="C589" s="157" t="s">
        <v>1285</v>
      </c>
      <c r="D589" s="59" t="s">
        <v>1286</v>
      </c>
      <c r="E589" s="156">
        <v>11</v>
      </c>
      <c r="F589" s="45"/>
      <c r="G589" s="45"/>
      <c r="H589" s="45"/>
      <c r="I589" s="45"/>
      <c r="J589" s="45"/>
      <c r="K589" s="45"/>
      <c r="L589" s="45"/>
      <c r="M589" s="45"/>
      <c r="N589" s="45"/>
      <c r="O589" s="45"/>
      <c r="P589" s="45"/>
      <c r="Q589" s="45"/>
    </row>
    <row r="590" spans="2:17" ht="34" x14ac:dyDescent="0.2">
      <c r="B590" s="156"/>
      <c r="C590" s="157"/>
      <c r="D590" s="59" t="s">
        <v>1287</v>
      </c>
      <c r="E590" s="156"/>
      <c r="F590" s="45"/>
      <c r="G590" s="45"/>
      <c r="H590" s="45"/>
      <c r="I590" s="45"/>
      <c r="J590" s="45"/>
      <c r="K590" s="45"/>
      <c r="L590" s="45"/>
      <c r="M590" s="45"/>
      <c r="N590" s="45"/>
      <c r="O590" s="45"/>
      <c r="P590" s="45"/>
      <c r="Q590" s="45"/>
    </row>
    <row r="591" spans="2:17" ht="34" x14ac:dyDescent="0.2">
      <c r="B591" s="156"/>
      <c r="C591" s="157"/>
      <c r="D591" s="59" t="s">
        <v>1288</v>
      </c>
      <c r="E591" s="156"/>
      <c r="F591" s="45"/>
      <c r="G591" s="45"/>
      <c r="H591" s="45"/>
      <c r="I591" s="45"/>
      <c r="J591" s="45"/>
      <c r="K591" s="45"/>
      <c r="L591" s="45"/>
      <c r="M591" s="45"/>
      <c r="N591" s="45"/>
      <c r="O591" s="45"/>
      <c r="P591" s="45"/>
      <c r="Q591" s="45"/>
    </row>
    <row r="592" spans="2:17" ht="34" x14ac:dyDescent="0.2">
      <c r="B592" s="156"/>
      <c r="C592" s="157"/>
      <c r="D592" s="59" t="s">
        <v>1289</v>
      </c>
      <c r="E592" s="156"/>
      <c r="F592" s="45"/>
      <c r="G592" s="45"/>
      <c r="H592" s="45"/>
      <c r="I592" s="45"/>
      <c r="J592" s="45"/>
      <c r="K592" s="45"/>
      <c r="L592" s="45"/>
      <c r="M592" s="45"/>
      <c r="N592" s="45"/>
      <c r="O592" s="45"/>
      <c r="P592" s="45"/>
      <c r="Q592" s="45"/>
    </row>
    <row r="593" spans="2:17" ht="34" x14ac:dyDescent="0.2">
      <c r="B593" s="156">
        <v>2080</v>
      </c>
      <c r="C593" s="157" t="s">
        <v>1290</v>
      </c>
      <c r="D593" s="59" t="s">
        <v>1291</v>
      </c>
      <c r="E593" s="156">
        <v>11</v>
      </c>
      <c r="F593" s="45"/>
      <c r="G593" s="45"/>
      <c r="H593" s="45"/>
      <c r="I593" s="45"/>
      <c r="J593" s="45"/>
      <c r="K593" s="45"/>
      <c r="L593" s="45"/>
      <c r="M593" s="45"/>
      <c r="N593" s="45"/>
      <c r="O593" s="45"/>
      <c r="P593" s="45"/>
      <c r="Q593" s="45"/>
    </row>
    <row r="594" spans="2:17" ht="34" x14ac:dyDescent="0.2">
      <c r="B594" s="156"/>
      <c r="C594" s="157"/>
      <c r="D594" s="59" t="s">
        <v>1292</v>
      </c>
      <c r="E594" s="156"/>
      <c r="F594" s="45"/>
      <c r="G594" s="45"/>
      <c r="H594" s="45"/>
      <c r="I594" s="45"/>
      <c r="J594" s="45"/>
      <c r="K594" s="45"/>
      <c r="L594" s="45"/>
      <c r="M594" s="45"/>
      <c r="N594" s="45"/>
      <c r="O594" s="45"/>
      <c r="P594" s="45"/>
      <c r="Q594" s="45"/>
    </row>
    <row r="595" spans="2:17" ht="51" x14ac:dyDescent="0.2">
      <c r="B595" s="46">
        <v>2090</v>
      </c>
      <c r="C595" s="59" t="s">
        <v>1293</v>
      </c>
      <c r="D595" s="60" t="s">
        <v>1294</v>
      </c>
      <c r="E595" s="46">
        <v>11</v>
      </c>
      <c r="F595" s="45"/>
      <c r="G595" s="45"/>
      <c r="H595" s="45"/>
      <c r="I595" s="45"/>
      <c r="J595" s="45"/>
      <c r="K595" s="45"/>
      <c r="L595" s="45"/>
      <c r="M595" s="45"/>
      <c r="N595" s="45"/>
      <c r="O595" s="45"/>
      <c r="P595" s="45"/>
      <c r="Q595" s="45"/>
    </row>
    <row r="596" spans="2:17" ht="34" x14ac:dyDescent="0.2">
      <c r="B596" s="46">
        <v>2100</v>
      </c>
      <c r="C596" s="59" t="s">
        <v>1295</v>
      </c>
      <c r="D596" s="60" t="s">
        <v>1296</v>
      </c>
      <c r="E596" s="46">
        <v>11</v>
      </c>
      <c r="F596" s="45"/>
      <c r="G596" s="45"/>
      <c r="H596" s="45"/>
      <c r="I596" s="45"/>
      <c r="J596" s="45"/>
      <c r="K596" s="45"/>
      <c r="L596" s="45"/>
      <c r="M596" s="45"/>
      <c r="N596" s="45"/>
      <c r="O596" s="45"/>
      <c r="P596" s="45"/>
      <c r="Q596" s="45"/>
    </row>
    <row r="597" spans="2:17" ht="34" x14ac:dyDescent="0.2">
      <c r="B597" s="46">
        <v>2110</v>
      </c>
      <c r="C597" s="59" t="s">
        <v>1297</v>
      </c>
      <c r="D597" s="60" t="s">
        <v>1298</v>
      </c>
      <c r="E597" s="46">
        <v>11</v>
      </c>
      <c r="F597" s="45"/>
      <c r="G597" s="45"/>
      <c r="H597" s="45"/>
      <c r="I597" s="45"/>
      <c r="J597" s="45"/>
      <c r="K597" s="45"/>
      <c r="L597" s="45"/>
      <c r="M597" s="45"/>
      <c r="N597" s="45"/>
      <c r="O597" s="45"/>
      <c r="P597" s="45"/>
      <c r="Q597" s="45"/>
    </row>
    <row r="598" spans="2:17" ht="17" x14ac:dyDescent="0.2">
      <c r="B598" s="156">
        <v>2120</v>
      </c>
      <c r="C598" s="157" t="s">
        <v>1299</v>
      </c>
      <c r="D598" s="60" t="s">
        <v>1300</v>
      </c>
      <c r="E598" s="156">
        <v>11</v>
      </c>
      <c r="F598" s="45"/>
      <c r="G598" s="45"/>
      <c r="H598" s="45"/>
      <c r="I598" s="45"/>
      <c r="J598" s="45"/>
      <c r="K598" s="45"/>
      <c r="L598" s="45"/>
      <c r="M598" s="45"/>
      <c r="N598" s="45"/>
      <c r="O598" s="45"/>
      <c r="P598" s="45"/>
      <c r="Q598" s="45"/>
    </row>
    <row r="599" spans="2:17" ht="34" x14ac:dyDescent="0.2">
      <c r="B599" s="156"/>
      <c r="C599" s="157"/>
      <c r="D599" s="60" t="s">
        <v>1301</v>
      </c>
      <c r="E599" s="156"/>
      <c r="F599" s="45"/>
      <c r="G599" s="45"/>
      <c r="H599" s="45"/>
      <c r="I599" s="45"/>
      <c r="J599" s="45"/>
      <c r="K599" s="45"/>
      <c r="L599" s="45"/>
      <c r="M599" s="45"/>
      <c r="N599" s="45"/>
      <c r="O599" s="45"/>
      <c r="P599" s="45"/>
      <c r="Q599" s="45"/>
    </row>
    <row r="600" spans="2:17" ht="17" x14ac:dyDescent="0.2">
      <c r="B600" s="156"/>
      <c r="C600" s="157"/>
      <c r="D600" s="60" t="s">
        <v>1302</v>
      </c>
      <c r="E600" s="156"/>
      <c r="F600" s="45"/>
      <c r="G600" s="45"/>
      <c r="H600" s="45"/>
      <c r="I600" s="45"/>
      <c r="J600" s="45"/>
      <c r="K600" s="45"/>
      <c r="L600" s="45"/>
      <c r="M600" s="45"/>
      <c r="N600" s="45"/>
      <c r="O600" s="45"/>
      <c r="P600" s="45"/>
      <c r="Q600" s="45"/>
    </row>
    <row r="601" spans="2:17" ht="34" x14ac:dyDescent="0.2">
      <c r="B601" s="156">
        <v>2130</v>
      </c>
      <c r="C601" s="157" t="s">
        <v>1303</v>
      </c>
      <c r="D601" s="60" t="s">
        <v>1304</v>
      </c>
      <c r="E601" s="156">
        <v>11</v>
      </c>
      <c r="F601" s="45"/>
      <c r="G601" s="45"/>
      <c r="H601" s="45"/>
      <c r="I601" s="45"/>
      <c r="J601" s="45"/>
      <c r="K601" s="45"/>
      <c r="L601" s="45"/>
      <c r="M601" s="45"/>
      <c r="N601" s="45"/>
      <c r="O601" s="45"/>
      <c r="P601" s="45"/>
      <c r="Q601" s="45"/>
    </row>
    <row r="602" spans="2:17" ht="34" x14ac:dyDescent="0.2">
      <c r="B602" s="156"/>
      <c r="C602" s="157"/>
      <c r="D602" s="60" t="s">
        <v>1305</v>
      </c>
      <c r="E602" s="156"/>
      <c r="F602" s="45"/>
      <c r="G602" s="45"/>
      <c r="H602" s="45"/>
      <c r="I602" s="45"/>
      <c r="J602" s="45"/>
      <c r="K602" s="45"/>
      <c r="L602" s="45"/>
      <c r="M602" s="45"/>
      <c r="N602" s="45"/>
      <c r="O602" s="45"/>
      <c r="P602" s="45"/>
      <c r="Q602" s="45"/>
    </row>
    <row r="603" spans="2:17" ht="34" x14ac:dyDescent="0.2">
      <c r="B603" s="156">
        <v>2150</v>
      </c>
      <c r="C603" s="157" t="s">
        <v>1306</v>
      </c>
      <c r="D603" s="60" t="s">
        <v>1307</v>
      </c>
      <c r="E603" s="156">
        <v>11</v>
      </c>
      <c r="F603" s="45"/>
      <c r="G603" s="45"/>
      <c r="H603" s="45"/>
      <c r="I603" s="45"/>
      <c r="J603" s="45"/>
      <c r="K603" s="45"/>
      <c r="L603" s="45"/>
      <c r="M603" s="45"/>
      <c r="N603" s="45"/>
      <c r="O603" s="45"/>
      <c r="P603" s="45"/>
      <c r="Q603" s="45"/>
    </row>
    <row r="604" spans="2:17" ht="34" x14ac:dyDescent="0.2">
      <c r="B604" s="156"/>
      <c r="C604" s="157"/>
      <c r="D604" s="60" t="s">
        <v>1308</v>
      </c>
      <c r="E604" s="156"/>
      <c r="F604" s="45"/>
      <c r="G604" s="45"/>
      <c r="H604" s="45"/>
      <c r="I604" s="45"/>
      <c r="J604" s="45"/>
      <c r="K604" s="45"/>
      <c r="L604" s="45"/>
      <c r="M604" s="45"/>
      <c r="N604" s="45"/>
      <c r="O604" s="45"/>
      <c r="P604" s="45"/>
      <c r="Q604" s="45"/>
    </row>
    <row r="605" spans="2:17" ht="51" x14ac:dyDescent="0.2">
      <c r="B605" s="156"/>
      <c r="C605" s="157"/>
      <c r="D605" s="60" t="s">
        <v>1309</v>
      </c>
      <c r="E605" s="156"/>
      <c r="F605" s="45"/>
      <c r="G605" s="45"/>
      <c r="H605" s="45"/>
      <c r="I605" s="45"/>
      <c r="J605" s="45"/>
      <c r="K605" s="45"/>
      <c r="L605" s="45"/>
      <c r="M605" s="45"/>
      <c r="N605" s="45"/>
      <c r="O605" s="45"/>
      <c r="P605" s="45"/>
      <c r="Q605" s="45"/>
    </row>
    <row r="606" spans="2:17" ht="34" x14ac:dyDescent="0.2">
      <c r="B606" s="156">
        <v>2160</v>
      </c>
      <c r="C606" s="157" t="s">
        <v>1310</v>
      </c>
      <c r="D606" s="60" t="s">
        <v>1311</v>
      </c>
      <c r="E606" s="156">
        <v>11</v>
      </c>
      <c r="F606" s="45"/>
      <c r="G606" s="45"/>
      <c r="H606" s="45"/>
      <c r="I606" s="45"/>
      <c r="J606" s="45"/>
      <c r="K606" s="45"/>
      <c r="L606" s="45"/>
      <c r="M606" s="45"/>
      <c r="N606" s="45"/>
      <c r="O606" s="45"/>
      <c r="P606" s="45"/>
      <c r="Q606" s="45"/>
    </row>
    <row r="607" spans="2:17" ht="34" x14ac:dyDescent="0.2">
      <c r="B607" s="156"/>
      <c r="C607" s="157"/>
      <c r="D607" s="60" t="s">
        <v>1312</v>
      </c>
      <c r="E607" s="156"/>
      <c r="F607" s="45"/>
      <c r="G607" s="45"/>
      <c r="H607" s="45"/>
      <c r="I607" s="45"/>
      <c r="J607" s="45"/>
      <c r="K607" s="45"/>
      <c r="L607" s="45"/>
      <c r="M607" s="45"/>
      <c r="N607" s="45"/>
      <c r="O607" s="45"/>
      <c r="P607" s="45"/>
      <c r="Q607" s="45"/>
    </row>
    <row r="608" spans="2:17" ht="17" x14ac:dyDescent="0.2">
      <c r="B608" s="156"/>
      <c r="C608" s="157"/>
      <c r="D608" s="60" t="s">
        <v>785</v>
      </c>
      <c r="E608" s="156"/>
      <c r="F608" s="45"/>
      <c r="G608" s="45"/>
      <c r="H608" s="45"/>
      <c r="I608" s="45"/>
      <c r="J608" s="45"/>
      <c r="K608" s="45"/>
      <c r="L608" s="45"/>
      <c r="M608" s="45"/>
      <c r="N608" s="45"/>
      <c r="O608" s="45"/>
      <c r="P608" s="45"/>
      <c r="Q608" s="45"/>
    </row>
    <row r="609" spans="2:17" ht="17" x14ac:dyDescent="0.2">
      <c r="B609" s="156"/>
      <c r="C609" s="157"/>
      <c r="D609" s="60" t="s">
        <v>787</v>
      </c>
      <c r="E609" s="156"/>
      <c r="F609" s="45"/>
      <c r="G609" s="45"/>
      <c r="H609" s="45"/>
      <c r="I609" s="45"/>
      <c r="J609" s="45"/>
      <c r="K609" s="45"/>
      <c r="L609" s="45"/>
      <c r="M609" s="45"/>
      <c r="N609" s="45"/>
      <c r="O609" s="45"/>
      <c r="P609" s="45"/>
      <c r="Q609" s="45"/>
    </row>
    <row r="610" spans="2:17" ht="17" x14ac:dyDescent="0.2">
      <c r="B610" s="46">
        <v>2170</v>
      </c>
      <c r="C610" s="59" t="s">
        <v>1313</v>
      </c>
      <c r="D610" s="67" t="s">
        <v>1314</v>
      </c>
      <c r="E610" s="46">
        <v>11</v>
      </c>
      <c r="F610" s="45"/>
      <c r="G610" s="45"/>
      <c r="H610" s="45"/>
      <c r="I610" s="45"/>
      <c r="J610" s="45"/>
      <c r="K610" s="45"/>
      <c r="L610" s="45"/>
      <c r="M610" s="45"/>
      <c r="N610" s="45"/>
      <c r="O610" s="45"/>
      <c r="P610" s="45"/>
      <c r="Q610" s="45"/>
    </row>
    <row r="611" spans="2:17" ht="17" x14ac:dyDescent="0.2">
      <c r="B611" s="156">
        <v>2180</v>
      </c>
      <c r="C611" s="157" t="s">
        <v>1315</v>
      </c>
      <c r="D611" s="60" t="s">
        <v>1316</v>
      </c>
      <c r="E611" s="156">
        <v>11</v>
      </c>
      <c r="F611" s="45"/>
      <c r="G611" s="45"/>
      <c r="H611" s="45"/>
      <c r="I611" s="45"/>
      <c r="J611" s="45"/>
      <c r="K611" s="45"/>
      <c r="L611" s="45"/>
      <c r="M611" s="45"/>
      <c r="N611" s="45"/>
      <c r="O611" s="45"/>
      <c r="P611" s="45"/>
      <c r="Q611" s="45"/>
    </row>
    <row r="612" spans="2:17" ht="17" x14ac:dyDescent="0.2">
      <c r="B612" s="156"/>
      <c r="C612" s="157"/>
      <c r="D612" s="60" t="s">
        <v>772</v>
      </c>
      <c r="E612" s="156"/>
      <c r="F612" s="45"/>
      <c r="G612" s="45"/>
      <c r="H612" s="45"/>
      <c r="I612" s="45"/>
      <c r="J612" s="45"/>
      <c r="K612" s="45"/>
      <c r="L612" s="45"/>
      <c r="M612" s="45"/>
      <c r="N612" s="45"/>
      <c r="O612" s="45"/>
      <c r="P612" s="45"/>
      <c r="Q612" s="45"/>
    </row>
    <row r="613" spans="2:17" ht="34" x14ac:dyDescent="0.2">
      <c r="B613" s="156"/>
      <c r="C613" s="157"/>
      <c r="D613" s="60" t="s">
        <v>1317</v>
      </c>
      <c r="E613" s="156"/>
      <c r="F613" s="45"/>
      <c r="G613" s="45"/>
      <c r="H613" s="45"/>
      <c r="I613" s="45"/>
      <c r="J613" s="45"/>
      <c r="K613" s="45"/>
      <c r="L613" s="45"/>
      <c r="M613" s="45"/>
      <c r="N613" s="45"/>
      <c r="O613" s="45"/>
      <c r="P613" s="45"/>
      <c r="Q613" s="45"/>
    </row>
    <row r="614" spans="2:17" ht="51" x14ac:dyDescent="0.2">
      <c r="B614" s="156"/>
      <c r="C614" s="157"/>
      <c r="D614" s="60" t="s">
        <v>770</v>
      </c>
      <c r="E614" s="156"/>
      <c r="F614" s="45"/>
      <c r="G614" s="45"/>
      <c r="H614" s="45"/>
      <c r="I614" s="45"/>
      <c r="J614" s="45"/>
      <c r="K614" s="45"/>
      <c r="L614" s="45"/>
      <c r="M614" s="45"/>
      <c r="N614" s="45"/>
      <c r="O614" s="45"/>
      <c r="P614" s="45"/>
      <c r="Q614" s="45"/>
    </row>
    <row r="615" spans="2:17" ht="34" x14ac:dyDescent="0.2">
      <c r="B615" s="156"/>
      <c r="C615" s="157"/>
      <c r="D615" s="59" t="s">
        <v>771</v>
      </c>
      <c r="E615" s="156"/>
      <c r="F615" s="45"/>
      <c r="G615" s="45"/>
      <c r="H615" s="45"/>
      <c r="I615" s="45"/>
      <c r="J615" s="45"/>
      <c r="K615" s="45"/>
      <c r="L615" s="45"/>
      <c r="M615" s="45"/>
      <c r="N615" s="45"/>
      <c r="O615" s="45"/>
      <c r="P615" s="45"/>
      <c r="Q615" s="45"/>
    </row>
    <row r="616" spans="2:17" x14ac:dyDescent="0.2">
      <c r="B616" s="156">
        <v>2190</v>
      </c>
      <c r="C616" s="157" t="s">
        <v>1318</v>
      </c>
      <c r="D616" s="67" t="s">
        <v>1319</v>
      </c>
      <c r="E616" s="156">
        <v>11</v>
      </c>
      <c r="F616" s="45"/>
      <c r="G616" s="45"/>
      <c r="H616" s="45"/>
      <c r="I616" s="45"/>
      <c r="J616" s="45"/>
      <c r="K616" s="45"/>
      <c r="L616" s="45"/>
      <c r="M616" s="45"/>
      <c r="N616" s="45"/>
      <c r="O616" s="45"/>
      <c r="P616" s="45"/>
      <c r="Q616" s="45"/>
    </row>
    <row r="617" spans="2:17" x14ac:dyDescent="0.2">
      <c r="B617" s="156"/>
      <c r="C617" s="157"/>
      <c r="D617" s="67" t="s">
        <v>787</v>
      </c>
      <c r="E617" s="156"/>
      <c r="F617" s="45"/>
      <c r="G617" s="45"/>
      <c r="H617" s="45"/>
      <c r="I617" s="45"/>
      <c r="J617" s="45"/>
      <c r="K617" s="45"/>
      <c r="L617" s="45"/>
      <c r="M617" s="45"/>
      <c r="N617" s="45"/>
      <c r="O617" s="45"/>
      <c r="P617" s="45"/>
      <c r="Q617" s="45"/>
    </row>
    <row r="618" spans="2:17" ht="34" x14ac:dyDescent="0.2">
      <c r="B618" s="156">
        <v>2200</v>
      </c>
      <c r="C618" s="157" t="s">
        <v>1320</v>
      </c>
      <c r="D618" s="59" t="s">
        <v>1321</v>
      </c>
      <c r="E618" s="156">
        <v>11</v>
      </c>
      <c r="F618" s="45"/>
      <c r="G618" s="45"/>
      <c r="H618" s="45"/>
      <c r="I618" s="45"/>
      <c r="J618" s="45"/>
      <c r="K618" s="45"/>
      <c r="L618" s="45"/>
      <c r="M618" s="45"/>
      <c r="N618" s="45"/>
      <c r="O618" s="45"/>
      <c r="P618" s="45"/>
      <c r="Q618" s="45"/>
    </row>
    <row r="619" spans="2:17" ht="34" x14ac:dyDescent="0.2">
      <c r="B619" s="156"/>
      <c r="C619" s="157"/>
      <c r="D619" s="59" t="s">
        <v>1322</v>
      </c>
      <c r="E619" s="156"/>
      <c r="F619" s="45"/>
      <c r="G619" s="45"/>
      <c r="H619" s="45"/>
      <c r="I619" s="45"/>
      <c r="J619" s="45"/>
      <c r="K619" s="45"/>
      <c r="L619" s="45"/>
      <c r="M619" s="45"/>
      <c r="N619" s="45"/>
      <c r="O619" s="45"/>
      <c r="P619" s="45"/>
      <c r="Q619" s="45"/>
    </row>
    <row r="620" spans="2:17" ht="17" x14ac:dyDescent="0.2">
      <c r="B620" s="156"/>
      <c r="C620" s="157"/>
      <c r="D620" s="59" t="s">
        <v>1323</v>
      </c>
      <c r="E620" s="156"/>
      <c r="F620" s="45"/>
      <c r="G620" s="45"/>
      <c r="H620" s="45"/>
      <c r="I620" s="45"/>
      <c r="J620" s="45"/>
      <c r="K620" s="45"/>
      <c r="L620" s="45"/>
      <c r="M620" s="45"/>
      <c r="N620" s="45"/>
      <c r="O620" s="45"/>
      <c r="P620" s="45"/>
      <c r="Q620" s="45"/>
    </row>
    <row r="621" spans="2:17" ht="17" x14ac:dyDescent="0.2">
      <c r="B621" s="156"/>
      <c r="C621" s="157"/>
      <c r="D621" s="59" t="s">
        <v>1324</v>
      </c>
      <c r="E621" s="156"/>
      <c r="F621" s="45"/>
      <c r="G621" s="45"/>
      <c r="H621" s="45"/>
      <c r="I621" s="45"/>
      <c r="J621" s="45"/>
      <c r="K621" s="45"/>
      <c r="L621" s="45"/>
      <c r="M621" s="45"/>
      <c r="N621" s="45"/>
      <c r="O621" s="45"/>
      <c r="P621" s="45"/>
      <c r="Q621" s="45"/>
    </row>
    <row r="622" spans="2:17" ht="17" x14ac:dyDescent="0.2">
      <c r="B622" s="156"/>
      <c r="C622" s="157"/>
      <c r="D622" s="59" t="s">
        <v>772</v>
      </c>
      <c r="E622" s="156"/>
      <c r="F622" s="45"/>
      <c r="G622" s="45"/>
      <c r="H622" s="45"/>
      <c r="I622" s="45"/>
      <c r="J622" s="45"/>
      <c r="K622" s="45"/>
      <c r="L622" s="45"/>
      <c r="M622" s="45"/>
      <c r="N622" s="45"/>
      <c r="O622" s="45"/>
      <c r="P622" s="45"/>
      <c r="Q622" s="45"/>
    </row>
    <row r="623" spans="2:17" ht="34" x14ac:dyDescent="0.2">
      <c r="B623" s="156">
        <v>2210</v>
      </c>
      <c r="C623" s="157" t="s">
        <v>1325</v>
      </c>
      <c r="D623" s="60" t="s">
        <v>1326</v>
      </c>
      <c r="E623" s="156">
        <v>11</v>
      </c>
      <c r="F623" s="45"/>
      <c r="G623" s="45"/>
      <c r="H623" s="45"/>
      <c r="I623" s="45"/>
      <c r="J623" s="45"/>
      <c r="K623" s="45"/>
      <c r="L623" s="45"/>
      <c r="M623" s="45"/>
      <c r="N623" s="45"/>
      <c r="O623" s="45"/>
      <c r="P623" s="45"/>
      <c r="Q623" s="45"/>
    </row>
    <row r="624" spans="2:17" ht="34" x14ac:dyDescent="0.2">
      <c r="B624" s="156"/>
      <c r="C624" s="157"/>
      <c r="D624" s="60" t="s">
        <v>1327</v>
      </c>
      <c r="E624" s="156"/>
      <c r="F624" s="45"/>
      <c r="G624" s="45"/>
      <c r="H624" s="45"/>
      <c r="I624" s="45"/>
      <c r="J624" s="45"/>
      <c r="K624" s="45"/>
      <c r="L624" s="45"/>
      <c r="M624" s="45"/>
      <c r="N624" s="45"/>
      <c r="O624" s="45"/>
      <c r="P624" s="45"/>
      <c r="Q624" s="45"/>
    </row>
    <row r="625" spans="2:17" ht="17" x14ac:dyDescent="0.2">
      <c r="B625" s="156">
        <v>2220</v>
      </c>
      <c r="C625" s="157" t="s">
        <v>1328</v>
      </c>
      <c r="D625" s="60" t="s">
        <v>1316</v>
      </c>
      <c r="E625" s="156">
        <v>11</v>
      </c>
      <c r="F625" s="45"/>
      <c r="G625" s="45"/>
      <c r="H625" s="45"/>
      <c r="I625" s="45"/>
      <c r="J625" s="45"/>
      <c r="K625" s="45"/>
      <c r="L625" s="45"/>
      <c r="M625" s="45"/>
      <c r="N625" s="45"/>
      <c r="O625" s="45"/>
      <c r="P625" s="45"/>
      <c r="Q625" s="45"/>
    </row>
    <row r="626" spans="2:17" ht="17" x14ac:dyDescent="0.2">
      <c r="B626" s="156"/>
      <c r="C626" s="157"/>
      <c r="D626" s="60" t="s">
        <v>772</v>
      </c>
      <c r="E626" s="156"/>
      <c r="F626" s="45"/>
      <c r="G626" s="45"/>
      <c r="H626" s="45"/>
      <c r="I626" s="45"/>
      <c r="J626" s="45"/>
      <c r="K626" s="45"/>
      <c r="L626" s="45"/>
      <c r="M626" s="45"/>
      <c r="N626" s="45"/>
      <c r="O626" s="45"/>
      <c r="P626" s="45"/>
      <c r="Q626" s="45"/>
    </row>
    <row r="627" spans="2:17" ht="17" x14ac:dyDescent="0.2">
      <c r="B627" s="46">
        <v>2230</v>
      </c>
      <c r="C627" s="59" t="s">
        <v>850</v>
      </c>
      <c r="D627" s="60" t="s">
        <v>1329</v>
      </c>
      <c r="E627" s="46">
        <v>11</v>
      </c>
      <c r="F627" s="45"/>
      <c r="G627" s="45"/>
      <c r="H627" s="45"/>
      <c r="I627" s="45"/>
      <c r="J627" s="45"/>
      <c r="K627" s="45"/>
      <c r="L627" s="45"/>
      <c r="M627" s="45"/>
      <c r="N627" s="45"/>
      <c r="O627" s="45"/>
      <c r="P627" s="45"/>
      <c r="Q627" s="45"/>
    </row>
    <row r="628" spans="2:17" ht="34" x14ac:dyDescent="0.2">
      <c r="B628" s="46">
        <v>2410</v>
      </c>
      <c r="C628" s="59" t="s">
        <v>1330</v>
      </c>
      <c r="D628" s="60" t="s">
        <v>1331</v>
      </c>
      <c r="E628" s="46">
        <v>11</v>
      </c>
      <c r="F628" s="45"/>
      <c r="G628" s="45"/>
      <c r="H628" s="45"/>
      <c r="I628" s="45"/>
      <c r="J628" s="45"/>
      <c r="K628" s="45"/>
      <c r="L628" s="45"/>
      <c r="M628" s="45"/>
      <c r="N628" s="45"/>
      <c r="O628" s="45"/>
      <c r="P628" s="45"/>
      <c r="Q628" s="45"/>
    </row>
    <row r="629" spans="2:17" ht="34" x14ac:dyDescent="0.2">
      <c r="B629" s="46">
        <v>2420</v>
      </c>
      <c r="C629" s="59" t="s">
        <v>1332</v>
      </c>
      <c r="D629" s="60" t="s">
        <v>1331</v>
      </c>
      <c r="E629" s="46">
        <v>11</v>
      </c>
      <c r="F629" s="45"/>
      <c r="G629" s="45"/>
      <c r="H629" s="45"/>
      <c r="I629" s="45"/>
      <c r="J629" s="45"/>
      <c r="K629" s="45"/>
      <c r="L629" s="45"/>
      <c r="M629" s="45"/>
      <c r="N629" s="45"/>
      <c r="O629" s="45"/>
      <c r="P629" s="45"/>
      <c r="Q629" s="45"/>
    </row>
    <row r="630" spans="2:17" ht="34" x14ac:dyDescent="0.2">
      <c r="B630" s="156">
        <v>80</v>
      </c>
      <c r="C630" s="157" t="s">
        <v>1333</v>
      </c>
      <c r="D630" s="59" t="s">
        <v>1334</v>
      </c>
      <c r="E630" s="156">
        <v>12</v>
      </c>
      <c r="F630" s="45"/>
      <c r="G630" s="45"/>
      <c r="H630" s="45"/>
      <c r="I630" s="45"/>
      <c r="J630" s="45"/>
      <c r="K630" s="45"/>
      <c r="L630" s="45"/>
      <c r="M630" s="45"/>
      <c r="N630" s="45"/>
      <c r="O630" s="45"/>
      <c r="P630" s="45"/>
      <c r="Q630" s="45"/>
    </row>
    <row r="631" spans="2:17" ht="17" x14ac:dyDescent="0.2">
      <c r="B631" s="156"/>
      <c r="C631" s="157"/>
      <c r="D631" s="59" t="s">
        <v>1335</v>
      </c>
      <c r="E631" s="156"/>
      <c r="F631" s="45"/>
      <c r="G631" s="45"/>
      <c r="H631" s="45"/>
      <c r="I631" s="45"/>
      <c r="J631" s="45"/>
      <c r="K631" s="45"/>
      <c r="L631" s="45"/>
      <c r="M631" s="45"/>
      <c r="N631" s="45"/>
      <c r="O631" s="45"/>
      <c r="P631" s="45"/>
      <c r="Q631" s="45"/>
    </row>
    <row r="632" spans="2:17" ht="34" x14ac:dyDescent="0.2">
      <c r="B632" s="156"/>
      <c r="C632" s="157"/>
      <c r="D632" s="59" t="s">
        <v>1336</v>
      </c>
      <c r="E632" s="156"/>
      <c r="F632" s="45"/>
      <c r="G632" s="45"/>
      <c r="H632" s="45"/>
      <c r="I632" s="45"/>
      <c r="J632" s="45"/>
      <c r="K632" s="45"/>
      <c r="L632" s="45"/>
      <c r="M632" s="45"/>
      <c r="N632" s="45"/>
      <c r="O632" s="45"/>
      <c r="P632" s="45"/>
      <c r="Q632" s="45"/>
    </row>
    <row r="633" spans="2:17" ht="102" x14ac:dyDescent="0.2">
      <c r="B633" s="156"/>
      <c r="C633" s="157"/>
      <c r="D633" s="59" t="s">
        <v>1337</v>
      </c>
      <c r="E633" s="156"/>
      <c r="F633" s="45"/>
      <c r="G633" s="45"/>
      <c r="H633" s="45"/>
      <c r="I633" s="45"/>
      <c r="J633" s="45"/>
      <c r="K633" s="45"/>
      <c r="L633" s="45"/>
      <c r="M633" s="45"/>
      <c r="N633" s="45"/>
      <c r="O633" s="45"/>
      <c r="P633" s="45"/>
      <c r="Q633" s="45"/>
    </row>
    <row r="634" spans="2:17" ht="34" x14ac:dyDescent="0.2">
      <c r="B634" s="156"/>
      <c r="C634" s="157"/>
      <c r="D634" s="59" t="s">
        <v>1338</v>
      </c>
      <c r="E634" s="156"/>
      <c r="F634" s="45"/>
      <c r="G634" s="45"/>
      <c r="H634" s="45"/>
      <c r="I634" s="45"/>
      <c r="J634" s="45"/>
      <c r="K634" s="45"/>
      <c r="L634" s="45"/>
      <c r="M634" s="45"/>
      <c r="N634" s="45"/>
      <c r="O634" s="45"/>
      <c r="P634" s="45"/>
      <c r="Q634" s="45"/>
    </row>
    <row r="635" spans="2:17" ht="17" x14ac:dyDescent="0.2">
      <c r="B635" s="156"/>
      <c r="C635" s="157"/>
      <c r="D635" s="59" t="s">
        <v>1339</v>
      </c>
      <c r="E635" s="156"/>
      <c r="F635" s="45"/>
      <c r="G635" s="45"/>
      <c r="H635" s="45"/>
      <c r="I635" s="45"/>
      <c r="J635" s="45"/>
      <c r="K635" s="45"/>
      <c r="L635" s="45"/>
      <c r="M635" s="45"/>
      <c r="N635" s="45"/>
      <c r="O635" s="45"/>
      <c r="P635" s="45"/>
      <c r="Q635" s="45"/>
    </row>
    <row r="636" spans="2:17" ht="34" x14ac:dyDescent="0.2">
      <c r="B636" s="156"/>
      <c r="C636" s="157"/>
      <c r="D636" s="59" t="s">
        <v>1340</v>
      </c>
      <c r="E636" s="156"/>
      <c r="F636" s="45"/>
      <c r="G636" s="45"/>
      <c r="H636" s="45"/>
      <c r="I636" s="45"/>
      <c r="J636" s="45"/>
      <c r="K636" s="45"/>
      <c r="L636" s="45"/>
      <c r="M636" s="45"/>
      <c r="N636" s="45"/>
      <c r="O636" s="45"/>
      <c r="P636" s="45"/>
      <c r="Q636" s="45"/>
    </row>
    <row r="637" spans="2:17" ht="102" x14ac:dyDescent="0.2">
      <c r="B637" s="156"/>
      <c r="C637" s="157"/>
      <c r="D637" s="59" t="s">
        <v>1341</v>
      </c>
      <c r="E637" s="156"/>
      <c r="F637" s="45"/>
      <c r="G637" s="45"/>
      <c r="H637" s="45"/>
      <c r="I637" s="45"/>
      <c r="J637" s="45"/>
      <c r="K637" s="45"/>
      <c r="L637" s="45"/>
      <c r="M637" s="45"/>
      <c r="N637" s="45"/>
      <c r="O637" s="45"/>
      <c r="P637" s="45"/>
      <c r="Q637" s="45"/>
    </row>
    <row r="638" spans="2:17" ht="17" x14ac:dyDescent="0.2">
      <c r="B638" s="156">
        <v>2450</v>
      </c>
      <c r="C638" s="157" t="s">
        <v>1342</v>
      </c>
      <c r="D638" s="60" t="s">
        <v>1343</v>
      </c>
      <c r="E638" s="156">
        <v>12</v>
      </c>
      <c r="F638" s="45"/>
      <c r="G638" s="45"/>
      <c r="H638" s="45"/>
      <c r="I638" s="45"/>
      <c r="J638" s="45"/>
      <c r="K638" s="45"/>
      <c r="L638" s="45"/>
      <c r="M638" s="45"/>
      <c r="N638" s="45"/>
      <c r="O638" s="45"/>
      <c r="P638" s="45"/>
      <c r="Q638" s="45"/>
    </row>
    <row r="639" spans="2:17" ht="51" x14ac:dyDescent="0.2">
      <c r="B639" s="156"/>
      <c r="C639" s="157"/>
      <c r="D639" s="60" t="s">
        <v>1344</v>
      </c>
      <c r="E639" s="156"/>
      <c r="F639" s="45"/>
      <c r="G639" s="45"/>
      <c r="H639" s="45"/>
      <c r="I639" s="45"/>
      <c r="J639" s="45"/>
      <c r="K639" s="45"/>
      <c r="L639" s="45"/>
      <c r="M639" s="45"/>
      <c r="N639" s="45"/>
      <c r="O639" s="45"/>
      <c r="P639" s="45"/>
      <c r="Q639" s="45"/>
    </row>
    <row r="640" spans="2:17" ht="34" x14ac:dyDescent="0.2">
      <c r="B640" s="46">
        <v>2550</v>
      </c>
      <c r="C640" s="59" t="s">
        <v>1345</v>
      </c>
      <c r="D640" s="59" t="s">
        <v>1346</v>
      </c>
      <c r="E640" s="46">
        <v>12</v>
      </c>
      <c r="F640" s="45"/>
      <c r="G640" s="45"/>
      <c r="H640" s="45"/>
      <c r="I640" s="45"/>
      <c r="J640" s="45"/>
      <c r="K640" s="45"/>
      <c r="L640" s="45"/>
      <c r="M640" s="45"/>
      <c r="N640" s="45"/>
      <c r="O640" s="45"/>
      <c r="P640" s="45"/>
      <c r="Q640" s="45"/>
    </row>
    <row r="641" spans="2:17" ht="34" x14ac:dyDescent="0.2">
      <c r="B641" s="46">
        <v>2560</v>
      </c>
      <c r="C641" s="59" t="s">
        <v>1347</v>
      </c>
      <c r="D641" s="60" t="s">
        <v>1348</v>
      </c>
      <c r="E641" s="46">
        <v>12</v>
      </c>
      <c r="F641" s="45"/>
      <c r="G641" s="45"/>
      <c r="H641" s="45"/>
      <c r="I641" s="45"/>
      <c r="J641" s="45"/>
      <c r="K641" s="45"/>
      <c r="L641" s="45"/>
      <c r="M641" s="45"/>
      <c r="N641" s="45"/>
      <c r="O641" s="45"/>
      <c r="P641" s="45"/>
      <c r="Q641" s="45"/>
    </row>
    <row r="642" spans="2:17" ht="34" x14ac:dyDescent="0.2">
      <c r="B642" s="156">
        <v>2370</v>
      </c>
      <c r="C642" s="157" t="s">
        <v>1349</v>
      </c>
      <c r="D642" s="59" t="s">
        <v>1350</v>
      </c>
      <c r="E642" s="156">
        <v>12</v>
      </c>
      <c r="F642" s="45"/>
      <c r="G642" s="45"/>
      <c r="H642" s="45"/>
      <c r="I642" s="45"/>
      <c r="J642" s="45"/>
      <c r="K642" s="45"/>
      <c r="L642" s="45"/>
      <c r="M642" s="45"/>
      <c r="N642" s="45"/>
      <c r="O642" s="45"/>
      <c r="P642" s="45"/>
      <c r="Q642" s="45"/>
    </row>
    <row r="643" spans="2:17" ht="34" x14ac:dyDescent="0.2">
      <c r="B643" s="156"/>
      <c r="C643" s="157"/>
      <c r="D643" s="59" t="s">
        <v>1351</v>
      </c>
      <c r="E643" s="156"/>
      <c r="F643" s="45"/>
      <c r="G643" s="45"/>
      <c r="H643" s="45"/>
      <c r="I643" s="45"/>
      <c r="J643" s="45"/>
      <c r="K643" s="45"/>
      <c r="L643" s="45"/>
      <c r="M643" s="45"/>
      <c r="N643" s="45"/>
      <c r="O643" s="45"/>
      <c r="P643" s="45"/>
      <c r="Q643" s="45"/>
    </row>
    <row r="644" spans="2:17" ht="34" x14ac:dyDescent="0.2">
      <c r="B644" s="156">
        <v>2400</v>
      </c>
      <c r="C644" s="157" t="s">
        <v>1352</v>
      </c>
      <c r="D644" s="59" t="s">
        <v>1353</v>
      </c>
      <c r="E644" s="156">
        <v>12</v>
      </c>
      <c r="F644" s="45"/>
      <c r="G644" s="45"/>
      <c r="H644" s="45"/>
      <c r="I644" s="45"/>
      <c r="J644" s="45"/>
      <c r="K644" s="45"/>
      <c r="L644" s="45"/>
      <c r="M644" s="45"/>
      <c r="N644" s="45"/>
      <c r="O644" s="45"/>
      <c r="P644" s="45"/>
      <c r="Q644" s="45"/>
    </row>
    <row r="645" spans="2:17" ht="34" x14ac:dyDescent="0.2">
      <c r="B645" s="156"/>
      <c r="C645" s="157"/>
      <c r="D645" s="59" t="s">
        <v>1354</v>
      </c>
      <c r="E645" s="156"/>
      <c r="F645" s="45"/>
      <c r="G645" s="45"/>
      <c r="H645" s="45"/>
      <c r="I645" s="45"/>
      <c r="J645" s="45"/>
      <c r="K645" s="45"/>
      <c r="L645" s="45"/>
      <c r="M645" s="45"/>
      <c r="N645" s="45"/>
      <c r="O645" s="45"/>
      <c r="P645" s="45"/>
      <c r="Q645" s="45"/>
    </row>
    <row r="646" spans="2:17" ht="170" x14ac:dyDescent="0.2">
      <c r="B646" s="156"/>
      <c r="C646" s="157"/>
      <c r="D646" s="59" t="s">
        <v>1355</v>
      </c>
      <c r="E646" s="156"/>
      <c r="F646" s="45"/>
      <c r="G646" s="45"/>
      <c r="H646" s="45"/>
      <c r="I646" s="45"/>
      <c r="J646" s="45"/>
      <c r="K646" s="45"/>
      <c r="L646" s="45"/>
      <c r="M646" s="45"/>
      <c r="N646" s="45"/>
      <c r="O646" s="45"/>
      <c r="P646" s="45"/>
      <c r="Q646" s="45"/>
    </row>
    <row r="647" spans="2:17" ht="187" x14ac:dyDescent="0.2">
      <c r="B647" s="156"/>
      <c r="C647" s="157"/>
      <c r="D647" s="59" t="s">
        <v>1356</v>
      </c>
      <c r="E647" s="156"/>
      <c r="F647" s="45"/>
      <c r="G647" s="45"/>
      <c r="H647" s="45"/>
      <c r="I647" s="45"/>
      <c r="J647" s="45"/>
      <c r="K647" s="45"/>
      <c r="L647" s="45"/>
      <c r="M647" s="45"/>
      <c r="N647" s="45"/>
      <c r="O647" s="45"/>
      <c r="P647" s="45"/>
      <c r="Q647" s="45"/>
    </row>
    <row r="648" spans="2:17" ht="34" x14ac:dyDescent="0.2">
      <c r="B648" s="156"/>
      <c r="C648" s="157"/>
      <c r="D648" s="59" t="s">
        <v>1357</v>
      </c>
      <c r="E648" s="156"/>
      <c r="F648" s="45"/>
      <c r="G648" s="45"/>
      <c r="H648" s="45"/>
      <c r="I648" s="45"/>
      <c r="J648" s="45"/>
      <c r="K648" s="45"/>
      <c r="L648" s="45"/>
      <c r="M648" s="45"/>
      <c r="N648" s="45"/>
      <c r="O648" s="45"/>
      <c r="P648" s="45"/>
      <c r="Q648" s="45"/>
    </row>
    <row r="649" spans="2:17" ht="102" x14ac:dyDescent="0.2">
      <c r="B649" s="46">
        <v>2040</v>
      </c>
      <c r="C649" s="59" t="s">
        <v>1358</v>
      </c>
      <c r="D649" s="59" t="s">
        <v>1359</v>
      </c>
      <c r="E649" s="46">
        <v>12</v>
      </c>
      <c r="F649" s="45"/>
      <c r="G649" s="45"/>
      <c r="H649" s="45"/>
      <c r="I649" s="45"/>
      <c r="J649" s="45"/>
      <c r="K649" s="45"/>
      <c r="L649" s="45"/>
      <c r="M649" s="45"/>
      <c r="N649" s="45"/>
      <c r="O649" s="45"/>
      <c r="P649" s="45"/>
      <c r="Q649" s="45"/>
    </row>
    <row r="650" spans="2:17" ht="119" x14ac:dyDescent="0.2">
      <c r="B650" s="156">
        <v>2140</v>
      </c>
      <c r="C650" s="157" t="s">
        <v>1360</v>
      </c>
      <c r="D650" s="59" t="s">
        <v>1361</v>
      </c>
      <c r="E650" s="156">
        <v>12</v>
      </c>
      <c r="F650" s="45"/>
      <c r="G650" s="45"/>
      <c r="H650" s="45"/>
      <c r="I650" s="45"/>
      <c r="J650" s="45"/>
      <c r="K650" s="45"/>
      <c r="L650" s="45"/>
      <c r="M650" s="45"/>
      <c r="N650" s="45"/>
      <c r="O650" s="45"/>
      <c r="P650" s="45"/>
      <c r="Q650" s="45"/>
    </row>
    <row r="651" spans="2:17" ht="119" x14ac:dyDescent="0.2">
      <c r="B651" s="156"/>
      <c r="C651" s="157"/>
      <c r="D651" s="59" t="s">
        <v>1362</v>
      </c>
      <c r="E651" s="156"/>
      <c r="F651" s="45"/>
      <c r="G651" s="45"/>
      <c r="H651" s="45"/>
      <c r="I651" s="45"/>
      <c r="J651" s="45"/>
      <c r="K651" s="45"/>
      <c r="L651" s="45"/>
      <c r="M651" s="45"/>
      <c r="N651" s="45"/>
      <c r="O651" s="45"/>
      <c r="P651" s="45"/>
      <c r="Q651" s="45"/>
    </row>
    <row r="652" spans="2:17" ht="68" x14ac:dyDescent="0.2">
      <c r="B652" s="156">
        <v>2390</v>
      </c>
      <c r="C652" s="157" t="s">
        <v>1363</v>
      </c>
      <c r="D652" s="59" t="s">
        <v>1364</v>
      </c>
      <c r="E652" s="156">
        <v>12</v>
      </c>
      <c r="F652" s="45"/>
      <c r="G652" s="45"/>
      <c r="H652" s="45"/>
      <c r="I652" s="45"/>
      <c r="J652" s="45"/>
      <c r="K652" s="45"/>
      <c r="L652" s="45"/>
      <c r="M652" s="45"/>
      <c r="N652" s="45"/>
      <c r="O652" s="45"/>
      <c r="P652" s="45"/>
      <c r="Q652" s="45"/>
    </row>
    <row r="653" spans="2:17" ht="85" x14ac:dyDescent="0.2">
      <c r="B653" s="156"/>
      <c r="C653" s="157"/>
      <c r="D653" s="59" t="s">
        <v>1365</v>
      </c>
      <c r="E653" s="156"/>
      <c r="F653" s="45"/>
      <c r="G653" s="45"/>
      <c r="H653" s="45"/>
      <c r="I653" s="45"/>
      <c r="J653" s="45"/>
      <c r="K653" s="45"/>
      <c r="L653" s="45"/>
      <c r="M653" s="45"/>
      <c r="N653" s="45"/>
      <c r="O653" s="45"/>
      <c r="P653" s="45"/>
      <c r="Q653" s="45"/>
    </row>
    <row r="654" spans="2:17" ht="34" x14ac:dyDescent="0.2">
      <c r="B654" s="156">
        <v>2570</v>
      </c>
      <c r="C654" s="157" t="s">
        <v>1366</v>
      </c>
      <c r="D654" s="59" t="s">
        <v>1367</v>
      </c>
      <c r="E654" s="156">
        <v>12</v>
      </c>
      <c r="F654" s="45"/>
      <c r="G654" s="45"/>
      <c r="H654" s="45"/>
      <c r="I654" s="45"/>
      <c r="J654" s="45"/>
      <c r="K654" s="45"/>
      <c r="L654" s="45"/>
      <c r="M654" s="45"/>
      <c r="N654" s="45"/>
      <c r="O654" s="45"/>
      <c r="P654" s="45"/>
      <c r="Q654" s="45"/>
    </row>
    <row r="655" spans="2:17" ht="102" x14ac:dyDescent="0.2">
      <c r="B655" s="156"/>
      <c r="C655" s="157"/>
      <c r="D655" s="59" t="s">
        <v>1368</v>
      </c>
      <c r="E655" s="156"/>
      <c r="F655" s="45"/>
      <c r="G655" s="45"/>
      <c r="H655" s="45"/>
      <c r="I655" s="45"/>
      <c r="J655" s="45"/>
      <c r="K655" s="45"/>
      <c r="L655" s="45"/>
      <c r="M655" s="45"/>
      <c r="N655" s="45"/>
      <c r="O655" s="45"/>
      <c r="P655" s="45"/>
      <c r="Q655" s="45"/>
    </row>
    <row r="656" spans="2:17" ht="17" x14ac:dyDescent="0.2">
      <c r="B656" s="156">
        <v>1520</v>
      </c>
      <c r="C656" s="157" t="s">
        <v>1369</v>
      </c>
      <c r="D656" s="59" t="s">
        <v>1370</v>
      </c>
      <c r="E656" s="156">
        <v>12</v>
      </c>
      <c r="F656" s="45"/>
      <c r="G656" s="45"/>
      <c r="H656" s="45"/>
      <c r="I656" s="45"/>
      <c r="J656" s="45"/>
      <c r="K656" s="45"/>
      <c r="L656" s="45"/>
      <c r="M656" s="45"/>
      <c r="N656" s="45"/>
      <c r="O656" s="45"/>
      <c r="P656" s="45"/>
      <c r="Q656" s="45"/>
    </row>
    <row r="657" spans="2:17" ht="34" x14ac:dyDescent="0.2">
      <c r="B657" s="156"/>
      <c r="C657" s="157"/>
      <c r="D657" s="59" t="s">
        <v>1371</v>
      </c>
      <c r="E657" s="156"/>
      <c r="F657" s="45"/>
      <c r="G657" s="45"/>
      <c r="H657" s="45"/>
      <c r="I657" s="45"/>
      <c r="J657" s="45"/>
      <c r="K657" s="45"/>
      <c r="L657" s="45"/>
      <c r="M657" s="45"/>
      <c r="N657" s="45"/>
      <c r="O657" s="45"/>
      <c r="P657" s="45"/>
      <c r="Q657" s="45"/>
    </row>
    <row r="658" spans="2:17" ht="34" x14ac:dyDescent="0.2">
      <c r="B658" s="156"/>
      <c r="C658" s="157"/>
      <c r="D658" s="59" t="s">
        <v>1372</v>
      </c>
      <c r="E658" s="156"/>
      <c r="F658" s="45"/>
      <c r="G658" s="45"/>
      <c r="H658" s="45"/>
      <c r="I658" s="45"/>
      <c r="J658" s="45"/>
      <c r="K658" s="45"/>
      <c r="L658" s="45"/>
      <c r="M658" s="45"/>
      <c r="N658" s="45"/>
      <c r="O658" s="45"/>
      <c r="P658" s="45"/>
      <c r="Q658" s="45"/>
    </row>
    <row r="659" spans="2:17" ht="17" x14ac:dyDescent="0.2">
      <c r="B659" s="156"/>
      <c r="C659" s="157"/>
      <c r="D659" s="59" t="s">
        <v>1373</v>
      </c>
      <c r="E659" s="156"/>
      <c r="F659" s="45"/>
      <c r="G659" s="45"/>
      <c r="H659" s="45"/>
      <c r="I659" s="45"/>
      <c r="J659" s="45"/>
      <c r="K659" s="45"/>
      <c r="L659" s="45"/>
      <c r="M659" s="45"/>
      <c r="N659" s="45"/>
      <c r="O659" s="45"/>
      <c r="P659" s="45"/>
      <c r="Q659" s="45"/>
    </row>
    <row r="660" spans="2:17" ht="34" x14ac:dyDescent="0.2">
      <c r="B660" s="156"/>
      <c r="C660" s="157"/>
      <c r="D660" s="59" t="s">
        <v>1374</v>
      </c>
      <c r="E660" s="156"/>
      <c r="F660" s="45"/>
      <c r="G660" s="45"/>
      <c r="H660" s="45"/>
      <c r="I660" s="45"/>
      <c r="J660" s="45"/>
      <c r="K660" s="45"/>
      <c r="L660" s="45"/>
      <c r="M660" s="45"/>
      <c r="N660" s="45"/>
      <c r="O660" s="45"/>
      <c r="P660" s="45"/>
      <c r="Q660" s="45"/>
    </row>
    <row r="661" spans="2:17" ht="17" x14ac:dyDescent="0.2">
      <c r="B661" s="156">
        <v>1530</v>
      </c>
      <c r="C661" s="157" t="s">
        <v>1375</v>
      </c>
      <c r="D661" s="59" t="s">
        <v>1376</v>
      </c>
      <c r="E661" s="156">
        <v>12</v>
      </c>
      <c r="F661" s="45"/>
      <c r="G661" s="45"/>
      <c r="H661" s="45"/>
      <c r="I661" s="45"/>
      <c r="J661" s="45"/>
      <c r="K661" s="45"/>
      <c r="L661" s="45"/>
      <c r="M661" s="45"/>
      <c r="N661" s="45"/>
      <c r="O661" s="45"/>
      <c r="P661" s="45"/>
      <c r="Q661" s="45"/>
    </row>
    <row r="662" spans="2:17" ht="34" x14ac:dyDescent="0.2">
      <c r="B662" s="156"/>
      <c r="C662" s="157"/>
      <c r="D662" s="59" t="s">
        <v>1371</v>
      </c>
      <c r="E662" s="156"/>
      <c r="F662" s="45"/>
      <c r="G662" s="45"/>
      <c r="H662" s="45"/>
      <c r="I662" s="45"/>
      <c r="J662" s="45"/>
      <c r="K662" s="45"/>
      <c r="L662" s="45"/>
      <c r="M662" s="45"/>
      <c r="N662" s="45"/>
      <c r="O662" s="45"/>
      <c r="P662" s="45"/>
      <c r="Q662" s="45"/>
    </row>
    <row r="663" spans="2:17" ht="34" x14ac:dyDescent="0.2">
      <c r="B663" s="156"/>
      <c r="C663" s="157"/>
      <c r="D663" s="59" t="s">
        <v>1372</v>
      </c>
      <c r="E663" s="156"/>
      <c r="F663" s="45"/>
      <c r="G663" s="45"/>
      <c r="H663" s="45"/>
      <c r="I663" s="45"/>
      <c r="J663" s="45"/>
      <c r="K663" s="45"/>
      <c r="L663" s="45"/>
      <c r="M663" s="45"/>
      <c r="N663" s="45"/>
      <c r="O663" s="45"/>
      <c r="P663" s="45"/>
      <c r="Q663" s="45"/>
    </row>
    <row r="664" spans="2:17" ht="17" x14ac:dyDescent="0.2">
      <c r="B664" s="156"/>
      <c r="C664" s="157"/>
      <c r="D664" s="59" t="s">
        <v>1373</v>
      </c>
      <c r="E664" s="156"/>
      <c r="F664" s="45"/>
      <c r="G664" s="45"/>
      <c r="H664" s="45"/>
      <c r="I664" s="45"/>
      <c r="J664" s="45"/>
      <c r="K664" s="45"/>
      <c r="L664" s="45"/>
      <c r="M664" s="45"/>
      <c r="N664" s="45"/>
      <c r="O664" s="45"/>
      <c r="P664" s="45"/>
      <c r="Q664" s="45"/>
    </row>
    <row r="665" spans="2:17" ht="34" x14ac:dyDescent="0.2">
      <c r="B665" s="156"/>
      <c r="C665" s="157"/>
      <c r="D665" s="59" t="s">
        <v>1374</v>
      </c>
      <c r="E665" s="156"/>
      <c r="F665" s="45"/>
      <c r="G665" s="45"/>
      <c r="H665" s="45"/>
      <c r="I665" s="45"/>
      <c r="J665" s="45"/>
      <c r="K665" s="45"/>
      <c r="L665" s="45"/>
      <c r="M665" s="45"/>
      <c r="N665" s="45"/>
      <c r="O665" s="45"/>
      <c r="P665" s="45"/>
      <c r="Q665" s="45"/>
    </row>
    <row r="666" spans="2:17" ht="17" x14ac:dyDescent="0.2">
      <c r="B666" s="156"/>
      <c r="C666" s="157"/>
      <c r="D666" s="59" t="s">
        <v>1377</v>
      </c>
      <c r="E666" s="156"/>
      <c r="F666" s="45"/>
      <c r="G666" s="45"/>
      <c r="H666" s="45"/>
      <c r="I666" s="45"/>
      <c r="J666" s="45"/>
      <c r="K666" s="45"/>
      <c r="L666" s="45"/>
      <c r="M666" s="45"/>
      <c r="N666" s="45"/>
      <c r="O666" s="45"/>
      <c r="P666" s="45"/>
      <c r="Q666" s="45"/>
    </row>
    <row r="667" spans="2:17" ht="34" x14ac:dyDescent="0.2">
      <c r="B667" s="156">
        <v>2240</v>
      </c>
      <c r="C667" s="157" t="s">
        <v>1378</v>
      </c>
      <c r="D667" s="59" t="s">
        <v>1379</v>
      </c>
      <c r="E667" s="156">
        <v>12</v>
      </c>
      <c r="F667" s="45"/>
      <c r="G667" s="45"/>
      <c r="H667" s="45"/>
      <c r="I667" s="45"/>
      <c r="J667" s="45"/>
      <c r="K667" s="45"/>
      <c r="L667" s="45"/>
      <c r="M667" s="45"/>
      <c r="N667" s="45"/>
      <c r="O667" s="45"/>
      <c r="P667" s="45"/>
      <c r="Q667" s="45"/>
    </row>
    <row r="668" spans="2:17" ht="51" x14ac:dyDescent="0.2">
      <c r="B668" s="156"/>
      <c r="C668" s="157"/>
      <c r="D668" s="59" t="s">
        <v>1380</v>
      </c>
      <c r="E668" s="156"/>
      <c r="F668" s="45"/>
      <c r="G668" s="45"/>
      <c r="H668" s="45"/>
      <c r="I668" s="45"/>
      <c r="J668" s="45"/>
      <c r="K668" s="45"/>
      <c r="L668" s="45"/>
      <c r="M668" s="45"/>
      <c r="N668" s="45"/>
      <c r="O668" s="45"/>
      <c r="P668" s="45"/>
      <c r="Q668" s="45"/>
    </row>
    <row r="669" spans="2:17" ht="17" x14ac:dyDescent="0.2">
      <c r="B669" s="156"/>
      <c r="C669" s="157"/>
      <c r="D669" s="59" t="s">
        <v>1381</v>
      </c>
      <c r="E669" s="156"/>
      <c r="F669" s="45"/>
      <c r="G669" s="45"/>
      <c r="H669" s="45"/>
      <c r="I669" s="45"/>
      <c r="J669" s="45"/>
      <c r="K669" s="45"/>
      <c r="L669" s="45"/>
      <c r="M669" s="45"/>
      <c r="N669" s="45"/>
      <c r="O669" s="45"/>
      <c r="P669" s="45"/>
      <c r="Q669" s="45"/>
    </row>
    <row r="670" spans="2:17" ht="34" x14ac:dyDescent="0.2">
      <c r="B670" s="156"/>
      <c r="C670" s="157"/>
      <c r="D670" s="59" t="s">
        <v>1382</v>
      </c>
      <c r="E670" s="156"/>
      <c r="F670" s="45"/>
      <c r="G670" s="45"/>
      <c r="H670" s="45"/>
      <c r="I670" s="45"/>
      <c r="J670" s="45"/>
      <c r="K670" s="45"/>
      <c r="L670" s="45"/>
      <c r="M670" s="45"/>
      <c r="N670" s="45"/>
      <c r="O670" s="45"/>
      <c r="P670" s="45"/>
      <c r="Q670" s="45"/>
    </row>
    <row r="671" spans="2:17" ht="34" x14ac:dyDescent="0.2">
      <c r="B671" s="156">
        <v>2260</v>
      </c>
      <c r="C671" s="157" t="s">
        <v>1383</v>
      </c>
      <c r="D671" s="59" t="s">
        <v>1384</v>
      </c>
      <c r="E671" s="156">
        <v>12</v>
      </c>
      <c r="F671" s="45"/>
      <c r="G671" s="45"/>
      <c r="H671" s="45"/>
      <c r="I671" s="45"/>
      <c r="J671" s="45"/>
      <c r="K671" s="45"/>
      <c r="L671" s="45"/>
      <c r="M671" s="45"/>
      <c r="N671" s="45"/>
      <c r="O671" s="45"/>
      <c r="P671" s="45"/>
      <c r="Q671" s="45"/>
    </row>
    <row r="672" spans="2:17" ht="34" x14ac:dyDescent="0.2">
      <c r="B672" s="156"/>
      <c r="C672" s="157"/>
      <c r="D672" s="59" t="s">
        <v>1385</v>
      </c>
      <c r="E672" s="156"/>
      <c r="F672" s="45"/>
      <c r="G672" s="45"/>
      <c r="H672" s="45"/>
      <c r="I672" s="45"/>
      <c r="J672" s="45"/>
      <c r="K672" s="45"/>
      <c r="L672" s="45"/>
      <c r="M672" s="45"/>
      <c r="N672" s="45"/>
      <c r="O672" s="45"/>
      <c r="P672" s="45"/>
      <c r="Q672" s="45"/>
    </row>
    <row r="673" spans="2:17" ht="17" x14ac:dyDescent="0.2">
      <c r="B673" s="156">
        <v>2330</v>
      </c>
      <c r="C673" s="157" t="s">
        <v>1386</v>
      </c>
      <c r="D673" s="59" t="s">
        <v>1387</v>
      </c>
      <c r="E673" s="156">
        <v>12</v>
      </c>
      <c r="F673" s="45"/>
      <c r="G673" s="45"/>
      <c r="H673" s="45"/>
      <c r="I673" s="45"/>
      <c r="J673" s="45"/>
      <c r="K673" s="45"/>
      <c r="L673" s="45"/>
      <c r="M673" s="45"/>
      <c r="N673" s="45"/>
      <c r="O673" s="45"/>
      <c r="P673" s="45"/>
      <c r="Q673" s="45"/>
    </row>
    <row r="674" spans="2:17" ht="34" x14ac:dyDescent="0.2">
      <c r="B674" s="156"/>
      <c r="C674" s="157"/>
      <c r="D674" s="59" t="s">
        <v>1388</v>
      </c>
      <c r="E674" s="156"/>
      <c r="F674" s="45"/>
      <c r="G674" s="45"/>
      <c r="H674" s="45"/>
      <c r="I674" s="45"/>
      <c r="J674" s="45"/>
      <c r="K674" s="45"/>
      <c r="L674" s="45"/>
      <c r="M674" s="45"/>
      <c r="N674" s="45"/>
      <c r="O674" s="45"/>
      <c r="P674" s="45"/>
      <c r="Q674" s="45"/>
    </row>
    <row r="675" spans="2:17" ht="17" x14ac:dyDescent="0.2">
      <c r="B675" s="156"/>
      <c r="C675" s="157"/>
      <c r="D675" s="59" t="s">
        <v>1389</v>
      </c>
      <c r="E675" s="156"/>
      <c r="F675" s="45"/>
      <c r="G675" s="45"/>
      <c r="H675" s="45"/>
      <c r="I675" s="45"/>
      <c r="J675" s="45"/>
      <c r="K675" s="45"/>
      <c r="L675" s="45"/>
      <c r="M675" s="45"/>
      <c r="N675" s="45"/>
      <c r="O675" s="45"/>
      <c r="P675" s="45"/>
      <c r="Q675" s="45"/>
    </row>
    <row r="676" spans="2:17" ht="34" x14ac:dyDescent="0.2">
      <c r="B676" s="156"/>
      <c r="C676" s="157"/>
      <c r="D676" s="59" t="s">
        <v>1390</v>
      </c>
      <c r="E676" s="156"/>
      <c r="F676" s="45"/>
      <c r="G676" s="45"/>
      <c r="H676" s="45"/>
      <c r="I676" s="45"/>
      <c r="J676" s="45"/>
      <c r="K676" s="45"/>
      <c r="L676" s="45"/>
      <c r="M676" s="45"/>
      <c r="N676" s="45"/>
      <c r="O676" s="45"/>
      <c r="P676" s="45"/>
      <c r="Q676" s="45"/>
    </row>
    <row r="677" spans="2:17" ht="34" x14ac:dyDescent="0.2">
      <c r="B677" s="156">
        <v>2360</v>
      </c>
      <c r="C677" s="157" t="s">
        <v>1391</v>
      </c>
      <c r="D677" s="59" t="s">
        <v>1392</v>
      </c>
      <c r="E677" s="156">
        <v>12</v>
      </c>
      <c r="F677" s="45"/>
      <c r="G677" s="45"/>
      <c r="H677" s="45"/>
      <c r="I677" s="45"/>
      <c r="J677" s="45"/>
      <c r="K677" s="45"/>
      <c r="L677" s="45"/>
      <c r="M677" s="45"/>
      <c r="N677" s="45"/>
      <c r="O677" s="45"/>
      <c r="P677" s="45"/>
      <c r="Q677" s="45"/>
    </row>
    <row r="678" spans="2:17" ht="17" x14ac:dyDescent="0.2">
      <c r="B678" s="156"/>
      <c r="C678" s="157"/>
      <c r="D678" s="59" t="s">
        <v>1393</v>
      </c>
      <c r="E678" s="156"/>
      <c r="F678" s="45"/>
      <c r="G678" s="45"/>
      <c r="H678" s="45"/>
      <c r="I678" s="45"/>
      <c r="J678" s="45"/>
      <c r="K678" s="45"/>
      <c r="L678" s="45"/>
      <c r="M678" s="45"/>
      <c r="N678" s="45"/>
      <c r="O678" s="45"/>
      <c r="P678" s="45"/>
      <c r="Q678" s="45"/>
    </row>
    <row r="679" spans="2:17" ht="34" x14ac:dyDescent="0.2">
      <c r="B679" s="156"/>
      <c r="C679" s="157"/>
      <c r="D679" s="59" t="s">
        <v>1394</v>
      </c>
      <c r="E679" s="156"/>
      <c r="F679" s="45"/>
      <c r="G679" s="45"/>
      <c r="H679" s="45"/>
      <c r="I679" s="45"/>
      <c r="J679" s="45"/>
      <c r="K679" s="45"/>
      <c r="L679" s="45"/>
      <c r="M679" s="45"/>
      <c r="N679" s="45"/>
      <c r="O679" s="45"/>
      <c r="P679" s="45"/>
      <c r="Q679" s="45"/>
    </row>
    <row r="680" spans="2:17" ht="34" x14ac:dyDescent="0.2">
      <c r="B680" s="156"/>
      <c r="C680" s="157"/>
      <c r="D680" s="59" t="s">
        <v>1395</v>
      </c>
      <c r="E680" s="156"/>
      <c r="F680" s="45"/>
      <c r="G680" s="45"/>
      <c r="H680" s="45"/>
      <c r="I680" s="45"/>
      <c r="J680" s="45"/>
      <c r="K680" s="45"/>
      <c r="L680" s="45"/>
      <c r="M680" s="45"/>
      <c r="N680" s="45"/>
      <c r="O680" s="45"/>
      <c r="P680" s="45"/>
      <c r="Q680" s="45"/>
    </row>
    <row r="681" spans="2:17" ht="119" x14ac:dyDescent="0.2">
      <c r="B681" s="156">
        <v>860</v>
      </c>
      <c r="C681" s="157" t="s">
        <v>1396</v>
      </c>
      <c r="D681" s="59" t="s">
        <v>1397</v>
      </c>
      <c r="E681" s="156">
        <v>12</v>
      </c>
      <c r="F681" s="45"/>
      <c r="G681" s="45"/>
      <c r="H681" s="45"/>
      <c r="I681" s="45"/>
      <c r="J681" s="45"/>
      <c r="K681" s="45"/>
      <c r="L681" s="45"/>
      <c r="M681" s="45"/>
      <c r="N681" s="45"/>
      <c r="O681" s="45"/>
      <c r="P681" s="45"/>
      <c r="Q681" s="45"/>
    </row>
    <row r="682" spans="2:17" ht="51" x14ac:dyDescent="0.2">
      <c r="B682" s="156"/>
      <c r="C682" s="157"/>
      <c r="D682" s="59" t="s">
        <v>1398</v>
      </c>
      <c r="E682" s="156"/>
      <c r="F682" s="45"/>
      <c r="G682" s="45"/>
      <c r="H682" s="45"/>
      <c r="I682" s="45"/>
      <c r="J682" s="45"/>
      <c r="K682" s="45"/>
      <c r="L682" s="45"/>
      <c r="M682" s="45"/>
      <c r="N682" s="45"/>
      <c r="O682" s="45"/>
      <c r="P682" s="45"/>
      <c r="Q682" s="45"/>
    </row>
    <row r="683" spans="2:17" ht="34" x14ac:dyDescent="0.2">
      <c r="B683" s="156"/>
      <c r="C683" s="157"/>
      <c r="D683" s="59" t="s">
        <v>1399</v>
      </c>
      <c r="E683" s="156"/>
      <c r="F683" s="45"/>
      <c r="G683" s="45"/>
      <c r="H683" s="45"/>
      <c r="I683" s="45"/>
      <c r="J683" s="45"/>
      <c r="K683" s="45"/>
      <c r="L683" s="45"/>
      <c r="M683" s="45"/>
      <c r="N683" s="45"/>
      <c r="O683" s="45"/>
      <c r="P683" s="45"/>
      <c r="Q683" s="45"/>
    </row>
    <row r="684" spans="2:17" ht="34" x14ac:dyDescent="0.2">
      <c r="B684" s="156"/>
      <c r="C684" s="157"/>
      <c r="D684" s="59" t="s">
        <v>1400</v>
      </c>
      <c r="E684" s="156"/>
      <c r="F684" s="45"/>
      <c r="G684" s="45"/>
      <c r="H684" s="45"/>
      <c r="I684" s="45"/>
      <c r="J684" s="45"/>
      <c r="K684" s="45"/>
      <c r="L684" s="45"/>
      <c r="M684" s="45"/>
      <c r="N684" s="45"/>
      <c r="O684" s="45"/>
      <c r="P684" s="45"/>
      <c r="Q684" s="45"/>
    </row>
    <row r="685" spans="2:17" ht="85" x14ac:dyDescent="0.2">
      <c r="B685" s="156"/>
      <c r="C685" s="157"/>
      <c r="D685" s="59" t="s">
        <v>1401</v>
      </c>
      <c r="E685" s="156"/>
      <c r="F685" s="45"/>
      <c r="G685" s="45"/>
      <c r="H685" s="45"/>
      <c r="I685" s="45"/>
      <c r="J685" s="45"/>
      <c r="K685" s="45"/>
      <c r="L685" s="45"/>
      <c r="M685" s="45"/>
      <c r="N685" s="45"/>
      <c r="O685" s="45"/>
      <c r="P685" s="45"/>
      <c r="Q685" s="45"/>
    </row>
    <row r="686" spans="2:17" ht="51" x14ac:dyDescent="0.2">
      <c r="B686" s="156">
        <v>1260</v>
      </c>
      <c r="C686" s="157" t="s">
        <v>1402</v>
      </c>
      <c r="D686" s="59" t="s">
        <v>1403</v>
      </c>
      <c r="E686" s="156">
        <v>12</v>
      </c>
      <c r="F686" s="45"/>
      <c r="G686" s="45"/>
      <c r="H686" s="45"/>
      <c r="I686" s="45"/>
      <c r="J686" s="45"/>
      <c r="K686" s="45"/>
      <c r="L686" s="45"/>
      <c r="M686" s="45"/>
      <c r="N686" s="45"/>
      <c r="O686" s="45"/>
      <c r="P686" s="45"/>
      <c r="Q686" s="45"/>
    </row>
    <row r="687" spans="2:17" ht="34" x14ac:dyDescent="0.2">
      <c r="B687" s="156"/>
      <c r="C687" s="157"/>
      <c r="D687" s="59" t="s">
        <v>1399</v>
      </c>
      <c r="E687" s="156"/>
      <c r="F687" s="45"/>
      <c r="G687" s="45"/>
      <c r="H687" s="45"/>
      <c r="I687" s="45"/>
      <c r="J687" s="45"/>
      <c r="K687" s="45"/>
      <c r="L687" s="45"/>
      <c r="M687" s="45"/>
      <c r="N687" s="45"/>
      <c r="O687" s="45"/>
      <c r="P687" s="45"/>
      <c r="Q687" s="45"/>
    </row>
    <row r="688" spans="2:17" ht="34" x14ac:dyDescent="0.2">
      <c r="B688" s="156"/>
      <c r="C688" s="157"/>
      <c r="D688" s="59" t="s">
        <v>1400</v>
      </c>
      <c r="E688" s="156"/>
      <c r="F688" s="45"/>
      <c r="G688" s="45"/>
      <c r="H688" s="45"/>
      <c r="I688" s="45"/>
      <c r="J688" s="45"/>
      <c r="K688" s="45"/>
      <c r="L688" s="45"/>
      <c r="M688" s="45"/>
      <c r="N688" s="45"/>
      <c r="O688" s="45"/>
      <c r="P688" s="45"/>
      <c r="Q688" s="45"/>
    </row>
    <row r="689" spans="2:17" ht="85" x14ac:dyDescent="0.2">
      <c r="B689" s="156"/>
      <c r="C689" s="157"/>
      <c r="D689" s="59" t="s">
        <v>1401</v>
      </c>
      <c r="E689" s="156"/>
      <c r="F689" s="45"/>
      <c r="G689" s="45"/>
      <c r="H689" s="45"/>
      <c r="I689" s="45"/>
      <c r="J689" s="45"/>
      <c r="K689" s="45"/>
      <c r="L689" s="45"/>
      <c r="M689" s="45"/>
      <c r="N689" s="45"/>
      <c r="O689" s="45"/>
      <c r="P689" s="45"/>
      <c r="Q689" s="45"/>
    </row>
    <row r="690" spans="2:17" ht="17" x14ac:dyDescent="0.2">
      <c r="B690" s="156">
        <v>130</v>
      </c>
      <c r="C690" s="157" t="s">
        <v>1404</v>
      </c>
      <c r="D690" s="60" t="s">
        <v>1405</v>
      </c>
      <c r="E690" s="156">
        <v>12</v>
      </c>
      <c r="F690" s="45"/>
      <c r="G690" s="45"/>
      <c r="H690" s="45"/>
      <c r="I690" s="45"/>
      <c r="J690" s="45"/>
      <c r="K690" s="45"/>
      <c r="L690" s="45"/>
      <c r="M690" s="45"/>
      <c r="N690" s="45"/>
      <c r="O690" s="45"/>
      <c r="P690" s="45"/>
      <c r="Q690" s="45"/>
    </row>
    <row r="691" spans="2:17" ht="17" x14ac:dyDescent="0.2">
      <c r="B691" s="156"/>
      <c r="C691" s="157"/>
      <c r="D691" s="60" t="s">
        <v>1406</v>
      </c>
      <c r="E691" s="156"/>
      <c r="F691" s="45"/>
      <c r="G691" s="45"/>
      <c r="H691" s="45"/>
      <c r="I691" s="45"/>
      <c r="J691" s="45"/>
      <c r="K691" s="45"/>
      <c r="L691" s="45"/>
      <c r="M691" s="45"/>
      <c r="N691" s="45"/>
      <c r="O691" s="45"/>
      <c r="P691" s="45"/>
      <c r="Q691" s="45"/>
    </row>
    <row r="692" spans="2:17" ht="102" x14ac:dyDescent="0.2">
      <c r="B692" s="156">
        <v>1900</v>
      </c>
      <c r="C692" s="157" t="s">
        <v>1407</v>
      </c>
      <c r="D692" s="59" t="s">
        <v>1408</v>
      </c>
      <c r="E692" s="156">
        <v>12</v>
      </c>
      <c r="F692" s="45"/>
      <c r="G692" s="45"/>
      <c r="H692" s="45"/>
      <c r="I692" s="45"/>
      <c r="J692" s="45"/>
      <c r="K692" s="45"/>
      <c r="L692" s="45"/>
      <c r="M692" s="45"/>
      <c r="N692" s="45"/>
      <c r="O692" s="45"/>
      <c r="P692" s="45"/>
      <c r="Q692" s="45"/>
    </row>
    <row r="693" spans="2:17" ht="34" x14ac:dyDescent="0.2">
      <c r="B693" s="156"/>
      <c r="C693" s="157"/>
      <c r="D693" s="59" t="s">
        <v>1409</v>
      </c>
      <c r="E693" s="156"/>
      <c r="F693" s="45"/>
      <c r="G693" s="45"/>
      <c r="H693" s="45"/>
      <c r="I693" s="45"/>
      <c r="J693" s="45"/>
      <c r="K693" s="45"/>
      <c r="L693" s="45"/>
      <c r="M693" s="45"/>
      <c r="N693" s="45"/>
      <c r="O693" s="45"/>
      <c r="P693" s="45"/>
      <c r="Q693" s="45"/>
    </row>
    <row r="694" spans="2:17" ht="17" x14ac:dyDescent="0.2">
      <c r="B694" s="156">
        <v>1901</v>
      </c>
      <c r="C694" s="157" t="s">
        <v>1410</v>
      </c>
      <c r="D694" s="60" t="s">
        <v>1411</v>
      </c>
      <c r="E694" s="156">
        <v>12</v>
      </c>
      <c r="F694" s="45"/>
      <c r="G694" s="45"/>
      <c r="H694" s="45"/>
      <c r="I694" s="45"/>
      <c r="J694" s="45"/>
      <c r="K694" s="45"/>
      <c r="L694" s="45"/>
      <c r="M694" s="45"/>
      <c r="N694" s="45"/>
      <c r="O694" s="45"/>
      <c r="P694" s="45"/>
      <c r="Q694" s="45"/>
    </row>
    <row r="695" spans="2:17" ht="17" x14ac:dyDescent="0.2">
      <c r="B695" s="156"/>
      <c r="C695" s="157"/>
      <c r="D695" s="60" t="s">
        <v>1412</v>
      </c>
      <c r="E695" s="156"/>
      <c r="F695" s="45"/>
      <c r="G695" s="45"/>
      <c r="H695" s="45"/>
      <c r="I695" s="45"/>
      <c r="J695" s="45"/>
      <c r="K695" s="45"/>
      <c r="L695" s="45"/>
      <c r="M695" s="45"/>
      <c r="N695" s="45"/>
      <c r="O695" s="45"/>
      <c r="P695" s="45"/>
      <c r="Q695" s="45"/>
    </row>
    <row r="696" spans="2:17" ht="34" x14ac:dyDescent="0.2">
      <c r="B696" s="156">
        <v>2590</v>
      </c>
      <c r="C696" s="157" t="s">
        <v>1413</v>
      </c>
      <c r="D696" s="59" t="s">
        <v>1414</v>
      </c>
      <c r="E696" s="156">
        <v>12</v>
      </c>
      <c r="F696" s="45"/>
      <c r="G696" s="45"/>
      <c r="H696" s="45"/>
      <c r="I696" s="45"/>
      <c r="J696" s="45"/>
      <c r="K696" s="45"/>
      <c r="L696" s="45"/>
      <c r="M696" s="45"/>
      <c r="N696" s="45"/>
      <c r="O696" s="45"/>
      <c r="P696" s="45"/>
      <c r="Q696" s="45"/>
    </row>
    <row r="697" spans="2:17" ht="34" x14ac:dyDescent="0.2">
      <c r="B697" s="156"/>
      <c r="C697" s="157"/>
      <c r="D697" s="59" t="s">
        <v>1415</v>
      </c>
      <c r="E697" s="156"/>
      <c r="F697" s="45"/>
      <c r="G697" s="45"/>
      <c r="H697" s="45"/>
      <c r="I697" s="45"/>
      <c r="J697" s="45"/>
      <c r="K697" s="45"/>
      <c r="L697" s="45"/>
      <c r="M697" s="45"/>
      <c r="N697" s="45"/>
      <c r="O697" s="45"/>
      <c r="P697" s="45"/>
      <c r="Q697" s="45"/>
    </row>
    <row r="698" spans="2:17" ht="34" x14ac:dyDescent="0.2">
      <c r="B698" s="46">
        <v>2600</v>
      </c>
      <c r="C698" s="59" t="s">
        <v>1416</v>
      </c>
      <c r="D698" s="59" t="s">
        <v>1417</v>
      </c>
      <c r="E698" s="46">
        <v>12</v>
      </c>
      <c r="F698" s="45"/>
      <c r="G698" s="45"/>
      <c r="H698" s="45"/>
      <c r="I698" s="45"/>
      <c r="J698" s="45"/>
      <c r="K698" s="45"/>
      <c r="L698" s="45"/>
      <c r="M698" s="45"/>
      <c r="N698" s="45"/>
      <c r="O698" s="45"/>
      <c r="P698" s="45"/>
      <c r="Q698" s="45"/>
    </row>
    <row r="699" spans="2:17" ht="34" x14ac:dyDescent="0.2">
      <c r="B699" s="46">
        <v>2610</v>
      </c>
      <c r="C699" s="59" t="s">
        <v>1418</v>
      </c>
      <c r="D699" s="59" t="s">
        <v>1419</v>
      </c>
      <c r="E699" s="46">
        <v>12</v>
      </c>
      <c r="F699" s="45"/>
      <c r="G699" s="45"/>
      <c r="H699" s="45"/>
      <c r="I699" s="45"/>
      <c r="J699" s="45"/>
      <c r="K699" s="45"/>
      <c r="L699" s="45"/>
      <c r="M699" s="45"/>
      <c r="N699" s="45"/>
      <c r="O699" s="45"/>
      <c r="P699" s="45"/>
      <c r="Q699" s="45"/>
    </row>
    <row r="700" spans="2:17" ht="34" x14ac:dyDescent="0.2">
      <c r="B700" s="156">
        <v>2620</v>
      </c>
      <c r="C700" s="157" t="s">
        <v>1420</v>
      </c>
      <c r="D700" s="59" t="s">
        <v>1421</v>
      </c>
      <c r="E700" s="156">
        <v>12</v>
      </c>
      <c r="F700" s="45"/>
      <c r="G700" s="45"/>
      <c r="H700" s="45"/>
      <c r="I700" s="45"/>
      <c r="J700" s="45"/>
      <c r="K700" s="45"/>
      <c r="L700" s="45"/>
      <c r="M700" s="45"/>
      <c r="N700" s="45"/>
      <c r="O700" s="45"/>
      <c r="P700" s="45"/>
      <c r="Q700" s="45"/>
    </row>
    <row r="701" spans="2:17" ht="34" x14ac:dyDescent="0.2">
      <c r="B701" s="156"/>
      <c r="C701" s="157"/>
      <c r="D701" s="59" t="s">
        <v>1422</v>
      </c>
      <c r="E701" s="156"/>
      <c r="F701" s="45"/>
      <c r="G701" s="45"/>
      <c r="H701" s="45"/>
      <c r="I701" s="45"/>
      <c r="J701" s="45"/>
      <c r="K701" s="45"/>
      <c r="L701" s="45"/>
      <c r="M701" s="45"/>
      <c r="N701" s="45"/>
      <c r="O701" s="45"/>
      <c r="P701" s="45"/>
      <c r="Q701" s="45"/>
    </row>
    <row r="702" spans="2:17" ht="51" x14ac:dyDescent="0.2">
      <c r="B702" s="156"/>
      <c r="C702" s="157"/>
      <c r="D702" s="59" t="s">
        <v>1423</v>
      </c>
      <c r="E702" s="156"/>
      <c r="F702" s="45"/>
      <c r="G702" s="45"/>
      <c r="H702" s="45"/>
      <c r="I702" s="45"/>
      <c r="J702" s="45"/>
      <c r="K702" s="45"/>
      <c r="L702" s="45"/>
      <c r="M702" s="45"/>
      <c r="N702" s="45"/>
      <c r="O702" s="45"/>
      <c r="P702" s="45"/>
      <c r="Q702" s="45"/>
    </row>
    <row r="703" spans="2:17" ht="34" x14ac:dyDescent="0.2">
      <c r="B703" s="46">
        <v>2630</v>
      </c>
      <c r="C703" s="59" t="s">
        <v>1424</v>
      </c>
      <c r="D703" s="59" t="s">
        <v>1425</v>
      </c>
      <c r="E703" s="46">
        <v>12</v>
      </c>
      <c r="F703" s="45"/>
      <c r="G703" s="45"/>
      <c r="H703" s="45"/>
      <c r="I703" s="45"/>
      <c r="J703" s="45"/>
      <c r="K703" s="45"/>
      <c r="L703" s="45"/>
      <c r="M703" s="45"/>
      <c r="N703" s="45"/>
      <c r="O703" s="45"/>
      <c r="P703" s="45"/>
      <c r="Q703" s="45"/>
    </row>
    <row r="704" spans="2:17" ht="17" x14ac:dyDescent="0.2">
      <c r="B704" s="156">
        <v>2650</v>
      </c>
      <c r="C704" s="157" t="s">
        <v>1426</v>
      </c>
      <c r="D704" s="59" t="s">
        <v>1427</v>
      </c>
      <c r="E704" s="156">
        <v>12</v>
      </c>
      <c r="F704" s="45"/>
      <c r="G704" s="45"/>
      <c r="H704" s="45"/>
      <c r="I704" s="45"/>
      <c r="J704" s="45"/>
      <c r="K704" s="45"/>
      <c r="L704" s="45"/>
      <c r="M704" s="45"/>
      <c r="N704" s="45"/>
      <c r="O704" s="45"/>
      <c r="P704" s="45"/>
      <c r="Q704" s="45"/>
    </row>
    <row r="705" spans="2:17" ht="34" x14ac:dyDescent="0.2">
      <c r="B705" s="156"/>
      <c r="C705" s="157"/>
      <c r="D705" s="59" t="s">
        <v>1428</v>
      </c>
      <c r="E705" s="156"/>
      <c r="F705" s="45"/>
      <c r="G705" s="45"/>
      <c r="H705" s="45"/>
      <c r="I705" s="45"/>
      <c r="J705" s="45"/>
      <c r="K705" s="45"/>
      <c r="L705" s="45"/>
      <c r="M705" s="45"/>
      <c r="N705" s="45"/>
      <c r="O705" s="45"/>
      <c r="P705" s="45"/>
      <c r="Q705" s="45"/>
    </row>
    <row r="706" spans="2:17" ht="34" x14ac:dyDescent="0.2">
      <c r="B706" s="156">
        <v>2700</v>
      </c>
      <c r="C706" s="157" t="s">
        <v>1429</v>
      </c>
      <c r="D706" s="59" t="s">
        <v>1430</v>
      </c>
      <c r="E706" s="156">
        <v>12</v>
      </c>
      <c r="F706" s="45"/>
      <c r="G706" s="45"/>
      <c r="H706" s="45"/>
      <c r="I706" s="45"/>
      <c r="J706" s="45"/>
      <c r="K706" s="45"/>
      <c r="L706" s="45"/>
      <c r="M706" s="45"/>
      <c r="N706" s="45"/>
      <c r="O706" s="45"/>
      <c r="P706" s="45"/>
      <c r="Q706" s="45"/>
    </row>
    <row r="707" spans="2:17" ht="68" x14ac:dyDescent="0.2">
      <c r="B707" s="156"/>
      <c r="C707" s="157"/>
      <c r="D707" s="59" t="s">
        <v>1431</v>
      </c>
      <c r="E707" s="156"/>
      <c r="F707" s="45"/>
      <c r="G707" s="45"/>
      <c r="H707" s="45"/>
      <c r="I707" s="45"/>
      <c r="J707" s="45"/>
      <c r="K707" s="45"/>
      <c r="L707" s="45"/>
      <c r="M707" s="45"/>
      <c r="N707" s="45"/>
      <c r="O707" s="45"/>
      <c r="P707" s="45"/>
      <c r="Q707" s="45"/>
    </row>
    <row r="708" spans="2:17" ht="34" x14ac:dyDescent="0.2">
      <c r="B708" s="156"/>
      <c r="C708" s="157"/>
      <c r="D708" s="59" t="s">
        <v>1432</v>
      </c>
      <c r="E708" s="156"/>
      <c r="F708" s="45"/>
      <c r="G708" s="45"/>
      <c r="H708" s="45"/>
      <c r="I708" s="45"/>
      <c r="J708" s="45"/>
      <c r="K708" s="45"/>
      <c r="L708" s="45"/>
      <c r="M708" s="45"/>
      <c r="N708" s="45"/>
      <c r="O708" s="45"/>
      <c r="P708" s="45"/>
      <c r="Q708" s="45"/>
    </row>
    <row r="709" spans="2:17" ht="34" x14ac:dyDescent="0.2">
      <c r="B709" s="156"/>
      <c r="C709" s="157"/>
      <c r="D709" s="59" t="s">
        <v>1433</v>
      </c>
      <c r="E709" s="156"/>
      <c r="F709" s="45"/>
      <c r="G709" s="45"/>
      <c r="H709" s="45"/>
      <c r="I709" s="45"/>
      <c r="J709" s="45"/>
      <c r="K709" s="45"/>
      <c r="L709" s="45"/>
      <c r="M709" s="45"/>
      <c r="N709" s="45"/>
      <c r="O709" s="45"/>
      <c r="P709" s="45"/>
      <c r="Q709" s="45"/>
    </row>
    <row r="710" spans="2:17" ht="17" x14ac:dyDescent="0.2">
      <c r="B710" s="156">
        <v>2710</v>
      </c>
      <c r="C710" s="157" t="s">
        <v>1434</v>
      </c>
      <c r="D710" s="59" t="s">
        <v>1427</v>
      </c>
      <c r="E710" s="156">
        <v>12</v>
      </c>
      <c r="F710" s="45"/>
      <c r="G710" s="45"/>
      <c r="H710" s="45"/>
      <c r="I710" s="45"/>
      <c r="J710" s="45"/>
      <c r="K710" s="45"/>
      <c r="L710" s="45"/>
      <c r="M710" s="45"/>
      <c r="N710" s="45"/>
      <c r="O710" s="45"/>
      <c r="P710" s="45"/>
      <c r="Q710" s="45"/>
    </row>
    <row r="711" spans="2:17" ht="34" x14ac:dyDescent="0.2">
      <c r="B711" s="156"/>
      <c r="C711" s="157"/>
      <c r="D711" s="59" t="s">
        <v>1428</v>
      </c>
      <c r="E711" s="156"/>
      <c r="F711" s="45"/>
      <c r="G711" s="45"/>
      <c r="H711" s="45"/>
      <c r="I711" s="45"/>
      <c r="J711" s="45"/>
      <c r="K711" s="45"/>
      <c r="L711" s="45"/>
      <c r="M711" s="45"/>
      <c r="N711" s="45"/>
      <c r="O711" s="45"/>
      <c r="P711" s="45"/>
      <c r="Q711" s="45"/>
    </row>
    <row r="712" spans="2:17" ht="34" x14ac:dyDescent="0.2">
      <c r="B712" s="156"/>
      <c r="C712" s="157"/>
      <c r="D712" s="59" t="s">
        <v>1435</v>
      </c>
      <c r="E712" s="156"/>
      <c r="F712" s="45"/>
      <c r="G712" s="45"/>
      <c r="H712" s="45"/>
      <c r="I712" s="45"/>
      <c r="J712" s="45"/>
      <c r="K712" s="45"/>
      <c r="L712" s="45"/>
      <c r="M712" s="45"/>
      <c r="N712" s="45"/>
      <c r="O712" s="45"/>
      <c r="P712" s="45"/>
      <c r="Q712" s="45"/>
    </row>
    <row r="713" spans="2:17" ht="34" x14ac:dyDescent="0.2">
      <c r="B713" s="156"/>
      <c r="C713" s="157"/>
      <c r="D713" s="59" t="s">
        <v>1436</v>
      </c>
      <c r="E713" s="156"/>
      <c r="F713" s="45"/>
      <c r="G713" s="45"/>
      <c r="H713" s="45"/>
      <c r="I713" s="45"/>
      <c r="J713" s="45"/>
      <c r="K713" s="45"/>
      <c r="L713" s="45"/>
      <c r="M713" s="45"/>
      <c r="N713" s="45"/>
      <c r="O713" s="45"/>
      <c r="P713" s="45"/>
      <c r="Q713" s="45"/>
    </row>
    <row r="714" spans="2:17" ht="34" x14ac:dyDescent="0.2">
      <c r="B714" s="156"/>
      <c r="C714" s="157"/>
      <c r="D714" s="59" t="s">
        <v>1437</v>
      </c>
      <c r="E714" s="156"/>
      <c r="F714" s="45"/>
      <c r="G714" s="45"/>
      <c r="H714" s="45"/>
      <c r="I714" s="45"/>
      <c r="J714" s="45"/>
      <c r="K714" s="45"/>
      <c r="L714" s="45"/>
      <c r="M714" s="45"/>
      <c r="N714" s="45"/>
      <c r="O714" s="45"/>
      <c r="P714" s="45"/>
      <c r="Q714" s="45"/>
    </row>
    <row r="715" spans="2:17" ht="17" x14ac:dyDescent="0.2">
      <c r="B715" s="156">
        <v>2730</v>
      </c>
      <c r="C715" s="157" t="s">
        <v>1438</v>
      </c>
      <c r="D715" s="59" t="s">
        <v>1439</v>
      </c>
      <c r="E715" s="156">
        <v>12</v>
      </c>
      <c r="F715" s="45"/>
      <c r="G715" s="45"/>
      <c r="H715" s="45"/>
      <c r="I715" s="45"/>
      <c r="J715" s="45"/>
      <c r="K715" s="45"/>
      <c r="L715" s="45"/>
      <c r="M715" s="45"/>
      <c r="N715" s="45"/>
      <c r="O715" s="45"/>
      <c r="P715" s="45"/>
      <c r="Q715" s="45"/>
    </row>
    <row r="716" spans="2:17" ht="34" x14ac:dyDescent="0.2">
      <c r="B716" s="156"/>
      <c r="C716" s="157"/>
      <c r="D716" s="59" t="s">
        <v>1440</v>
      </c>
      <c r="E716" s="156"/>
      <c r="F716" s="45"/>
      <c r="G716" s="45"/>
      <c r="H716" s="45"/>
      <c r="I716" s="45"/>
      <c r="J716" s="45"/>
      <c r="K716" s="45"/>
      <c r="L716" s="45"/>
      <c r="M716" s="45"/>
      <c r="N716" s="45"/>
      <c r="O716" s="45"/>
      <c r="P716" s="45"/>
      <c r="Q716" s="45"/>
    </row>
    <row r="717" spans="2:17" ht="17" x14ac:dyDescent="0.2">
      <c r="B717" s="156"/>
      <c r="C717" s="157"/>
      <c r="D717" s="59" t="s">
        <v>1441</v>
      </c>
      <c r="E717" s="156"/>
      <c r="F717" s="45"/>
      <c r="G717" s="45"/>
      <c r="H717" s="45"/>
      <c r="I717" s="45"/>
      <c r="J717" s="45"/>
      <c r="K717" s="45"/>
      <c r="L717" s="45"/>
      <c r="M717" s="45"/>
      <c r="N717" s="45"/>
      <c r="O717" s="45"/>
      <c r="P717" s="45"/>
      <c r="Q717" s="45"/>
    </row>
    <row r="718" spans="2:17" ht="102" x14ac:dyDescent="0.2">
      <c r="B718" s="46">
        <v>2740</v>
      </c>
      <c r="C718" s="59" t="s">
        <v>1442</v>
      </c>
      <c r="D718" s="59" t="s">
        <v>1443</v>
      </c>
      <c r="E718" s="46">
        <v>12</v>
      </c>
      <c r="F718" s="45"/>
      <c r="G718" s="45"/>
      <c r="H718" s="45"/>
      <c r="I718" s="45"/>
      <c r="J718" s="45"/>
      <c r="K718" s="45"/>
      <c r="L718" s="45"/>
      <c r="M718" s="45"/>
      <c r="N718" s="45"/>
      <c r="O718" s="45"/>
      <c r="P718" s="45"/>
      <c r="Q718" s="45"/>
    </row>
    <row r="719" spans="2:17" ht="51" x14ac:dyDescent="0.2">
      <c r="B719" s="156">
        <v>2760</v>
      </c>
      <c r="C719" s="157" t="s">
        <v>1444</v>
      </c>
      <c r="D719" s="59" t="s">
        <v>1445</v>
      </c>
      <c r="E719" s="156">
        <v>12</v>
      </c>
      <c r="F719" s="45"/>
      <c r="G719" s="45"/>
      <c r="H719" s="45"/>
      <c r="I719" s="45"/>
      <c r="J719" s="45"/>
      <c r="K719" s="45"/>
      <c r="L719" s="45"/>
      <c r="M719" s="45"/>
      <c r="N719" s="45"/>
      <c r="O719" s="45"/>
      <c r="P719" s="45"/>
      <c r="Q719" s="45"/>
    </row>
    <row r="720" spans="2:17" ht="17" x14ac:dyDescent="0.2">
      <c r="B720" s="156"/>
      <c r="C720" s="157"/>
      <c r="D720" s="59" t="s">
        <v>1446</v>
      </c>
      <c r="E720" s="156"/>
      <c r="F720" s="45"/>
      <c r="G720" s="45"/>
      <c r="H720" s="45"/>
      <c r="I720" s="45"/>
      <c r="J720" s="45"/>
      <c r="K720" s="45"/>
      <c r="L720" s="45"/>
      <c r="M720" s="45"/>
      <c r="N720" s="45"/>
      <c r="O720" s="45"/>
      <c r="P720" s="45"/>
      <c r="Q720" s="45"/>
    </row>
    <row r="721" spans="2:17" ht="17" x14ac:dyDescent="0.2">
      <c r="B721" s="156">
        <v>640</v>
      </c>
      <c r="C721" s="157" t="s">
        <v>1447</v>
      </c>
      <c r="D721" s="59" t="s">
        <v>1448</v>
      </c>
      <c r="E721" s="156">
        <v>12</v>
      </c>
      <c r="F721" s="45"/>
      <c r="G721" s="45"/>
      <c r="H721" s="45"/>
      <c r="I721" s="45"/>
      <c r="J721" s="45"/>
      <c r="K721" s="45"/>
      <c r="L721" s="45"/>
      <c r="M721" s="45"/>
      <c r="N721" s="45"/>
      <c r="O721" s="45"/>
      <c r="P721" s="45"/>
      <c r="Q721" s="45"/>
    </row>
    <row r="722" spans="2:17" ht="34" x14ac:dyDescent="0.2">
      <c r="B722" s="156"/>
      <c r="C722" s="157"/>
      <c r="D722" s="59" t="s">
        <v>1449</v>
      </c>
      <c r="E722" s="156"/>
      <c r="F722" s="45"/>
      <c r="G722" s="45"/>
      <c r="H722" s="45"/>
      <c r="I722" s="45"/>
      <c r="J722" s="45"/>
      <c r="K722" s="45"/>
      <c r="L722" s="45"/>
      <c r="M722" s="45"/>
      <c r="N722" s="45"/>
      <c r="O722" s="45"/>
      <c r="P722" s="45"/>
      <c r="Q722" s="45"/>
    </row>
    <row r="723" spans="2:17" ht="68" x14ac:dyDescent="0.2">
      <c r="B723" s="156"/>
      <c r="C723" s="157"/>
      <c r="D723" s="59" t="s">
        <v>1450</v>
      </c>
      <c r="E723" s="156"/>
      <c r="F723" s="45"/>
      <c r="G723" s="45"/>
      <c r="H723" s="45"/>
      <c r="I723" s="45"/>
      <c r="J723" s="45"/>
      <c r="K723" s="45"/>
      <c r="L723" s="45"/>
      <c r="M723" s="45"/>
      <c r="N723" s="45"/>
      <c r="O723" s="45"/>
      <c r="P723" s="45"/>
      <c r="Q723" s="45"/>
    </row>
    <row r="724" spans="2:17" ht="119" x14ac:dyDescent="0.2">
      <c r="B724" s="156">
        <v>2030</v>
      </c>
      <c r="C724" s="157" t="s">
        <v>1451</v>
      </c>
      <c r="D724" s="59" t="s">
        <v>1452</v>
      </c>
      <c r="E724" s="156">
        <v>12</v>
      </c>
      <c r="F724" s="45"/>
      <c r="G724" s="45"/>
      <c r="H724" s="45"/>
      <c r="I724" s="45"/>
      <c r="J724" s="45"/>
      <c r="K724" s="45"/>
      <c r="L724" s="45"/>
      <c r="M724" s="45"/>
      <c r="N724" s="45"/>
      <c r="O724" s="45"/>
      <c r="P724" s="45"/>
      <c r="Q724" s="45"/>
    </row>
    <row r="725" spans="2:17" ht="34" x14ac:dyDescent="0.2">
      <c r="B725" s="156"/>
      <c r="C725" s="157"/>
      <c r="D725" s="59" t="s">
        <v>1453</v>
      </c>
      <c r="E725" s="156"/>
      <c r="F725" s="45"/>
      <c r="G725" s="45"/>
      <c r="H725" s="45"/>
      <c r="I725" s="45"/>
      <c r="J725" s="45"/>
      <c r="K725" s="45"/>
      <c r="L725" s="45"/>
      <c r="M725" s="45"/>
      <c r="N725" s="45"/>
      <c r="O725" s="45"/>
      <c r="P725" s="45"/>
      <c r="Q725" s="45"/>
    </row>
    <row r="726" spans="2:17" ht="17" x14ac:dyDescent="0.2">
      <c r="B726" s="156"/>
      <c r="C726" s="157"/>
      <c r="D726" s="59" t="s">
        <v>1454</v>
      </c>
      <c r="E726" s="156"/>
      <c r="F726" s="45"/>
      <c r="G726" s="45"/>
      <c r="H726" s="45"/>
      <c r="I726" s="45"/>
      <c r="J726" s="45"/>
      <c r="K726" s="45"/>
      <c r="L726" s="45"/>
      <c r="M726" s="45"/>
      <c r="N726" s="45"/>
      <c r="O726" s="45"/>
      <c r="P726" s="45"/>
      <c r="Q726" s="45"/>
    </row>
  </sheetData>
  <mergeCells count="344">
    <mergeCell ref="E706:E709"/>
    <mergeCell ref="B706:B709"/>
    <mergeCell ref="C706:C709"/>
    <mergeCell ref="E710:E714"/>
    <mergeCell ref="B710:B714"/>
    <mergeCell ref="C710:C714"/>
    <mergeCell ref="E700:E702"/>
    <mergeCell ref="B700:B702"/>
    <mergeCell ref="C700:C702"/>
    <mergeCell ref="E704:E705"/>
    <mergeCell ref="B704:B705"/>
    <mergeCell ref="C704:C705"/>
    <mergeCell ref="E721:E723"/>
    <mergeCell ref="B721:B723"/>
    <mergeCell ref="C721:C723"/>
    <mergeCell ref="E724:E726"/>
    <mergeCell ref="B724:B726"/>
    <mergeCell ref="C724:C726"/>
    <mergeCell ref="E715:E717"/>
    <mergeCell ref="B715:B717"/>
    <mergeCell ref="C715:C717"/>
    <mergeCell ref="E719:E720"/>
    <mergeCell ref="B719:B720"/>
    <mergeCell ref="C719:C720"/>
    <mergeCell ref="E694:E695"/>
    <mergeCell ref="B694:B695"/>
    <mergeCell ref="C694:C695"/>
    <mergeCell ref="E696:E697"/>
    <mergeCell ref="B696:B697"/>
    <mergeCell ref="C696:C697"/>
    <mergeCell ref="E690:E691"/>
    <mergeCell ref="B690:B691"/>
    <mergeCell ref="C690:C691"/>
    <mergeCell ref="E692:E693"/>
    <mergeCell ref="B692:B693"/>
    <mergeCell ref="C692:C693"/>
    <mergeCell ref="E681:E685"/>
    <mergeCell ref="B681:B685"/>
    <mergeCell ref="C681:C685"/>
    <mergeCell ref="E686:E689"/>
    <mergeCell ref="B686:B689"/>
    <mergeCell ref="C686:C689"/>
    <mergeCell ref="E673:E676"/>
    <mergeCell ref="B673:B676"/>
    <mergeCell ref="C673:C676"/>
    <mergeCell ref="E677:E680"/>
    <mergeCell ref="B677:B680"/>
    <mergeCell ref="C677:C680"/>
    <mergeCell ref="E667:E670"/>
    <mergeCell ref="B667:B670"/>
    <mergeCell ref="C667:C670"/>
    <mergeCell ref="E671:E672"/>
    <mergeCell ref="B671:B672"/>
    <mergeCell ref="C671:C672"/>
    <mergeCell ref="E656:E660"/>
    <mergeCell ref="B656:B660"/>
    <mergeCell ref="C656:C660"/>
    <mergeCell ref="E661:E666"/>
    <mergeCell ref="B661:B666"/>
    <mergeCell ref="C661:C666"/>
    <mergeCell ref="E652:E653"/>
    <mergeCell ref="B652:B653"/>
    <mergeCell ref="C652:C653"/>
    <mergeCell ref="E654:E655"/>
    <mergeCell ref="B654:B655"/>
    <mergeCell ref="C654:C655"/>
    <mergeCell ref="E644:E648"/>
    <mergeCell ref="B644:B648"/>
    <mergeCell ref="C644:C648"/>
    <mergeCell ref="E650:E651"/>
    <mergeCell ref="B650:B651"/>
    <mergeCell ref="C650:C651"/>
    <mergeCell ref="E638:E639"/>
    <mergeCell ref="B638:B639"/>
    <mergeCell ref="C638:C639"/>
    <mergeCell ref="E642:E643"/>
    <mergeCell ref="B642:B643"/>
    <mergeCell ref="C642:C643"/>
    <mergeCell ref="E625:E626"/>
    <mergeCell ref="B625:B626"/>
    <mergeCell ref="C625:C626"/>
    <mergeCell ref="E630:E637"/>
    <mergeCell ref="B630:B637"/>
    <mergeCell ref="C630:C637"/>
    <mergeCell ref="E618:E622"/>
    <mergeCell ref="B618:B622"/>
    <mergeCell ref="C618:C622"/>
    <mergeCell ref="E623:E624"/>
    <mergeCell ref="B623:B624"/>
    <mergeCell ref="C623:C624"/>
    <mergeCell ref="E611:E615"/>
    <mergeCell ref="B611:B615"/>
    <mergeCell ref="C611:C615"/>
    <mergeCell ref="E616:E617"/>
    <mergeCell ref="B616:B617"/>
    <mergeCell ref="C616:C617"/>
    <mergeCell ref="E603:E605"/>
    <mergeCell ref="B603:B605"/>
    <mergeCell ref="C603:C605"/>
    <mergeCell ref="E606:E609"/>
    <mergeCell ref="B606:B609"/>
    <mergeCell ref="C606:C609"/>
    <mergeCell ref="E598:E600"/>
    <mergeCell ref="B598:B600"/>
    <mergeCell ref="C598:C600"/>
    <mergeCell ref="E601:E602"/>
    <mergeCell ref="B601:B602"/>
    <mergeCell ref="C601:C602"/>
    <mergeCell ref="E589:E592"/>
    <mergeCell ref="B589:B592"/>
    <mergeCell ref="C589:C592"/>
    <mergeCell ref="E593:E594"/>
    <mergeCell ref="B593:B594"/>
    <mergeCell ref="C593:C594"/>
    <mergeCell ref="E583:E586"/>
    <mergeCell ref="B583:B586"/>
    <mergeCell ref="C583:C586"/>
    <mergeCell ref="E587:E588"/>
    <mergeCell ref="B587:B588"/>
    <mergeCell ref="C587:C588"/>
    <mergeCell ref="E577:E578"/>
    <mergeCell ref="B577:B578"/>
    <mergeCell ref="C577:C578"/>
    <mergeCell ref="E579:E582"/>
    <mergeCell ref="B579:B582"/>
    <mergeCell ref="C579:C582"/>
    <mergeCell ref="E569:E570"/>
    <mergeCell ref="B569:B570"/>
    <mergeCell ref="C569:C570"/>
    <mergeCell ref="E571:E576"/>
    <mergeCell ref="B571:B576"/>
    <mergeCell ref="C571:C576"/>
    <mergeCell ref="E561:E563"/>
    <mergeCell ref="B561:B563"/>
    <mergeCell ref="C561:C563"/>
    <mergeCell ref="E564:E568"/>
    <mergeCell ref="B564:B568"/>
    <mergeCell ref="C564:C568"/>
    <mergeCell ref="E548:E553"/>
    <mergeCell ref="B548:B553"/>
    <mergeCell ref="C548:C553"/>
    <mergeCell ref="E555:E560"/>
    <mergeCell ref="B555:B560"/>
    <mergeCell ref="C555:C560"/>
    <mergeCell ref="E543:E544"/>
    <mergeCell ref="B543:B544"/>
    <mergeCell ref="C543:C544"/>
    <mergeCell ref="E546:E547"/>
    <mergeCell ref="B546:B547"/>
    <mergeCell ref="C546:C547"/>
    <mergeCell ref="E531:E537"/>
    <mergeCell ref="B531:B537"/>
    <mergeCell ref="C531:C537"/>
    <mergeCell ref="E538:E542"/>
    <mergeCell ref="B538:B542"/>
    <mergeCell ref="C538:C542"/>
    <mergeCell ref="E522:E525"/>
    <mergeCell ref="B522:B525"/>
    <mergeCell ref="C522:C525"/>
    <mergeCell ref="E526:E530"/>
    <mergeCell ref="B526:B530"/>
    <mergeCell ref="C526:C530"/>
    <mergeCell ref="E505:E510"/>
    <mergeCell ref="B505:B510"/>
    <mergeCell ref="C505:C510"/>
    <mergeCell ref="E514:E521"/>
    <mergeCell ref="B514:B521"/>
    <mergeCell ref="C514:C521"/>
    <mergeCell ref="E492:E498"/>
    <mergeCell ref="B492:B498"/>
    <mergeCell ref="C492:C498"/>
    <mergeCell ref="E499:E504"/>
    <mergeCell ref="B499:B504"/>
    <mergeCell ref="C499:C504"/>
    <mergeCell ref="E483:E484"/>
    <mergeCell ref="B483:B484"/>
    <mergeCell ref="C483:C484"/>
    <mergeCell ref="E485:E491"/>
    <mergeCell ref="B485:B491"/>
    <mergeCell ref="C485:C491"/>
    <mergeCell ref="E472:E478"/>
    <mergeCell ref="B472:B478"/>
    <mergeCell ref="C472:C478"/>
    <mergeCell ref="E479:E482"/>
    <mergeCell ref="B479:B482"/>
    <mergeCell ref="C479:C482"/>
    <mergeCell ref="E465:E466"/>
    <mergeCell ref="B465:B466"/>
    <mergeCell ref="C465:C466"/>
    <mergeCell ref="E469:E471"/>
    <mergeCell ref="B469:B471"/>
    <mergeCell ref="C469:C471"/>
    <mergeCell ref="E461:E462"/>
    <mergeCell ref="B461:B462"/>
    <mergeCell ref="C461:C462"/>
    <mergeCell ref="E463:E464"/>
    <mergeCell ref="B463:B464"/>
    <mergeCell ref="C463:C464"/>
    <mergeCell ref="E444:E447"/>
    <mergeCell ref="B444:B447"/>
    <mergeCell ref="C444:C447"/>
    <mergeCell ref="E448:E457"/>
    <mergeCell ref="B448:B457"/>
    <mergeCell ref="C448:C457"/>
    <mergeCell ref="E436:E439"/>
    <mergeCell ref="B436:B439"/>
    <mergeCell ref="C436:C439"/>
    <mergeCell ref="E440:E443"/>
    <mergeCell ref="B440:B443"/>
    <mergeCell ref="C440:C443"/>
    <mergeCell ref="E364:E366"/>
    <mergeCell ref="B364:B366"/>
    <mergeCell ref="C364:C366"/>
    <mergeCell ref="D364:D366"/>
    <mergeCell ref="E433:E435"/>
    <mergeCell ref="B433:B435"/>
    <mergeCell ref="C433:C435"/>
    <mergeCell ref="B330:B339"/>
    <mergeCell ref="C330:C339"/>
    <mergeCell ref="E340:E358"/>
    <mergeCell ref="B340:B358"/>
    <mergeCell ref="C340:C358"/>
    <mergeCell ref="E359:E360"/>
    <mergeCell ref="B359:B360"/>
    <mergeCell ref="C359:C360"/>
    <mergeCell ref="B310:B312"/>
    <mergeCell ref="C310:C312"/>
    <mergeCell ref="B313:B316"/>
    <mergeCell ref="C313:C316"/>
    <mergeCell ref="D323:D324"/>
    <mergeCell ref="B328:B329"/>
    <mergeCell ref="C328:C329"/>
    <mergeCell ref="B295:B297"/>
    <mergeCell ref="C295:C297"/>
    <mergeCell ref="B299:B302"/>
    <mergeCell ref="C299:C302"/>
    <mergeCell ref="B303:B305"/>
    <mergeCell ref="C303:C305"/>
    <mergeCell ref="B280:B282"/>
    <mergeCell ref="C280:C282"/>
    <mergeCell ref="B286:B287"/>
    <mergeCell ref="C286:C287"/>
    <mergeCell ref="B290:B293"/>
    <mergeCell ref="C290:C293"/>
    <mergeCell ref="B259:B260"/>
    <mergeCell ref="C259:C260"/>
    <mergeCell ref="B262:B263"/>
    <mergeCell ref="C262:C263"/>
    <mergeCell ref="B270:B272"/>
    <mergeCell ref="C270:C272"/>
    <mergeCell ref="B244:B245"/>
    <mergeCell ref="C244:C245"/>
    <mergeCell ref="B246:B251"/>
    <mergeCell ref="C246:C251"/>
    <mergeCell ref="B255:B257"/>
    <mergeCell ref="C255:C257"/>
    <mergeCell ref="B234:B236"/>
    <mergeCell ref="C234:C236"/>
    <mergeCell ref="B237:B238"/>
    <mergeCell ref="C237:C238"/>
    <mergeCell ref="B240:B242"/>
    <mergeCell ref="C240:C242"/>
    <mergeCell ref="B217:B222"/>
    <mergeCell ref="C217:C222"/>
    <mergeCell ref="B224:B228"/>
    <mergeCell ref="C224:C228"/>
    <mergeCell ref="B229:B232"/>
    <mergeCell ref="C229:C232"/>
    <mergeCell ref="B194:B195"/>
    <mergeCell ref="C194:C195"/>
    <mergeCell ref="B196:B201"/>
    <mergeCell ref="C196:C201"/>
    <mergeCell ref="B203:B204"/>
    <mergeCell ref="C203:C206"/>
    <mergeCell ref="B205:B206"/>
    <mergeCell ref="B169:B176"/>
    <mergeCell ref="C169:C176"/>
    <mergeCell ref="B177:B184"/>
    <mergeCell ref="C177:C184"/>
    <mergeCell ref="B185:B191"/>
    <mergeCell ref="C185:C191"/>
    <mergeCell ref="B156:B160"/>
    <mergeCell ref="C156:C160"/>
    <mergeCell ref="B161:B162"/>
    <mergeCell ref="C161:C162"/>
    <mergeCell ref="B163:B168"/>
    <mergeCell ref="C163:C168"/>
    <mergeCell ref="E135:E138"/>
    <mergeCell ref="B135:B138"/>
    <mergeCell ref="C135:C138"/>
    <mergeCell ref="E139:E152"/>
    <mergeCell ref="B139:B152"/>
    <mergeCell ref="C139:C152"/>
    <mergeCell ref="D111:D116"/>
    <mergeCell ref="E117:E124"/>
    <mergeCell ref="B117:B124"/>
    <mergeCell ref="C117:C124"/>
    <mergeCell ref="D125:D127"/>
    <mergeCell ref="D129:D131"/>
    <mergeCell ref="D89:D90"/>
    <mergeCell ref="D96:D97"/>
    <mergeCell ref="D99:D101"/>
    <mergeCell ref="D102:D103"/>
    <mergeCell ref="D106:D108"/>
    <mergeCell ref="D109:D110"/>
    <mergeCell ref="D64:D65"/>
    <mergeCell ref="D66:D69"/>
    <mergeCell ref="D70:D71"/>
    <mergeCell ref="D73:D77"/>
    <mergeCell ref="D79:D81"/>
    <mergeCell ref="D86:D87"/>
    <mergeCell ref="E47:E49"/>
    <mergeCell ref="B47:B49"/>
    <mergeCell ref="C47:C49"/>
    <mergeCell ref="D53:D54"/>
    <mergeCell ref="D57:D58"/>
    <mergeCell ref="D59:D60"/>
    <mergeCell ref="E42:E43"/>
    <mergeCell ref="B42:B43"/>
    <mergeCell ref="C42:C43"/>
    <mergeCell ref="E44:E45"/>
    <mergeCell ref="B44:B45"/>
    <mergeCell ref="C44:C45"/>
    <mergeCell ref="E35:E37"/>
    <mergeCell ref="B35:B37"/>
    <mergeCell ref="C35:C37"/>
    <mergeCell ref="E38:E41"/>
    <mergeCell ref="B38:B41"/>
    <mergeCell ref="C38:C41"/>
    <mergeCell ref="E14:E15"/>
    <mergeCell ref="E18:E21"/>
    <mergeCell ref="E22:E24"/>
    <mergeCell ref="E29:E34"/>
    <mergeCell ref="B5:B12"/>
    <mergeCell ref="B14:B15"/>
    <mergeCell ref="B18:B21"/>
    <mergeCell ref="C18:C21"/>
    <mergeCell ref="B22:B24"/>
    <mergeCell ref="B27:B34"/>
    <mergeCell ref="C28:C34"/>
    <mergeCell ref="C5:C8"/>
    <mergeCell ref="C9:C10"/>
    <mergeCell ref="E5:E8"/>
    <mergeCell ref="E9:E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AFA7C-56F9-4919-BAC3-2425669CE270}">
  <dimension ref="A1:E103"/>
  <sheetViews>
    <sheetView view="pageBreakPreview" zoomScaleNormal="100" zoomScaleSheetLayoutView="100" workbookViewId="0">
      <pane ySplit="4" topLeftCell="A5" activePane="bottomLeft" state="frozen"/>
      <selection pane="bottomLeft" activeCell="C6" sqref="C6"/>
    </sheetView>
  </sheetViews>
  <sheetFormatPr baseColWidth="10" defaultColWidth="8.7109375" defaultRowHeight="16" x14ac:dyDescent="0.2"/>
  <cols>
    <col min="1" max="1" width="1.42578125" style="14" customWidth="1"/>
    <col min="2" max="2" width="6.28515625" style="31" customWidth="1"/>
    <col min="3" max="4" width="63.7109375" style="23" customWidth="1"/>
    <col min="5" max="5" width="2.140625" style="14" customWidth="1"/>
  </cols>
  <sheetData>
    <row r="1" spans="2:4" s="14" customFormat="1" ht="9.5" customHeight="1" x14ac:dyDescent="0.2">
      <c r="B1" s="27"/>
      <c r="C1" s="26"/>
      <c r="D1" s="26"/>
    </row>
    <row r="2" spans="2:4" s="14" customFormat="1" ht="16.25" customHeight="1" x14ac:dyDescent="0.2">
      <c r="B2" s="160" t="s">
        <v>1455</v>
      </c>
      <c r="C2" s="160"/>
      <c r="D2" s="160"/>
    </row>
    <row r="3" spans="2:4" s="14" customFormat="1" ht="9.5" customHeight="1" x14ac:dyDescent="0.2">
      <c r="B3" s="27"/>
      <c r="C3" s="26"/>
      <c r="D3" s="26"/>
    </row>
    <row r="4" spans="2:4" ht="26.5" customHeight="1" x14ac:dyDescent="0.2">
      <c r="B4" s="32" t="s">
        <v>1456</v>
      </c>
      <c r="C4" s="32" t="s">
        <v>1457</v>
      </c>
      <c r="D4" s="32" t="s">
        <v>1458</v>
      </c>
    </row>
    <row r="5" spans="2:4" ht="26.5" customHeight="1" x14ac:dyDescent="0.2">
      <c r="B5" s="28">
        <v>1</v>
      </c>
      <c r="C5" s="24" t="s">
        <v>1459</v>
      </c>
      <c r="D5" s="25"/>
    </row>
    <row r="6" spans="2:4" ht="26.5" customHeight="1" x14ac:dyDescent="0.2">
      <c r="B6" s="29"/>
      <c r="C6" s="21"/>
      <c r="D6" s="21"/>
    </row>
    <row r="7" spans="2:4" ht="26.5" customHeight="1" x14ac:dyDescent="0.2">
      <c r="B7" s="29"/>
      <c r="C7" s="21"/>
      <c r="D7" s="21"/>
    </row>
    <row r="8" spans="2:4" ht="26.5" customHeight="1" x14ac:dyDescent="0.2">
      <c r="B8" s="29"/>
      <c r="C8" s="21"/>
      <c r="D8" s="21"/>
    </row>
    <row r="9" spans="2:4" ht="26.5" customHeight="1" x14ac:dyDescent="0.2">
      <c r="B9" s="29"/>
      <c r="C9" s="21"/>
      <c r="D9" s="21"/>
    </row>
    <row r="10" spans="2:4" ht="26.5" customHeight="1" x14ac:dyDescent="0.2">
      <c r="B10" s="29"/>
      <c r="C10" s="21"/>
      <c r="D10" s="21"/>
    </row>
    <row r="11" spans="2:4" ht="26.5" customHeight="1" x14ac:dyDescent="0.2">
      <c r="B11" s="29"/>
      <c r="C11" s="21"/>
      <c r="D11" s="21"/>
    </row>
    <row r="12" spans="2:4" ht="26.5" customHeight="1" x14ac:dyDescent="0.2">
      <c r="B12" s="29"/>
      <c r="C12" s="21"/>
      <c r="D12" s="21"/>
    </row>
    <row r="13" spans="2:4" ht="26.5" customHeight="1" x14ac:dyDescent="0.2">
      <c r="B13" s="29"/>
      <c r="C13" s="21"/>
      <c r="D13" s="21"/>
    </row>
    <row r="14" spans="2:4" ht="26.5" customHeight="1" x14ac:dyDescent="0.2">
      <c r="B14" s="29"/>
      <c r="C14" s="21"/>
      <c r="D14" s="21"/>
    </row>
    <row r="15" spans="2:4" ht="26.5" customHeight="1" x14ac:dyDescent="0.2">
      <c r="B15" s="29"/>
      <c r="C15" s="21"/>
      <c r="D15" s="21"/>
    </row>
    <row r="16" spans="2:4" ht="26.5" customHeight="1" x14ac:dyDescent="0.2">
      <c r="B16" s="29"/>
      <c r="C16" s="21"/>
      <c r="D16" s="21"/>
    </row>
    <row r="17" spans="2:4" ht="26.5" customHeight="1" x14ac:dyDescent="0.2">
      <c r="B17" s="29"/>
      <c r="C17" s="21"/>
      <c r="D17" s="21"/>
    </row>
    <row r="18" spans="2:4" ht="26.5" customHeight="1" x14ac:dyDescent="0.2">
      <c r="B18" s="29"/>
      <c r="C18" s="21"/>
      <c r="D18" s="21"/>
    </row>
    <row r="19" spans="2:4" ht="26.5" customHeight="1" x14ac:dyDescent="0.2">
      <c r="B19" s="29"/>
      <c r="C19" s="21"/>
      <c r="D19" s="21"/>
    </row>
    <row r="20" spans="2:4" ht="26.5" customHeight="1" x14ac:dyDescent="0.2">
      <c r="B20" s="29"/>
      <c r="C20" s="21"/>
      <c r="D20" s="21"/>
    </row>
    <row r="21" spans="2:4" ht="26.5" customHeight="1" x14ac:dyDescent="0.2">
      <c r="B21" s="29"/>
      <c r="C21" s="21"/>
      <c r="D21" s="21"/>
    </row>
    <row r="22" spans="2:4" ht="26.5" customHeight="1" x14ac:dyDescent="0.2">
      <c r="B22" s="29"/>
      <c r="C22" s="21"/>
      <c r="D22" s="21"/>
    </row>
    <row r="23" spans="2:4" ht="26.5" customHeight="1" x14ac:dyDescent="0.2">
      <c r="B23" s="29"/>
      <c r="C23" s="21"/>
      <c r="D23" s="21"/>
    </row>
    <row r="24" spans="2:4" ht="26.5" customHeight="1" x14ac:dyDescent="0.2">
      <c r="B24" s="29"/>
      <c r="C24" s="21"/>
      <c r="D24" s="21"/>
    </row>
    <row r="25" spans="2:4" ht="26.5" customHeight="1" x14ac:dyDescent="0.2">
      <c r="B25" s="29"/>
      <c r="C25" s="21"/>
      <c r="D25" s="21"/>
    </row>
    <row r="26" spans="2:4" ht="26.5" customHeight="1" x14ac:dyDescent="0.2">
      <c r="B26" s="29"/>
      <c r="C26" s="21"/>
      <c r="D26" s="21"/>
    </row>
    <row r="27" spans="2:4" ht="26.5" customHeight="1" x14ac:dyDescent="0.2">
      <c r="B27" s="29"/>
      <c r="C27" s="21"/>
      <c r="D27" s="21"/>
    </row>
    <row r="28" spans="2:4" ht="26.5" customHeight="1" x14ac:dyDescent="0.2">
      <c r="B28" s="29"/>
      <c r="C28" s="21"/>
      <c r="D28" s="21"/>
    </row>
    <row r="29" spans="2:4" ht="26.5" customHeight="1" x14ac:dyDescent="0.2">
      <c r="B29" s="29"/>
      <c r="C29" s="21"/>
      <c r="D29" s="21"/>
    </row>
    <row r="30" spans="2:4" ht="26.5" customHeight="1" x14ac:dyDescent="0.2">
      <c r="B30" s="29"/>
      <c r="C30" s="21"/>
      <c r="D30" s="21"/>
    </row>
    <row r="31" spans="2:4" ht="26.5" customHeight="1" x14ac:dyDescent="0.2">
      <c r="B31" s="29"/>
      <c r="C31" s="21"/>
      <c r="D31" s="21"/>
    </row>
    <row r="32" spans="2:4" ht="26.5" customHeight="1" x14ac:dyDescent="0.2">
      <c r="B32" s="29"/>
      <c r="C32" s="21"/>
      <c r="D32" s="21"/>
    </row>
    <row r="33" spans="2:4" ht="26.5" customHeight="1" x14ac:dyDescent="0.2">
      <c r="B33" s="29"/>
      <c r="C33" s="21"/>
      <c r="D33" s="21"/>
    </row>
    <row r="34" spans="2:4" ht="26.5" customHeight="1" x14ac:dyDescent="0.2">
      <c r="B34" s="29"/>
      <c r="C34" s="21"/>
      <c r="D34" s="21"/>
    </row>
    <row r="35" spans="2:4" ht="26.5" customHeight="1" x14ac:dyDescent="0.2">
      <c r="B35" s="29"/>
      <c r="C35" s="21"/>
      <c r="D35" s="21"/>
    </row>
    <row r="36" spans="2:4" ht="26.5" customHeight="1" x14ac:dyDescent="0.2">
      <c r="B36" s="29"/>
      <c r="C36" s="21"/>
      <c r="D36" s="21"/>
    </row>
    <row r="37" spans="2:4" ht="26.5" customHeight="1" x14ac:dyDescent="0.2">
      <c r="B37" s="29"/>
      <c r="C37" s="21"/>
      <c r="D37" s="21"/>
    </row>
    <row r="38" spans="2:4" ht="26.5" customHeight="1" x14ac:dyDescent="0.2">
      <c r="B38" s="29"/>
      <c r="C38" s="21"/>
      <c r="D38" s="21"/>
    </row>
    <row r="39" spans="2:4" ht="26.5" customHeight="1" x14ac:dyDescent="0.2">
      <c r="B39" s="29"/>
      <c r="C39" s="21"/>
      <c r="D39" s="21"/>
    </row>
    <row r="40" spans="2:4" ht="26.5" customHeight="1" x14ac:dyDescent="0.2">
      <c r="B40" s="29"/>
      <c r="C40" s="21"/>
      <c r="D40" s="21"/>
    </row>
    <row r="41" spans="2:4" ht="26.5" customHeight="1" x14ac:dyDescent="0.2">
      <c r="B41" s="29"/>
      <c r="C41" s="21"/>
      <c r="D41" s="21"/>
    </row>
    <row r="42" spans="2:4" ht="26.5" customHeight="1" x14ac:dyDescent="0.2">
      <c r="B42" s="29"/>
      <c r="C42" s="21"/>
      <c r="D42" s="21"/>
    </row>
    <row r="43" spans="2:4" ht="26.5" customHeight="1" x14ac:dyDescent="0.2">
      <c r="B43" s="29"/>
      <c r="C43" s="21"/>
      <c r="D43" s="21"/>
    </row>
    <row r="44" spans="2:4" ht="26.5" customHeight="1" x14ac:dyDescent="0.2">
      <c r="B44" s="29"/>
      <c r="C44" s="21"/>
      <c r="D44" s="21"/>
    </row>
    <row r="45" spans="2:4" ht="26.5" customHeight="1" x14ac:dyDescent="0.2">
      <c r="B45" s="29"/>
      <c r="C45" s="21"/>
      <c r="D45" s="21"/>
    </row>
    <row r="46" spans="2:4" ht="26.5" customHeight="1" x14ac:dyDescent="0.2">
      <c r="B46" s="29"/>
      <c r="C46" s="21"/>
      <c r="D46" s="21"/>
    </row>
    <row r="47" spans="2:4" ht="26.5" customHeight="1" x14ac:dyDescent="0.2">
      <c r="B47" s="29"/>
      <c r="C47" s="21"/>
      <c r="D47" s="21"/>
    </row>
    <row r="48" spans="2:4" ht="26.5" customHeight="1" x14ac:dyDescent="0.2">
      <c r="B48" s="29"/>
      <c r="C48" s="21"/>
      <c r="D48" s="21"/>
    </row>
    <row r="49" spans="2:4" ht="26.5" customHeight="1" x14ac:dyDescent="0.2">
      <c r="B49" s="29"/>
      <c r="C49" s="21"/>
      <c r="D49" s="21"/>
    </row>
    <row r="50" spans="2:4" ht="26.5" customHeight="1" x14ac:dyDescent="0.2">
      <c r="B50" s="29"/>
      <c r="C50" s="21"/>
      <c r="D50" s="21"/>
    </row>
    <row r="51" spans="2:4" ht="26.5" customHeight="1" x14ac:dyDescent="0.2">
      <c r="B51" s="29"/>
      <c r="C51" s="21"/>
      <c r="D51" s="21"/>
    </row>
    <row r="52" spans="2:4" ht="26.5" customHeight="1" x14ac:dyDescent="0.2">
      <c r="B52" s="29"/>
      <c r="C52" s="21"/>
      <c r="D52" s="21"/>
    </row>
    <row r="53" spans="2:4" ht="26.5" customHeight="1" x14ac:dyDescent="0.2">
      <c r="B53" s="29"/>
      <c r="C53" s="21"/>
      <c r="D53" s="21"/>
    </row>
    <row r="54" spans="2:4" ht="26.5" customHeight="1" x14ac:dyDescent="0.2">
      <c r="B54" s="29"/>
      <c r="C54" s="21"/>
      <c r="D54" s="21"/>
    </row>
    <row r="55" spans="2:4" ht="26.5" customHeight="1" x14ac:dyDescent="0.2">
      <c r="B55" s="29"/>
      <c r="C55" s="21"/>
      <c r="D55" s="21"/>
    </row>
    <row r="56" spans="2:4" ht="26.5" customHeight="1" x14ac:dyDescent="0.2">
      <c r="B56" s="29"/>
      <c r="C56" s="21"/>
      <c r="D56" s="21"/>
    </row>
    <row r="57" spans="2:4" ht="26.5" customHeight="1" x14ac:dyDescent="0.2">
      <c r="B57" s="29"/>
      <c r="C57" s="21"/>
      <c r="D57" s="21"/>
    </row>
    <row r="58" spans="2:4" ht="26.5" customHeight="1" x14ac:dyDescent="0.2">
      <c r="B58" s="29"/>
      <c r="C58" s="21"/>
      <c r="D58" s="21"/>
    </row>
    <row r="59" spans="2:4" ht="26.5" customHeight="1" x14ac:dyDescent="0.2">
      <c r="B59" s="29"/>
      <c r="C59" s="21"/>
      <c r="D59" s="21"/>
    </row>
    <row r="60" spans="2:4" ht="26.5" customHeight="1" x14ac:dyDescent="0.2">
      <c r="B60" s="29"/>
      <c r="C60" s="21"/>
      <c r="D60" s="21"/>
    </row>
    <row r="61" spans="2:4" ht="26.5" customHeight="1" x14ac:dyDescent="0.2">
      <c r="B61" s="29"/>
      <c r="C61" s="21"/>
      <c r="D61" s="21"/>
    </row>
    <row r="62" spans="2:4" ht="26.5" customHeight="1" x14ac:dyDescent="0.2">
      <c r="B62" s="29"/>
      <c r="C62" s="21"/>
      <c r="D62" s="21"/>
    </row>
    <row r="63" spans="2:4" ht="26.5" customHeight="1" x14ac:dyDescent="0.2">
      <c r="B63" s="29"/>
      <c r="C63" s="21"/>
      <c r="D63" s="21"/>
    </row>
    <row r="64" spans="2:4" ht="26.5" customHeight="1" x14ac:dyDescent="0.2">
      <c r="B64" s="29"/>
      <c r="C64" s="21"/>
      <c r="D64" s="21"/>
    </row>
    <row r="65" spans="2:4" ht="26.5" customHeight="1" x14ac:dyDescent="0.2">
      <c r="B65" s="29"/>
      <c r="C65" s="21"/>
      <c r="D65" s="21"/>
    </row>
    <row r="66" spans="2:4" ht="26.5" customHeight="1" x14ac:dyDescent="0.2">
      <c r="B66" s="29"/>
      <c r="C66" s="21"/>
      <c r="D66" s="21"/>
    </row>
    <row r="67" spans="2:4" ht="26.5" customHeight="1" x14ac:dyDescent="0.2">
      <c r="B67" s="29"/>
      <c r="C67" s="21"/>
      <c r="D67" s="21"/>
    </row>
    <row r="68" spans="2:4" ht="26.5" customHeight="1" x14ac:dyDescent="0.2">
      <c r="B68" s="29"/>
      <c r="C68" s="21"/>
      <c r="D68" s="21"/>
    </row>
    <row r="69" spans="2:4" ht="26.5" customHeight="1" x14ac:dyDescent="0.2">
      <c r="B69" s="29"/>
      <c r="C69" s="21"/>
      <c r="D69" s="21"/>
    </row>
    <row r="70" spans="2:4" ht="26.5" customHeight="1" x14ac:dyDescent="0.2">
      <c r="B70" s="29"/>
      <c r="C70" s="21"/>
      <c r="D70" s="21"/>
    </row>
    <row r="71" spans="2:4" ht="26.5" customHeight="1" x14ac:dyDescent="0.2">
      <c r="B71" s="29"/>
      <c r="C71" s="21"/>
      <c r="D71" s="21"/>
    </row>
    <row r="72" spans="2:4" ht="26.5" customHeight="1" x14ac:dyDescent="0.2">
      <c r="B72" s="29"/>
      <c r="C72" s="21"/>
      <c r="D72" s="21"/>
    </row>
    <row r="73" spans="2:4" ht="26.5" customHeight="1" x14ac:dyDescent="0.2">
      <c r="B73" s="29"/>
      <c r="C73" s="21"/>
      <c r="D73" s="21"/>
    </row>
    <row r="74" spans="2:4" ht="26.5" customHeight="1" x14ac:dyDescent="0.2">
      <c r="B74" s="29"/>
      <c r="C74" s="21"/>
      <c r="D74" s="21"/>
    </row>
    <row r="75" spans="2:4" ht="26.5" customHeight="1" x14ac:dyDescent="0.2">
      <c r="B75" s="29"/>
      <c r="C75" s="21"/>
      <c r="D75" s="21"/>
    </row>
    <row r="76" spans="2:4" ht="26.5" customHeight="1" x14ac:dyDescent="0.2">
      <c r="B76" s="29"/>
      <c r="C76" s="21"/>
      <c r="D76" s="21"/>
    </row>
    <row r="77" spans="2:4" ht="26.5" customHeight="1" x14ac:dyDescent="0.2">
      <c r="B77" s="29"/>
      <c r="C77" s="21"/>
      <c r="D77" s="21"/>
    </row>
    <row r="78" spans="2:4" ht="26.5" customHeight="1" x14ac:dyDescent="0.2">
      <c r="B78" s="29"/>
      <c r="C78" s="21"/>
      <c r="D78" s="21"/>
    </row>
    <row r="79" spans="2:4" ht="26.5" customHeight="1" x14ac:dyDescent="0.2">
      <c r="B79" s="29"/>
      <c r="C79" s="21"/>
      <c r="D79" s="21"/>
    </row>
    <row r="80" spans="2:4" ht="26.5" customHeight="1" x14ac:dyDescent="0.2">
      <c r="B80" s="29"/>
      <c r="C80" s="21"/>
      <c r="D80" s="21"/>
    </row>
    <row r="81" spans="2:4" ht="26.5" customHeight="1" x14ac:dyDescent="0.2">
      <c r="B81" s="29"/>
      <c r="C81" s="21"/>
      <c r="D81" s="21"/>
    </row>
    <row r="82" spans="2:4" ht="26.5" customHeight="1" x14ac:dyDescent="0.2">
      <c r="B82" s="29"/>
      <c r="C82" s="21"/>
      <c r="D82" s="21"/>
    </row>
    <row r="83" spans="2:4" ht="26.5" customHeight="1" x14ac:dyDescent="0.2">
      <c r="B83" s="29"/>
      <c r="C83" s="21"/>
      <c r="D83" s="21"/>
    </row>
    <row r="84" spans="2:4" ht="26.5" customHeight="1" x14ac:dyDescent="0.2">
      <c r="B84" s="29"/>
      <c r="C84" s="21"/>
      <c r="D84" s="21"/>
    </row>
    <row r="85" spans="2:4" ht="26.5" customHeight="1" x14ac:dyDescent="0.2">
      <c r="B85" s="29"/>
      <c r="C85" s="21"/>
      <c r="D85" s="21"/>
    </row>
    <row r="86" spans="2:4" ht="26.5" customHeight="1" x14ac:dyDescent="0.2">
      <c r="B86" s="29"/>
      <c r="C86" s="21"/>
      <c r="D86" s="21"/>
    </row>
    <row r="87" spans="2:4" ht="26.5" customHeight="1" x14ac:dyDescent="0.2">
      <c r="B87" s="29"/>
      <c r="C87" s="21"/>
      <c r="D87" s="21"/>
    </row>
    <row r="88" spans="2:4" ht="26.5" customHeight="1" x14ac:dyDescent="0.2">
      <c r="B88" s="29"/>
      <c r="C88" s="21"/>
      <c r="D88" s="21"/>
    </row>
    <row r="89" spans="2:4" ht="26.5" customHeight="1" x14ac:dyDescent="0.2">
      <c r="B89" s="29"/>
      <c r="C89" s="21"/>
      <c r="D89" s="21"/>
    </row>
    <row r="90" spans="2:4" ht="26.5" customHeight="1" x14ac:dyDescent="0.2">
      <c r="B90" s="29"/>
      <c r="C90" s="21"/>
      <c r="D90" s="21"/>
    </row>
    <row r="91" spans="2:4" ht="26.5" customHeight="1" x14ac:dyDescent="0.2">
      <c r="B91" s="29"/>
      <c r="C91" s="21"/>
      <c r="D91" s="21"/>
    </row>
    <row r="92" spans="2:4" ht="26.5" customHeight="1" x14ac:dyDescent="0.2">
      <c r="B92" s="29"/>
      <c r="C92" s="21"/>
      <c r="D92" s="21"/>
    </row>
    <row r="93" spans="2:4" ht="26.5" customHeight="1" x14ac:dyDescent="0.2">
      <c r="B93" s="29"/>
      <c r="C93" s="21"/>
      <c r="D93" s="21"/>
    </row>
    <row r="94" spans="2:4" ht="26.5" customHeight="1" x14ac:dyDescent="0.2">
      <c r="B94" s="29"/>
      <c r="C94" s="21"/>
      <c r="D94" s="21"/>
    </row>
    <row r="95" spans="2:4" ht="26.5" customHeight="1" x14ac:dyDescent="0.2">
      <c r="B95" s="29"/>
      <c r="C95" s="21"/>
      <c r="D95" s="21"/>
    </row>
    <row r="96" spans="2:4" ht="26.5" customHeight="1" x14ac:dyDescent="0.2">
      <c r="B96" s="29"/>
      <c r="C96" s="21"/>
      <c r="D96" s="21"/>
    </row>
    <row r="97" spans="2:4" ht="26.5" customHeight="1" x14ac:dyDescent="0.2">
      <c r="B97" s="29"/>
      <c r="C97" s="21"/>
      <c r="D97" s="21"/>
    </row>
    <row r="98" spans="2:4" ht="26.5" customHeight="1" x14ac:dyDescent="0.2">
      <c r="B98" s="29"/>
      <c r="C98" s="21"/>
      <c r="D98" s="21"/>
    </row>
    <row r="99" spans="2:4" ht="26.5" customHeight="1" x14ac:dyDescent="0.2">
      <c r="B99" s="29"/>
      <c r="C99" s="21"/>
      <c r="D99" s="21"/>
    </row>
    <row r="100" spans="2:4" ht="26.5" customHeight="1" x14ac:dyDescent="0.2">
      <c r="B100" s="29"/>
      <c r="C100" s="21"/>
      <c r="D100" s="21"/>
    </row>
    <row r="101" spans="2:4" ht="26.5" customHeight="1" x14ac:dyDescent="0.2">
      <c r="B101" s="29"/>
      <c r="C101" s="21"/>
      <c r="D101" s="21"/>
    </row>
    <row r="102" spans="2:4" ht="26.5" customHeight="1" x14ac:dyDescent="0.2">
      <c r="B102" s="30"/>
      <c r="C102" s="22"/>
      <c r="D102" s="22"/>
    </row>
    <row r="103" spans="2:4" s="14" customFormat="1" x14ac:dyDescent="0.2">
      <c r="B103" s="27"/>
      <c r="C103" s="26"/>
      <c r="D103" s="26"/>
    </row>
  </sheetData>
  <mergeCells count="1">
    <mergeCell ref="B2:D2"/>
  </mergeCells>
  <pageMargins left="0.7" right="0.7" top="0.75" bottom="0.75" header="0.3" footer="0.3"/>
  <pageSetup paperSize="9" scale="53"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AFD14-B796-42B6-8A21-44C1C1C456C3}">
  <sheetPr>
    <tabColor rgb="FFFF0000"/>
  </sheetPr>
  <dimension ref="B3:B20"/>
  <sheetViews>
    <sheetView workbookViewId="0">
      <selection activeCell="B23" sqref="B23"/>
    </sheetView>
  </sheetViews>
  <sheetFormatPr baseColWidth="10" defaultColWidth="8.7109375" defaultRowHeight="16" x14ac:dyDescent="0.2"/>
  <cols>
    <col min="2" max="2" width="27" customWidth="1"/>
    <col min="3" max="3" width="12.7109375" customWidth="1"/>
  </cols>
  <sheetData>
    <row r="3" spans="2:2" x14ac:dyDescent="0.2">
      <c r="B3" t="s">
        <v>35</v>
      </c>
    </row>
    <row r="4" spans="2:2" x14ac:dyDescent="0.2">
      <c r="B4" t="s">
        <v>484</v>
      </c>
    </row>
    <row r="5" spans="2:2" x14ac:dyDescent="0.2">
      <c r="B5" t="s">
        <v>41</v>
      </c>
    </row>
    <row r="6" spans="2:2" x14ac:dyDescent="0.2">
      <c r="B6" t="s">
        <v>443</v>
      </c>
    </row>
    <row r="7" spans="2:2" x14ac:dyDescent="0.2">
      <c r="B7" t="s">
        <v>132</v>
      </c>
    </row>
    <row r="8" spans="2:2" x14ac:dyDescent="0.2">
      <c r="B8" t="s">
        <v>109</v>
      </c>
    </row>
    <row r="9" spans="2:2" x14ac:dyDescent="0.2">
      <c r="B9" t="s">
        <v>280</v>
      </c>
    </row>
    <row r="10" spans="2:2" x14ac:dyDescent="0.2">
      <c r="B10" t="s">
        <v>448</v>
      </c>
    </row>
    <row r="11" spans="2:2" x14ac:dyDescent="0.2">
      <c r="B11" t="s">
        <v>399</v>
      </c>
    </row>
    <row r="12" spans="2:2" x14ac:dyDescent="0.2">
      <c r="B12" t="s">
        <v>1460</v>
      </c>
    </row>
    <row r="13" spans="2:2" x14ac:dyDescent="0.2">
      <c r="B13" t="s">
        <v>503</v>
      </c>
    </row>
    <row r="14" spans="2:2" x14ac:dyDescent="0.2">
      <c r="B14" t="s">
        <v>88</v>
      </c>
    </row>
    <row r="15" spans="2:2" x14ac:dyDescent="0.2">
      <c r="B15" t="s">
        <v>210</v>
      </c>
    </row>
    <row r="16" spans="2:2" x14ac:dyDescent="0.2">
      <c r="B16" t="s">
        <v>325</v>
      </c>
    </row>
    <row r="17" spans="2:2" x14ac:dyDescent="0.2">
      <c r="B17" t="s">
        <v>64</v>
      </c>
    </row>
    <row r="18" spans="2:2" x14ac:dyDescent="0.2">
      <c r="B18" t="s">
        <v>362</v>
      </c>
    </row>
    <row r="19" spans="2:2" x14ac:dyDescent="0.2">
      <c r="B19" t="s">
        <v>457</v>
      </c>
    </row>
    <row r="20" spans="2:2" x14ac:dyDescent="0.2">
      <c r="B20" t="s">
        <v>406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0F1DC-EB08-4DEB-906F-2362BEFCDB28}">
  <dimension ref="B5:B19"/>
  <sheetViews>
    <sheetView workbookViewId="0">
      <selection activeCell="B3" sqref="B3"/>
    </sheetView>
  </sheetViews>
  <sheetFormatPr baseColWidth="10" defaultColWidth="8.7109375" defaultRowHeight="16" x14ac:dyDescent="0.2"/>
  <cols>
    <col min="1" max="1" width="3" customWidth="1"/>
    <col min="2" max="2" width="56.28515625" bestFit="1" customWidth="1"/>
  </cols>
  <sheetData>
    <row r="5" spans="2:2" x14ac:dyDescent="0.2">
      <c r="B5" s="44" t="s">
        <v>1461</v>
      </c>
    </row>
    <row r="6" spans="2:2" x14ac:dyDescent="0.2">
      <c r="B6" s="44" t="s">
        <v>1462</v>
      </c>
    </row>
    <row r="7" spans="2:2" x14ac:dyDescent="0.2">
      <c r="B7" s="44" t="s">
        <v>1463</v>
      </c>
    </row>
    <row r="8" spans="2:2" x14ac:dyDescent="0.2">
      <c r="B8" s="44" t="s">
        <v>1464</v>
      </c>
    </row>
    <row r="9" spans="2:2" x14ac:dyDescent="0.2">
      <c r="B9" s="44" t="s">
        <v>1465</v>
      </c>
    </row>
    <row r="10" spans="2:2" x14ac:dyDescent="0.2">
      <c r="B10" s="44" t="s">
        <v>1466</v>
      </c>
    </row>
    <row r="11" spans="2:2" x14ac:dyDescent="0.2">
      <c r="B11" s="44" t="s">
        <v>1467</v>
      </c>
    </row>
    <row r="12" spans="2:2" x14ac:dyDescent="0.2">
      <c r="B12" s="44" t="s">
        <v>1468</v>
      </c>
    </row>
    <row r="13" spans="2:2" x14ac:dyDescent="0.2">
      <c r="B13" s="44" t="s">
        <v>1469</v>
      </c>
    </row>
    <row r="14" spans="2:2" x14ac:dyDescent="0.2">
      <c r="B14" s="44" t="s">
        <v>1470</v>
      </c>
    </row>
    <row r="15" spans="2:2" x14ac:dyDescent="0.2">
      <c r="B15" s="44" t="s">
        <v>1471</v>
      </c>
    </row>
    <row r="16" spans="2:2" x14ac:dyDescent="0.2">
      <c r="B16" s="44" t="s">
        <v>1472</v>
      </c>
    </row>
    <row r="17" spans="2:2" x14ac:dyDescent="0.2">
      <c r="B17" s="44" t="s">
        <v>1473</v>
      </c>
    </row>
    <row r="18" spans="2:2" x14ac:dyDescent="0.2">
      <c r="B18" s="44" t="s">
        <v>1474</v>
      </c>
    </row>
    <row r="19" spans="2:2" x14ac:dyDescent="0.2">
      <c r="B19" s="44" t="s">
        <v>1475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38ae39c-5010-4f29-8146-956ce781b083">
      <Terms xmlns="http://schemas.microsoft.com/office/infopath/2007/PartnerControls"/>
    </lcf76f155ced4ddcb4097134ff3c332f>
    <TaxCatchAll xmlns="28d59f71-9170-46b4-931a-5cbcb1fcbfcf" xsi:nil="true"/>
    <Notes xmlns="838ae39c-5010-4f29-8146-956ce781b08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659B486E6B28947BC3E4B73EB621F6B" ma:contentTypeVersion="15" ma:contentTypeDescription="Create a new document." ma:contentTypeScope="" ma:versionID="d46f5404b242b04204b39d04c6aed7f0">
  <xsd:schema xmlns:xsd="http://www.w3.org/2001/XMLSchema" xmlns:xs="http://www.w3.org/2001/XMLSchema" xmlns:p="http://schemas.microsoft.com/office/2006/metadata/properties" xmlns:ns2="28d59f71-9170-46b4-931a-5cbcb1fcbfcf" xmlns:ns3="838ae39c-5010-4f29-8146-956ce781b083" targetNamespace="http://schemas.microsoft.com/office/2006/metadata/properties" ma:root="true" ma:fieldsID="1bc24b71cb2679491e7d2f525b0641f1" ns2:_="" ns3:_="">
    <xsd:import namespace="28d59f71-9170-46b4-931a-5cbcb1fcbfcf"/>
    <xsd:import namespace="838ae39c-5010-4f29-8146-956ce781b08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Notes"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d59f71-9170-46b4-931a-5cbcb1fcbfcf"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37204578-a21f-4c43-94aa-bf9e016e583d}" ma:internalName="TaxCatchAll" ma:showField="CatchAllData" ma:web="28d59f71-9170-46b4-931a-5cbcb1fcbfc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38ae39c-5010-4f29-8146-956ce781b08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Notes" ma:index="18" nillable="true" ma:displayName="Notes" ma:format="Dropdown" ma:internalName="Notes">
      <xsd:simpleType>
        <xsd:union memberTypes="dms:Text">
          <xsd:simpleType>
            <xsd:restriction base="dms:Choice">
              <xsd:enumeration value="Working Draft"/>
              <xsd:enumeration value="Submitted NH"/>
            </xsd:restriction>
          </xsd:simpleType>
        </xsd:un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528a49c-346e-40f3-ab4c-d055d90fb151"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E9C5EEA-B414-4A0A-9E2F-F5445E2E0BEA}">
  <ds:schemaRefs>
    <ds:schemaRef ds:uri="http://purl.org/dc/terms/"/>
    <ds:schemaRef ds:uri="http://www.w3.org/XML/1998/namespace"/>
    <ds:schemaRef ds:uri="http://purl.org/dc/elements/1.1/"/>
    <ds:schemaRef ds:uri="http://schemas.openxmlformats.org/package/2006/metadata/core-properties"/>
    <ds:schemaRef ds:uri="http://schemas.microsoft.com/office/2006/metadata/properties"/>
    <ds:schemaRef ds:uri="http://schemas.microsoft.com/office/infopath/2007/PartnerControls"/>
    <ds:schemaRef ds:uri="http://schemas.microsoft.com/office/2006/documentManagement/types"/>
    <ds:schemaRef ds:uri="http://purl.org/dc/dcmitype/"/>
    <ds:schemaRef ds:uri="838ae39c-5010-4f29-8146-956ce781b083"/>
    <ds:schemaRef ds:uri="28d59f71-9170-46b4-931a-5cbcb1fcbfcf"/>
  </ds:schemaRefs>
</ds:datastoreItem>
</file>

<file path=customXml/itemProps2.xml><?xml version="1.0" encoding="utf-8"?>
<ds:datastoreItem xmlns:ds="http://schemas.openxmlformats.org/officeDocument/2006/customXml" ds:itemID="{6365EDAC-57E8-4917-8891-7E725CD69501}">
  <ds:schemaRefs>
    <ds:schemaRef ds:uri="http://schemas.microsoft.com/sharepoint/v3/contenttype/forms"/>
  </ds:schemaRefs>
</ds:datastoreItem>
</file>

<file path=customXml/itemProps3.xml><?xml version="1.0" encoding="utf-8"?>
<ds:datastoreItem xmlns:ds="http://schemas.openxmlformats.org/officeDocument/2006/customXml" ds:itemID="{883B16B4-F5D4-424A-91CB-3284BEFD48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d59f71-9170-46b4-931a-5cbcb1fcbfcf"/>
    <ds:schemaRef ds:uri="838ae39c-5010-4f29-8146-956ce781b0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Progress Categories</vt:lpstr>
      <vt:lpstr>Functionality Tracker</vt:lpstr>
      <vt:lpstr>Traceability Matrix</vt:lpstr>
      <vt:lpstr>O&amp;A </vt:lpstr>
      <vt:lpstr>Dropdowns</vt:lpstr>
      <vt:lpstr>Info</vt:lpstr>
      <vt:lpstr>'Functionality Tracker'!Print_Area</vt:lpstr>
      <vt:lpstr>'O&amp;A '!Print_Area</vt:lpstr>
      <vt:lpstr>'Progress Categories'!Print_Area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Abimbola Long</dc:creator>
  <cp:keywords/>
  <dc:description/>
  <cp:lastModifiedBy>Richard Casey</cp:lastModifiedBy>
  <cp:revision/>
  <dcterms:created xsi:type="dcterms:W3CDTF">2025-11-14T10:48:10Z</dcterms:created>
  <dcterms:modified xsi:type="dcterms:W3CDTF">2025-12-07T22:12:49Z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0x010100D659B486E6B28947BC3E4B73EB621F6B</vt:lpwstr>
  </property>
  <property fmtid="{D5CDD505-2E9C-101B-9397-08002B2CF9AE}" pid="3" name="MediaServiceImageTags">
    <vt:lpwstr/>
  </property>
</Properties>
</file>