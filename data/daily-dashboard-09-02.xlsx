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casey/Desktop/development-projects/plan-refactor/data/"/>
    </mc:Choice>
  </mc:AlternateContent>
  <xr:revisionPtr revIDLastSave="0" documentId="13_ncr:1_{43FA53DA-EB51-A548-BDF2-0C80B3382786}" xr6:coauthVersionLast="47" xr6:coauthVersionMax="47" xr10:uidLastSave="{00000000-0000-0000-0000-000000000000}"/>
  <bookViews>
    <workbookView xWindow="-21000" yWindow="-19640" windowWidth="31120" windowHeight="18960" xr2:uid="{42EFCEB5-1CB5-E345-86C1-B738076470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L11" i="1"/>
  <c r="O34" i="1"/>
  <c r="M34" i="1"/>
  <c r="L34" i="1"/>
  <c r="M11" i="1"/>
  <c r="L6" i="1" l="1"/>
  <c r="L7" i="1" s="1"/>
  <c r="O16" i="1"/>
  <c r="O17" i="1" s="1"/>
  <c r="O19" i="1"/>
  <c r="O18" i="1"/>
  <c r="L8" i="1"/>
  <c r="L9" i="1"/>
  <c r="L10" i="1"/>
</calcChain>
</file>

<file path=xl/sharedStrings.xml><?xml version="1.0" encoding="utf-8"?>
<sst xmlns="http://schemas.openxmlformats.org/spreadsheetml/2006/main" count="27" uniqueCount="25">
  <si>
    <t>9th February 2026</t>
  </si>
  <si>
    <t>Sprint Health</t>
  </si>
  <si>
    <t>Team</t>
  </si>
  <si>
    <t>RAG</t>
  </si>
  <si>
    <t>Stories Planned (SP_</t>
  </si>
  <si>
    <t>Stories Done (SP)</t>
  </si>
  <si>
    <t>TOTAL</t>
  </si>
  <si>
    <t>Number of  Bugs Done</t>
  </si>
  <si>
    <t>Unassigned</t>
  </si>
  <si>
    <t>Bugs Created Today</t>
  </si>
  <si>
    <t>Bugs Closed Today</t>
  </si>
  <si>
    <t>Total</t>
  </si>
  <si>
    <t xml:space="preserve">Sprint Story Points Planned </t>
  </si>
  <si>
    <t>Status</t>
  </si>
  <si>
    <t>SP Flow Into Status</t>
  </si>
  <si>
    <t>In Dev</t>
  </si>
  <si>
    <t>Ready for Review</t>
  </si>
  <si>
    <t>Ready for QA</t>
  </si>
  <si>
    <t>Ready for Release</t>
  </si>
  <si>
    <t>Target Flow</t>
  </si>
  <si>
    <t>(Note this is planned Stories only and does not include defects)</t>
  </si>
  <si>
    <t>Still Open</t>
  </si>
  <si>
    <t>Flow Metrics (Story Point count flowing into each status)</t>
  </si>
  <si>
    <t>Daily Velocity (Story Points planned vs done)</t>
  </si>
  <si>
    <t>Defects (Created today vs closed)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</si>
</sst>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0"/>
      <name val="Aptos Narrow"/>
      <scheme val="minor"/>
    </font>
    <font>
      <b/>
      <sz val="16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1" fillId="0" borderId="0" xfId="0" applyFont="1"/>
    <xf numFmtId="0" fontId="3" fillId="2" borderId="0" xfId="0" applyFont="1" applyFill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2" fillId="0" borderId="6" xfId="0" applyFont="1" applyBorder="1"/>
    <xf numFmtId="1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Border="1"/>
    <xf numFmtId="0" fontId="2" fillId="0" borderId="1" xfId="0" applyFont="1" applyBorder="1"/>
    <xf numFmtId="0" fontId="4" fillId="0" borderId="0" xfId="0" applyFont="1" applyAlignment="1">
      <alignment horizontal="right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76199</xdr:rowOff>
    </xdr:from>
    <xdr:to>
      <xdr:col>9</xdr:col>
      <xdr:colOff>584200</xdr:colOff>
      <xdr:row>24</xdr:row>
      <xdr:rowOff>40804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292290-B787-770A-4F74-C4B466224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612899"/>
          <a:ext cx="9448800" cy="37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393700</xdr:colOff>
      <xdr:row>23</xdr:row>
      <xdr:rowOff>215899</xdr:rowOff>
    </xdr:from>
    <xdr:to>
      <xdr:col>9</xdr:col>
      <xdr:colOff>571500</xdr:colOff>
      <xdr:row>38</xdr:row>
      <xdr:rowOff>143932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A8F295-E4A5-F3C6-DCF7-85CD2333D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700" y="5333999"/>
          <a:ext cx="9232900" cy="3077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68B5-2A71-4046-BD88-3981683323D7}">
  <dimension ref="A1:P34"/>
  <sheetViews>
    <sheetView tabSelected="1" workbookViewId="0">
      <selection activeCell="M38" sqref="M38"/>
    </sheetView>
  </sheetViews>
  <sheetFormatPr baseColWidth="10" defaultRowHeight="16" x14ac:dyDescent="0.2"/>
  <cols>
    <col min="1" max="1" width="32" customWidth="1"/>
    <col min="2" max="2" width="11" customWidth="1"/>
    <col min="12" max="12" width="18.33203125" customWidth="1"/>
    <col min="13" max="13" width="18.83203125" customWidth="1"/>
    <col min="14" max="14" width="2.83203125" customWidth="1"/>
    <col min="15" max="15" width="22" customWidth="1"/>
  </cols>
  <sheetData>
    <row r="1" spans="1:16" s="3" customFormat="1" ht="27" x14ac:dyDescent="0.35">
      <c r="A1" s="5" t="s">
        <v>0</v>
      </c>
    </row>
    <row r="2" spans="1:16" ht="17" thickBot="1" x14ac:dyDescent="0.25">
      <c r="A2" s="4"/>
    </row>
    <row r="3" spans="1:16" ht="23" thickBot="1" x14ac:dyDescent="0.35">
      <c r="A3" s="6" t="s">
        <v>1</v>
      </c>
      <c r="B3" s="7"/>
      <c r="C3" s="7"/>
      <c r="D3" s="7"/>
      <c r="E3" s="7"/>
      <c r="F3" s="7"/>
      <c r="G3" s="7"/>
      <c r="H3" s="7"/>
      <c r="I3" s="7"/>
      <c r="J3" s="8"/>
      <c r="K3" s="6" t="s">
        <v>23</v>
      </c>
      <c r="L3" s="7"/>
      <c r="M3" s="7"/>
      <c r="N3" s="7"/>
      <c r="O3" s="7"/>
      <c r="P3" s="8"/>
    </row>
    <row r="5" spans="1:16" ht="22" x14ac:dyDescent="0.3">
      <c r="A5" s="23" t="s">
        <v>12</v>
      </c>
      <c r="B5" s="24">
        <v>248</v>
      </c>
      <c r="C5" s="25" t="s">
        <v>20</v>
      </c>
      <c r="D5" s="25"/>
      <c r="E5" s="25"/>
      <c r="F5" s="25"/>
      <c r="G5" s="25"/>
      <c r="K5" s="11" t="s">
        <v>2</v>
      </c>
      <c r="L5" s="11" t="s">
        <v>4</v>
      </c>
      <c r="M5" s="11" t="s">
        <v>5</v>
      </c>
      <c r="N5" s="12"/>
      <c r="O5" s="11" t="s">
        <v>7</v>
      </c>
      <c r="P5" s="11" t="s">
        <v>3</v>
      </c>
    </row>
    <row r="6" spans="1:16" x14ac:dyDescent="0.2">
      <c r="K6" s="1">
        <v>1</v>
      </c>
      <c r="L6" s="14">
        <f>L11/5</f>
        <v>4.96</v>
      </c>
      <c r="M6" s="1">
        <v>4</v>
      </c>
      <c r="N6" s="9"/>
      <c r="O6" s="1">
        <v>0</v>
      </c>
      <c r="P6" s="10"/>
    </row>
    <row r="7" spans="1:16" x14ac:dyDescent="0.2">
      <c r="K7" s="1">
        <v>2</v>
      </c>
      <c r="L7" s="14">
        <f>L6</f>
        <v>4.96</v>
      </c>
      <c r="M7" s="1">
        <v>3</v>
      </c>
      <c r="N7" s="9"/>
      <c r="O7" s="1">
        <v>1</v>
      </c>
      <c r="P7" s="10"/>
    </row>
    <row r="8" spans="1:16" x14ac:dyDescent="0.2">
      <c r="K8" s="1">
        <v>3</v>
      </c>
      <c r="L8" s="14">
        <f>L6</f>
        <v>4.96</v>
      </c>
      <c r="M8" s="1">
        <v>0</v>
      </c>
      <c r="N8" s="9"/>
      <c r="O8" s="1">
        <v>0</v>
      </c>
      <c r="P8" s="10"/>
    </row>
    <row r="9" spans="1:16" x14ac:dyDescent="0.2">
      <c r="K9" s="1">
        <v>4</v>
      </c>
      <c r="L9" s="14">
        <f>L6</f>
        <v>4.96</v>
      </c>
      <c r="M9" s="1">
        <v>3</v>
      </c>
      <c r="N9" s="9"/>
      <c r="O9" s="1">
        <v>3</v>
      </c>
      <c r="P9" s="10"/>
    </row>
    <row r="10" spans="1:16" ht="17" thickBot="1" x14ac:dyDescent="0.25">
      <c r="K10" s="15">
        <v>5</v>
      </c>
      <c r="L10" s="16">
        <f>L6</f>
        <v>4.96</v>
      </c>
      <c r="M10" s="15">
        <v>2</v>
      </c>
      <c r="N10" s="9"/>
      <c r="O10" s="1">
        <v>0</v>
      </c>
      <c r="P10" s="10"/>
    </row>
    <row r="11" spans="1:16" ht="17" thickBot="1" x14ac:dyDescent="0.25">
      <c r="K11" s="17" t="s">
        <v>6</v>
      </c>
      <c r="L11" s="18">
        <f>B5/10</f>
        <v>24.8</v>
      </c>
      <c r="M11" s="19">
        <f>SUM(M6:M10)</f>
        <v>12</v>
      </c>
      <c r="O11" s="20">
        <f>SUM(O6:O10)</f>
        <v>4</v>
      </c>
      <c r="P11" s="10"/>
    </row>
    <row r="12" spans="1:16" ht="17" thickBot="1" x14ac:dyDescent="0.25"/>
    <row r="13" spans="1:16" ht="23" thickBot="1" x14ac:dyDescent="0.35">
      <c r="K13" s="6" t="s">
        <v>22</v>
      </c>
      <c r="L13" s="7"/>
      <c r="M13" s="7"/>
      <c r="N13" s="7"/>
      <c r="O13" s="7"/>
      <c r="P13" s="8"/>
    </row>
    <row r="15" spans="1:16" x14ac:dyDescent="0.2">
      <c r="L15" s="22" t="s">
        <v>13</v>
      </c>
      <c r="M15" s="22" t="s">
        <v>14</v>
      </c>
      <c r="N15" s="2"/>
      <c r="O15" s="11" t="s">
        <v>19</v>
      </c>
      <c r="P15" s="11" t="s">
        <v>3</v>
      </c>
    </row>
    <row r="16" spans="1:16" x14ac:dyDescent="0.2">
      <c r="L16" s="22" t="s">
        <v>15</v>
      </c>
      <c r="M16" s="1">
        <v>10</v>
      </c>
      <c r="N16" s="2"/>
      <c r="O16" s="14">
        <f>L11</f>
        <v>24.8</v>
      </c>
      <c r="P16" s="10"/>
    </row>
    <row r="17" spans="2:16" x14ac:dyDescent="0.2">
      <c r="L17" s="22" t="s">
        <v>16</v>
      </c>
      <c r="M17" s="1">
        <v>13</v>
      </c>
      <c r="N17" s="2"/>
      <c r="O17" s="14">
        <f>O16</f>
        <v>24.8</v>
      </c>
      <c r="P17" s="10"/>
    </row>
    <row r="18" spans="2:16" x14ac:dyDescent="0.2">
      <c r="L18" s="22" t="s">
        <v>17</v>
      </c>
      <c r="M18" s="1">
        <v>10</v>
      </c>
      <c r="N18" s="2"/>
      <c r="O18" s="14">
        <f>O16</f>
        <v>24.8</v>
      </c>
      <c r="P18" s="10"/>
    </row>
    <row r="19" spans="2:16" x14ac:dyDescent="0.2">
      <c r="L19" s="22" t="s">
        <v>18</v>
      </c>
      <c r="M19" s="1">
        <v>12</v>
      </c>
      <c r="N19" s="2"/>
      <c r="O19" s="14">
        <f>O16</f>
        <v>24.8</v>
      </c>
      <c r="P19" s="10"/>
    </row>
    <row r="24" spans="2:16" ht="17" thickBot="1" x14ac:dyDescent="0.25"/>
    <row r="25" spans="2:16" ht="23" thickBot="1" x14ac:dyDescent="0.35">
      <c r="K25" s="6" t="s">
        <v>24</v>
      </c>
      <c r="L25" s="7"/>
      <c r="M25" s="7"/>
      <c r="N25" s="7"/>
      <c r="O25" s="7"/>
      <c r="P25" s="8"/>
    </row>
    <row r="27" spans="2:16" x14ac:dyDescent="0.2">
      <c r="K27" s="11" t="s">
        <v>2</v>
      </c>
      <c r="L27" s="11" t="s">
        <v>9</v>
      </c>
      <c r="M27" s="11" t="s">
        <v>10</v>
      </c>
      <c r="N27" s="12"/>
      <c r="O27" s="11" t="s">
        <v>21</v>
      </c>
    </row>
    <row r="28" spans="2:16" x14ac:dyDescent="0.2">
      <c r="K28" s="1">
        <v>1</v>
      </c>
      <c r="L28" s="1">
        <v>0</v>
      </c>
      <c r="M28" s="1">
        <v>0</v>
      </c>
      <c r="N28" s="9"/>
      <c r="O28" s="1">
        <v>3</v>
      </c>
    </row>
    <row r="29" spans="2:16" x14ac:dyDescent="0.2">
      <c r="B29" s="21"/>
      <c r="C29" s="21"/>
      <c r="K29" s="1">
        <v>2</v>
      </c>
      <c r="L29" s="1">
        <v>0</v>
      </c>
      <c r="M29" s="1">
        <v>1</v>
      </c>
      <c r="N29" s="9"/>
      <c r="O29" s="1">
        <v>3</v>
      </c>
    </row>
    <row r="30" spans="2:16" x14ac:dyDescent="0.2">
      <c r="B30" s="21"/>
      <c r="C30" s="21"/>
      <c r="K30" s="1">
        <v>3</v>
      </c>
      <c r="L30" s="1">
        <v>0</v>
      </c>
      <c r="M30" s="1">
        <v>0</v>
      </c>
      <c r="N30" s="9"/>
      <c r="O30" s="1">
        <v>2</v>
      </c>
    </row>
    <row r="31" spans="2:16" x14ac:dyDescent="0.2">
      <c r="B31" s="21"/>
      <c r="C31" s="21"/>
      <c r="K31" s="1">
        <v>4</v>
      </c>
      <c r="L31" s="1">
        <v>0</v>
      </c>
      <c r="M31" s="1">
        <v>3</v>
      </c>
      <c r="N31" s="9"/>
      <c r="O31" s="1">
        <v>8</v>
      </c>
    </row>
    <row r="32" spans="2:16" x14ac:dyDescent="0.2">
      <c r="K32" s="1">
        <v>5</v>
      </c>
      <c r="L32" s="1">
        <v>0</v>
      </c>
      <c r="M32" s="1">
        <v>0</v>
      </c>
      <c r="N32" s="9"/>
      <c r="O32" s="1">
        <v>5</v>
      </c>
    </row>
    <row r="33" spans="11:15" x14ac:dyDescent="0.2">
      <c r="K33" s="1" t="s">
        <v>8</v>
      </c>
      <c r="L33" s="1"/>
      <c r="M33" s="1"/>
      <c r="N33" s="9"/>
      <c r="O33" s="13">
        <v>75</v>
      </c>
    </row>
    <row r="34" spans="11:15" x14ac:dyDescent="0.2">
      <c r="K34" s="1" t="s">
        <v>11</v>
      </c>
      <c r="L34" s="1">
        <f>SUM(L28:L33)</f>
        <v>0</v>
      </c>
      <c r="M34" s="1">
        <f>SUM(M28:M33)</f>
        <v>4</v>
      </c>
      <c r="N34" s="9"/>
      <c r="O34" s="13">
        <f>SUM(O28:O33)</f>
        <v>96</v>
      </c>
    </row>
  </sheetData>
  <mergeCells count="4">
    <mergeCell ref="A3:J3"/>
    <mergeCell ref="K3:P3"/>
    <mergeCell ref="K13:P13"/>
    <mergeCell ref="K25:P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Casey</dc:creator>
  <cp:lastModifiedBy>Richard Casey</cp:lastModifiedBy>
  <dcterms:created xsi:type="dcterms:W3CDTF">2026-02-09T14:29:20Z</dcterms:created>
  <dcterms:modified xsi:type="dcterms:W3CDTF">2026-02-09T19:31:11Z</dcterms:modified>
</cp:coreProperties>
</file>