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0" documentId="13_ncr:1_{95E3C18A-57BB-974A-BE96-2E45AF377F24}" xr6:coauthVersionLast="47" xr6:coauthVersionMax="47" xr10:uidLastSave="{00000000-0000-0000-0000-000000000000}"/>
  <bookViews>
    <workbookView xWindow="20300" yWindow="-20780" windowWidth="30240" windowHeight="18960" xr2:uid="{00000000-000D-0000-FFFF-FFFF00000000}"/>
  </bookViews>
  <sheets>
    <sheet name="Delivery Plan" sheetId="11" r:id="rId1"/>
    <sheet name="Sprint 29" sheetId="2" r:id="rId2"/>
    <sheet name="Sprint 30" sheetId="3" r:id="rId3"/>
    <sheet name="Sprint 31" sheetId="4" r:id="rId4"/>
    <sheet name="Sprint 32" sheetId="5" r:id="rId5"/>
    <sheet name="Sprint 33" sheetId="6" r:id="rId6"/>
    <sheet name="Sprint 34" sheetId="7" r:id="rId7"/>
    <sheet name="Sprint 35" sheetId="8" r:id="rId8"/>
    <sheet name="Sprint 36" sheetId="9" r:id="rId9"/>
    <sheet name="Sprint 37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11" l="1"/>
  <c r="K48" i="11"/>
  <c r="J48" i="11"/>
  <c r="I48" i="11"/>
  <c r="H48" i="11"/>
  <c r="G48" i="11"/>
  <c r="F48" i="11"/>
  <c r="E48" i="11"/>
  <c r="D48" i="11"/>
  <c r="M47" i="11"/>
  <c r="M46" i="11"/>
  <c r="B55" i="11" s="1"/>
  <c r="M45" i="11"/>
  <c r="B53" i="11" s="1"/>
  <c r="M44" i="11"/>
  <c r="M43" i="11"/>
  <c r="M42" i="11"/>
  <c r="B54" i="11" s="1"/>
  <c r="M41" i="11"/>
  <c r="M40" i="11"/>
  <c r="M39" i="11"/>
  <c r="M38" i="11"/>
  <c r="M37" i="11"/>
  <c r="M36" i="11"/>
  <c r="M35" i="11"/>
  <c r="M34" i="11"/>
  <c r="M33" i="11"/>
  <c r="M32" i="11"/>
  <c r="M31" i="11"/>
  <c r="M30" i="11"/>
  <c r="B52" i="11" s="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B51" i="11" s="1"/>
  <c r="E2" i="11"/>
  <c r="F2" i="11" s="1"/>
  <c r="G2" i="11" s="1"/>
  <c r="H2" i="11" s="1"/>
  <c r="I2" i="11" s="1"/>
  <c r="J2" i="11" s="1"/>
  <c r="K2" i="11" s="1"/>
  <c r="L2" i="11" s="1"/>
  <c r="O55" i="10"/>
  <c r="O58" i="10" s="1"/>
  <c r="N55" i="10"/>
  <c r="N58" i="10" s="1"/>
  <c r="M55" i="10"/>
  <c r="M58" i="10" s="1"/>
  <c r="L55" i="10"/>
  <c r="L58" i="10" s="1"/>
  <c r="K55" i="10"/>
  <c r="K58" i="10" s="1"/>
  <c r="J55" i="10"/>
  <c r="J58" i="10" s="1"/>
  <c r="I55" i="10"/>
  <c r="I58" i="10" s="1"/>
  <c r="H55" i="10"/>
  <c r="H58" i="10" s="1"/>
  <c r="G55" i="10"/>
  <c r="G58" i="10" s="1"/>
  <c r="F55" i="10"/>
  <c r="F58" i="10" s="1"/>
  <c r="E55" i="10"/>
  <c r="E58" i="10" s="1"/>
  <c r="D55" i="10"/>
  <c r="D58" i="10" s="1"/>
  <c r="C55" i="10"/>
  <c r="C58" i="10" s="1"/>
  <c r="B55" i="10"/>
  <c r="B58" i="10" s="1"/>
  <c r="O55" i="9"/>
  <c r="O58" i="9" s="1"/>
  <c r="N55" i="9"/>
  <c r="N58" i="9" s="1"/>
  <c r="M55" i="9"/>
  <c r="M58" i="9" s="1"/>
  <c r="L55" i="9"/>
  <c r="L58" i="9" s="1"/>
  <c r="K55" i="9"/>
  <c r="K58" i="9" s="1"/>
  <c r="J55" i="9"/>
  <c r="J58" i="9" s="1"/>
  <c r="I55" i="9"/>
  <c r="I58" i="9" s="1"/>
  <c r="H55" i="9"/>
  <c r="H58" i="9" s="1"/>
  <c r="G55" i="9"/>
  <c r="G58" i="9" s="1"/>
  <c r="F55" i="9"/>
  <c r="F58" i="9" s="1"/>
  <c r="E55" i="9"/>
  <c r="E58" i="9" s="1"/>
  <c r="D55" i="9"/>
  <c r="D58" i="9" s="1"/>
  <c r="C55" i="9"/>
  <c r="C58" i="9" s="1"/>
  <c r="B55" i="9"/>
  <c r="B58" i="9" s="1"/>
  <c r="O58" i="8"/>
  <c r="N58" i="8"/>
  <c r="M58" i="8"/>
  <c r="L58" i="8"/>
  <c r="K58" i="8"/>
  <c r="J58" i="8"/>
  <c r="I58" i="8"/>
  <c r="H58" i="8"/>
  <c r="G58" i="8"/>
  <c r="F58" i="8"/>
  <c r="E58" i="8"/>
  <c r="D58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C58" i="8" s="1"/>
  <c r="B55" i="8"/>
  <c r="B58" i="8" s="1"/>
  <c r="O58" i="7"/>
  <c r="N58" i="7"/>
  <c r="M58" i="7"/>
  <c r="L58" i="7"/>
  <c r="K58" i="7"/>
  <c r="J58" i="7"/>
  <c r="I58" i="7"/>
  <c r="O55" i="7"/>
  <c r="N55" i="7"/>
  <c r="M55" i="7"/>
  <c r="L55" i="7"/>
  <c r="K55" i="7"/>
  <c r="J55" i="7"/>
  <c r="I55" i="7"/>
  <c r="H55" i="7"/>
  <c r="H58" i="7" s="1"/>
  <c r="G55" i="7"/>
  <c r="G58" i="7" s="1"/>
  <c r="F55" i="7"/>
  <c r="F58" i="7" s="1"/>
  <c r="E55" i="7"/>
  <c r="E58" i="7" s="1"/>
  <c r="D55" i="7"/>
  <c r="D58" i="7" s="1"/>
  <c r="C55" i="7"/>
  <c r="C58" i="7" s="1"/>
  <c r="B55" i="7"/>
  <c r="B58" i="7" s="1"/>
  <c r="O55" i="6"/>
  <c r="O58" i="6" s="1"/>
  <c r="N55" i="6"/>
  <c r="N58" i="6" s="1"/>
  <c r="M55" i="6"/>
  <c r="M58" i="6" s="1"/>
  <c r="L55" i="6"/>
  <c r="L58" i="6" s="1"/>
  <c r="K55" i="6"/>
  <c r="K58" i="6" s="1"/>
  <c r="J55" i="6"/>
  <c r="J58" i="6" s="1"/>
  <c r="I55" i="6"/>
  <c r="I58" i="6" s="1"/>
  <c r="H55" i="6"/>
  <c r="H58" i="6" s="1"/>
  <c r="G55" i="6"/>
  <c r="G58" i="6" s="1"/>
  <c r="F55" i="6"/>
  <c r="F58" i="6" s="1"/>
  <c r="E55" i="6"/>
  <c r="E58" i="6" s="1"/>
  <c r="D55" i="6"/>
  <c r="D58" i="6" s="1"/>
  <c r="C55" i="6"/>
  <c r="C58" i="6" s="1"/>
  <c r="B55" i="6"/>
  <c r="B58" i="6" s="1"/>
  <c r="I58" i="5"/>
  <c r="H58" i="5"/>
  <c r="G58" i="5"/>
  <c r="F58" i="5"/>
  <c r="E58" i="5"/>
  <c r="D58" i="5"/>
  <c r="C58" i="5"/>
  <c r="B58" i="5"/>
  <c r="O55" i="5"/>
  <c r="O58" i="5" s="1"/>
  <c r="N55" i="5"/>
  <c r="N58" i="5" s="1"/>
  <c r="M55" i="5"/>
  <c r="M58" i="5" s="1"/>
  <c r="L55" i="5"/>
  <c r="L58" i="5" s="1"/>
  <c r="K55" i="5"/>
  <c r="K58" i="5" s="1"/>
  <c r="J55" i="5"/>
  <c r="J58" i="5" s="1"/>
  <c r="I55" i="5"/>
  <c r="H55" i="5"/>
  <c r="G55" i="5"/>
  <c r="F55" i="5"/>
  <c r="E55" i="5"/>
  <c r="D55" i="5"/>
  <c r="C55" i="5"/>
  <c r="B55" i="5"/>
  <c r="O55" i="4"/>
  <c r="O58" i="4" s="1"/>
  <c r="N55" i="4"/>
  <c r="N58" i="4" s="1"/>
  <c r="M55" i="4"/>
  <c r="M58" i="4" s="1"/>
  <c r="L55" i="4"/>
  <c r="L58" i="4" s="1"/>
  <c r="K55" i="4"/>
  <c r="K58" i="4" s="1"/>
  <c r="J55" i="4"/>
  <c r="J58" i="4" s="1"/>
  <c r="I55" i="4"/>
  <c r="I58" i="4" s="1"/>
  <c r="H55" i="4"/>
  <c r="H58" i="4" s="1"/>
  <c r="G55" i="4"/>
  <c r="G58" i="4" s="1"/>
  <c r="F55" i="4"/>
  <c r="F58" i="4" s="1"/>
  <c r="E55" i="4"/>
  <c r="E58" i="4" s="1"/>
  <c r="D55" i="4"/>
  <c r="D58" i="4" s="1"/>
  <c r="C55" i="4"/>
  <c r="C58" i="4" s="1"/>
  <c r="B55" i="4"/>
  <c r="B58" i="4" s="1"/>
  <c r="O55" i="3"/>
  <c r="O58" i="3" s="1"/>
  <c r="N55" i="3"/>
  <c r="N58" i="3" s="1"/>
  <c r="M55" i="3"/>
  <c r="M58" i="3" s="1"/>
  <c r="L55" i="3"/>
  <c r="L58" i="3" s="1"/>
  <c r="K55" i="3"/>
  <c r="K58" i="3" s="1"/>
  <c r="J55" i="3"/>
  <c r="J58" i="3" s="1"/>
  <c r="I55" i="3"/>
  <c r="I58" i="3" s="1"/>
  <c r="H55" i="3"/>
  <c r="H58" i="3" s="1"/>
  <c r="G55" i="3"/>
  <c r="G58" i="3" s="1"/>
  <c r="F55" i="3"/>
  <c r="F58" i="3" s="1"/>
  <c r="E55" i="3"/>
  <c r="E58" i="3" s="1"/>
  <c r="D55" i="3"/>
  <c r="D58" i="3" s="1"/>
  <c r="C55" i="3"/>
  <c r="C58" i="3" s="1"/>
  <c r="B55" i="3"/>
  <c r="B58" i="3" s="1"/>
  <c r="O55" i="2"/>
  <c r="O58" i="2" s="1"/>
  <c r="N55" i="2"/>
  <c r="N58" i="2" s="1"/>
  <c r="M55" i="2"/>
  <c r="M58" i="2" s="1"/>
  <c r="L55" i="2"/>
  <c r="L58" i="2" s="1"/>
  <c r="K55" i="2"/>
  <c r="K58" i="2" s="1"/>
  <c r="J55" i="2"/>
  <c r="J58" i="2" s="1"/>
  <c r="I55" i="2"/>
  <c r="I58" i="2" s="1"/>
  <c r="H55" i="2"/>
  <c r="H58" i="2" s="1"/>
  <c r="G55" i="2"/>
  <c r="G58" i="2" s="1"/>
  <c r="F55" i="2"/>
  <c r="F58" i="2" s="1"/>
  <c r="E55" i="2"/>
  <c r="E58" i="2" s="1"/>
  <c r="D55" i="2"/>
  <c r="D58" i="2" s="1"/>
  <c r="C55" i="2"/>
  <c r="C58" i="2" s="1"/>
  <c r="B55" i="2"/>
  <c r="B58" i="2" s="1"/>
</calcChain>
</file>

<file path=xl/sharedStrings.xml><?xml version="1.0" encoding="utf-8"?>
<sst xmlns="http://schemas.openxmlformats.org/spreadsheetml/2006/main" count="817" uniqueCount="225">
  <si>
    <t>Epic</t>
  </si>
  <si>
    <t xml:space="preserve"> </t>
  </si>
  <si>
    <t>Release</t>
  </si>
  <si>
    <t>Sprint 29</t>
  </si>
  <si>
    <t>Sprint 30</t>
  </si>
  <si>
    <t>Sprint 31</t>
  </si>
  <si>
    <t>Sprint 32</t>
  </si>
  <si>
    <t>Sprint 33</t>
  </si>
  <si>
    <t>Sprint 34</t>
  </si>
  <si>
    <t>Sprint 35</t>
  </si>
  <si>
    <t>Sprint 36</t>
  </si>
  <si>
    <t>Sprint 37</t>
  </si>
  <si>
    <t>TOTALS</t>
  </si>
  <si>
    <t>Dates</t>
  </si>
  <si>
    <t>Lead Team</t>
  </si>
  <si>
    <t>VER-6968 - Carbon Rate Application</t>
  </si>
  <si>
    <t>Team 1</t>
  </si>
  <si>
    <t>1D</t>
  </si>
  <si>
    <t>VER-7822 - Estimate Request Revised</t>
  </si>
  <si>
    <t>VER-8452 - Role Permissions for NH Reviewer and Approvals</t>
  </si>
  <si>
    <t>VER-9084 - Template Mapping Config</t>
  </si>
  <si>
    <t>VER-8473 - Implement Full Custom Fields (WBS)</t>
  </si>
  <si>
    <t>Team 2</t>
  </si>
  <si>
    <t>VER-6825 - Tagging and Dimensions (Admin)</t>
  </si>
  <si>
    <t>Team 3</t>
  </si>
  <si>
    <t>VER-8474 - Tagging and Dimensions (WBS)</t>
  </si>
  <si>
    <t>VER-8476 - Reporting Foundations (Admin)</t>
  </si>
  <si>
    <t>VER-7425 - Sub-Items Resource in Estimate</t>
  </si>
  <si>
    <t>Team 4</t>
  </si>
  <si>
    <t>VER-7504 - Template Library Browser</t>
  </si>
  <si>
    <t>VER-8767 - Template Library Admin Roles and Audit</t>
  </si>
  <si>
    <t>VER-8768 - Template Library CRUD Ops</t>
  </si>
  <si>
    <t>VER-8758 - Template Library Create Estimate from Templatee</t>
  </si>
  <si>
    <t>VER-8678 - Supply Chain - Forecast Browser</t>
  </si>
  <si>
    <t>VER-8680 - Supply Chain - Supplier data entry and submission</t>
  </si>
  <si>
    <t>VER-8681 - Supply Chain - Data Consolodation and Validation</t>
  </si>
  <si>
    <t>VER-8682 - Supply Chain - Submit Revision for NH Review</t>
  </si>
  <si>
    <t>VER-8858 - Supply Chain - Forecasting Admin Controls</t>
  </si>
  <si>
    <t>VER-7936 - Resource Library in WBS (FE Uplift)</t>
  </si>
  <si>
    <t>VER-8014 - Implement App-wide changes</t>
  </si>
  <si>
    <t>Team 5</t>
  </si>
  <si>
    <t>VER-8168 - Advanced Quote Numbering</t>
  </si>
  <si>
    <t>VER-8679 - Supply Chain - Manage Revision</t>
  </si>
  <si>
    <t>VER-8921 - Supply Chain - Forecast initiation and distribution</t>
  </si>
  <si>
    <t>VER-8999 - Standardisation API contract</t>
  </si>
  <si>
    <t>VER-8953 - Estimate and Control Element Comparator</t>
  </si>
  <si>
    <t>2A</t>
  </si>
  <si>
    <t>VER-8954 - Carbon Export</t>
  </si>
  <si>
    <t>VER-8570 - Inflation - Library Setup and WBS</t>
  </si>
  <si>
    <t>VER-8903 - Inflation Rebasing and Future Inflation</t>
  </si>
  <si>
    <t>VER-8565 - LTA Estimate Shell and Template</t>
  </si>
  <si>
    <t>VER-8966 - Estimate Export - Expediture Profile - O&amp;M</t>
  </si>
  <si>
    <t>VER-7815 - Estimate Export - Expenditure Profile - AR</t>
  </si>
  <si>
    <t>VER-8955 - Audit Log and Traceability</t>
  </si>
  <si>
    <t>VER-7878 - O&amp;M fixed reports</t>
  </si>
  <si>
    <t>VER-7879 - Asset Renewals Fixed Reports</t>
  </si>
  <si>
    <t>VER-8916 - WBS Filtering Tags and Custom Fields</t>
  </si>
  <si>
    <t>VER-9028 - Workflow (email/notifications)</t>
  </si>
  <si>
    <t>VER-9049 - Supply Chain - R2A Scope</t>
  </si>
  <si>
    <t>VER-8959 - EPD</t>
  </si>
  <si>
    <t>VER-8958 - Scenario Analysis</t>
  </si>
  <si>
    <t>VER-TBC - Tech Debt</t>
  </si>
  <si>
    <t>STABLISATION</t>
  </si>
  <si>
    <t>STABILIZE</t>
  </si>
  <si>
    <t>BUGS</t>
  </si>
  <si>
    <t>CONTINGENCY</t>
  </si>
  <si>
    <t>CONTING</t>
  </si>
  <si>
    <t>TOTAL Story Points Per Sprint</t>
  </si>
  <si>
    <t>XMAS Week</t>
  </si>
  <si>
    <t>R1D Total SP</t>
  </si>
  <si>
    <t>R2A Total SP</t>
  </si>
  <si>
    <t>Bugs Total</t>
  </si>
  <si>
    <t>Tech Debt Total</t>
  </si>
  <si>
    <t>Contingency Total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</si>
  <si>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</si>
  <si>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</si>
  <si>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</si>
  <si>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</si>
  <si>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</si>
  <si>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</si>
  <si>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</si>
  <si>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</si>
  <si>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</si>
  <si>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</si>
  <si>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</si>
  <si>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</si>
  <si>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</si>
  <si>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</si>
  <si>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Story Points Committed</t>
  </si>
  <si>
    <t>Story Points Delivered</t>
  </si>
  <si>
    <t>Story Points Remaining</t>
  </si>
  <si>
    <t>Day</t>
  </si>
  <si>
    <t>Points Remaining</t>
  </si>
  <si>
    <t>To create burndown chart for Sprint 29:</t>
  </si>
  <si>
    <t>1. Select the Day and Points Remaining data above</t>
  </si>
  <si>
    <t>2. Insert &gt; Chart &gt; Line Chart</t>
  </si>
  <si>
    <t>3. Set chart title to "Burndown for Sprint 29"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</si>
  <si>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</si>
  <si>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</si>
  <si>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</si>
  <si>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</si>
  <si>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</si>
  <si>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</si>
  <si>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</si>
  <si>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</si>
  <si>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</si>
  <si>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</si>
  <si>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</si>
  <si>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</si>
  <si>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</si>
  <si>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</si>
  <si>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To create burndown chart for Sprint 30:</t>
  </si>
  <si>
    <t>3. Set chart title to "Burndown for Sprint 30"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</si>
  <si>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</si>
  <si>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</si>
  <si>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</si>
  <si>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</si>
  <si>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</si>
  <si>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</si>
  <si>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</si>
  <si>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</si>
  <si>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</si>
  <si>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</si>
  <si>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</si>
  <si>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</si>
  <si>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</si>
  <si>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</si>
  <si>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To create burndown chart for Sprint 31:</t>
  </si>
  <si>
    <t>3. Set chart title to "Burndown for Sprint 31"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</si>
  <si>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</si>
  <si>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</si>
  <si>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</si>
  <si>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</si>
  <si>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</si>
  <si>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</si>
  <si>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</si>
  <si>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</si>
  <si>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</si>
  <si>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</si>
  <si>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</si>
  <si>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</si>
  <si>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</si>
  <si>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</si>
  <si>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To create burndown chart for Sprint 32:</t>
  </si>
  <si>
    <t>3. Set chart title to "Burndown for Sprint 32"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</si>
  <si>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</si>
  <si>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</si>
  <si>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</si>
  <si>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</si>
  <si>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</si>
  <si>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</si>
  <si>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</si>
  <si>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</si>
  <si>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</si>
  <si>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</si>
  <si>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</si>
  <si>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</si>
  <si>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</si>
  <si>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</si>
  <si>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To create burndown chart for Sprint 33:</t>
  </si>
  <si>
    <t>3. Set chart title to "Burndown for Sprint 33"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</si>
  <si>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</si>
  <si>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</si>
  <si>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</si>
  <si>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</si>
  <si>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</si>
  <si>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</si>
  <si>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</si>
  <si>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</si>
  <si>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</si>
  <si>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</si>
  <si>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</si>
  <si>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</si>
  <si>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</si>
  <si>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</si>
  <si>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To create burndown chart for Sprint 34:</t>
  </si>
  <si>
    <t>3. Set chart title to "Burndown for Sprint 34"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</si>
  <si>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</si>
  <si>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</si>
  <si>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</si>
  <si>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</si>
  <si>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</si>
  <si>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</si>
  <si>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</si>
  <si>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</si>
  <si>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</si>
  <si>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</si>
  <si>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</si>
  <si>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</si>
  <si>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</si>
  <si>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</si>
  <si>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To create burndown chart for Sprint 35:</t>
  </si>
  <si>
    <t>3. Set chart title to "Burndown for Sprint 35"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</si>
  <si>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</si>
  <si>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</si>
  <si>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</si>
  <si>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</si>
  <si>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</si>
  <si>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</si>
  <si>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</si>
  <si>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</si>
  <si>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</si>
  <si>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</si>
  <si>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</si>
  <si>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</si>
  <si>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</si>
  <si>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</si>
  <si>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To create burndown chart for Sprint 36:</t>
  </si>
  <si>
    <t>3. Set chart title to "Burndown for Sprint 36"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</si>
  <si>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</si>
  <si>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</si>
  <si>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</si>
  <si>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</si>
  <si>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</si>
  <si>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</si>
  <si>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</si>
  <si>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</si>
  <si>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</si>
  <si>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</si>
  <si>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</si>
  <si>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</si>
  <si>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</si>
  <si>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</si>
  <si>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To create burndown chart for Sprint 37:</t>
  </si>
  <si>
    <t>3. Set chart title to "Burndown for Sprint 37"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</si>
</sst>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FFC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0" borderId="0" xfId="0" applyFont="1"/>
    <xf numFmtId="0" fontId="2" fillId="5" borderId="0" xfId="0" applyFont="1" applyFill="1"/>
    <xf numFmtId="0" fontId="3" fillId="0" borderId="0" xfId="0" applyFont="1"/>
    <xf numFmtId="0" fontId="2" fillId="3" borderId="1" xfId="0" applyFont="1" applyFill="1" applyBorder="1"/>
    <xf numFmtId="0" fontId="2" fillId="4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5" borderId="1" xfId="0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" fontId="4" fillId="0" borderId="1" xfId="0" applyNumberFormat="1" applyFont="1" applyBorder="1" applyAlignment="1">
      <alignment horizontal="center"/>
    </xf>
    <xf numFmtId="16" fontId="4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D216-2C2F-0B4E-B197-7B2AEA00D32A}">
  <dimension ref="A1:M55"/>
  <sheetViews>
    <sheetView tabSelected="1" workbookViewId="0">
      <selection activeCell="A33" sqref="A33"/>
    </sheetView>
  </sheetViews>
  <sheetFormatPr baseColWidth="10" defaultRowHeight="15" x14ac:dyDescent="0.2"/>
  <cols>
    <col min="1" max="1" width="57.6640625" customWidth="1"/>
    <col min="2" max="2" width="14.83203125" style="23" customWidth="1"/>
    <col min="3" max="3" width="9.6640625" style="23" customWidth="1"/>
    <col min="4" max="4" width="11" style="23" customWidth="1"/>
    <col min="5" max="12" width="10.83203125" style="23"/>
  </cols>
  <sheetData>
    <row r="1" spans="1:13" ht="16" x14ac:dyDescent="0.2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</row>
    <row r="2" spans="1:13" ht="16" x14ac:dyDescent="0.2">
      <c r="A2" s="15" t="s">
        <v>13</v>
      </c>
      <c r="B2" s="14" t="s">
        <v>14</v>
      </c>
      <c r="C2" s="14"/>
      <c r="D2" s="16">
        <v>45957</v>
      </c>
      <c r="E2" s="16">
        <f t="shared" ref="E2:L2" si="0">D2+14</f>
        <v>45971</v>
      </c>
      <c r="F2" s="16">
        <f t="shared" si="0"/>
        <v>45985</v>
      </c>
      <c r="G2" s="16">
        <f t="shared" si="0"/>
        <v>45999</v>
      </c>
      <c r="H2" s="16">
        <f t="shared" si="0"/>
        <v>46013</v>
      </c>
      <c r="I2" s="16">
        <f t="shared" si="0"/>
        <v>46027</v>
      </c>
      <c r="J2" s="16">
        <f t="shared" si="0"/>
        <v>46041</v>
      </c>
      <c r="K2" s="16">
        <f t="shared" si="0"/>
        <v>46055</v>
      </c>
      <c r="L2" s="17">
        <f t="shared" si="0"/>
        <v>46069</v>
      </c>
      <c r="M2" s="18"/>
    </row>
    <row r="3" spans="1:13" x14ac:dyDescent="0.2">
      <c r="A3" s="9" t="s">
        <v>15</v>
      </c>
      <c r="B3" s="18" t="s">
        <v>16</v>
      </c>
      <c r="C3" s="18" t="s">
        <v>17</v>
      </c>
      <c r="D3" s="18">
        <v>10</v>
      </c>
      <c r="E3" s="18">
        <v>11</v>
      </c>
      <c r="F3" s="18">
        <v>20</v>
      </c>
      <c r="G3" s="18"/>
      <c r="H3" s="18"/>
      <c r="I3" s="18"/>
      <c r="J3" s="18"/>
      <c r="K3" s="18"/>
      <c r="L3" s="19"/>
      <c r="M3" s="18">
        <f>SUM(E3:L3)</f>
        <v>31</v>
      </c>
    </row>
    <row r="4" spans="1:13" x14ac:dyDescent="0.2">
      <c r="A4" s="9" t="s">
        <v>18</v>
      </c>
      <c r="B4" s="18" t="s">
        <v>16</v>
      </c>
      <c r="C4" s="18" t="s">
        <v>17</v>
      </c>
      <c r="D4" s="18"/>
      <c r="E4" s="18">
        <v>5</v>
      </c>
      <c r="F4" s="18"/>
      <c r="G4" s="18"/>
      <c r="H4" s="18"/>
      <c r="I4" s="18"/>
      <c r="J4" s="18"/>
      <c r="K4" s="18"/>
      <c r="L4" s="19"/>
      <c r="M4" s="18">
        <f t="shared" ref="M4:M47" si="1">SUM(E4:L4)</f>
        <v>5</v>
      </c>
    </row>
    <row r="5" spans="1:13" ht="16" x14ac:dyDescent="0.2">
      <c r="A5" s="20" t="s">
        <v>19</v>
      </c>
      <c r="B5" s="18" t="s">
        <v>16</v>
      </c>
      <c r="C5" s="18" t="s">
        <v>17</v>
      </c>
      <c r="D5" s="18"/>
      <c r="E5" s="18" t="s">
        <v>1</v>
      </c>
      <c r="F5" s="21">
        <v>10</v>
      </c>
      <c r="G5" s="21">
        <v>10</v>
      </c>
      <c r="H5" s="18"/>
      <c r="I5" s="18"/>
      <c r="J5" s="18"/>
      <c r="K5" s="18"/>
      <c r="L5" s="19"/>
      <c r="M5" s="18">
        <f t="shared" si="1"/>
        <v>20</v>
      </c>
    </row>
    <row r="6" spans="1:13" ht="16" x14ac:dyDescent="0.2">
      <c r="A6" s="20" t="s">
        <v>20</v>
      </c>
      <c r="B6" s="18" t="s">
        <v>16</v>
      </c>
      <c r="C6" s="18" t="s">
        <v>17</v>
      </c>
      <c r="D6" s="18"/>
      <c r="E6" s="18"/>
      <c r="F6" s="21"/>
      <c r="G6" s="21">
        <v>20</v>
      </c>
      <c r="H6" s="18"/>
      <c r="I6" s="18"/>
      <c r="J6" s="18"/>
      <c r="K6" s="18"/>
      <c r="L6" s="19"/>
      <c r="M6" s="18">
        <f t="shared" si="1"/>
        <v>20</v>
      </c>
    </row>
    <row r="7" spans="1:13" x14ac:dyDescent="0.2">
      <c r="A7" s="9" t="s">
        <v>21</v>
      </c>
      <c r="B7" s="18" t="s">
        <v>22</v>
      </c>
      <c r="C7" s="18" t="s">
        <v>17</v>
      </c>
      <c r="D7" s="18"/>
      <c r="E7" s="18">
        <v>13</v>
      </c>
      <c r="F7" s="18">
        <v>20</v>
      </c>
      <c r="G7" s="18">
        <v>20</v>
      </c>
      <c r="H7" s="18">
        <v>20</v>
      </c>
      <c r="I7" s="18"/>
      <c r="J7" s="18"/>
      <c r="K7" s="18"/>
      <c r="L7" s="19"/>
      <c r="M7" s="18">
        <f t="shared" si="1"/>
        <v>73</v>
      </c>
    </row>
    <row r="8" spans="1:13" x14ac:dyDescent="0.2">
      <c r="A8" s="9" t="s">
        <v>23</v>
      </c>
      <c r="B8" s="18" t="s">
        <v>24</v>
      </c>
      <c r="C8" s="18" t="s">
        <v>17</v>
      </c>
      <c r="D8" s="18"/>
      <c r="E8" s="18">
        <v>0</v>
      </c>
      <c r="F8" s="18">
        <v>10</v>
      </c>
      <c r="G8" s="18"/>
      <c r="H8" s="18"/>
      <c r="I8" s="18"/>
      <c r="J8" s="18"/>
      <c r="K8" s="18"/>
      <c r="L8" s="19"/>
      <c r="M8" s="18">
        <f t="shared" si="1"/>
        <v>10</v>
      </c>
    </row>
    <row r="9" spans="1:13" x14ac:dyDescent="0.2">
      <c r="A9" s="9" t="s">
        <v>25</v>
      </c>
      <c r="B9" s="18" t="s">
        <v>24</v>
      </c>
      <c r="C9" s="18" t="s">
        <v>17</v>
      </c>
      <c r="D9" s="18"/>
      <c r="E9" s="18">
        <v>20</v>
      </c>
      <c r="F9" s="18">
        <v>20</v>
      </c>
      <c r="G9" s="18">
        <v>20</v>
      </c>
      <c r="H9" s="18"/>
      <c r="I9" s="18"/>
      <c r="J9" s="18"/>
      <c r="K9" s="18"/>
      <c r="L9" s="19"/>
      <c r="M9" s="18">
        <f t="shared" si="1"/>
        <v>60</v>
      </c>
    </row>
    <row r="10" spans="1:13" x14ac:dyDescent="0.2">
      <c r="A10" s="9" t="s">
        <v>26</v>
      </c>
      <c r="B10" s="18" t="s">
        <v>24</v>
      </c>
      <c r="C10" s="18" t="s">
        <v>17</v>
      </c>
      <c r="D10" s="18">
        <v>10</v>
      </c>
      <c r="E10" s="18">
        <v>10</v>
      </c>
      <c r="F10" s="18">
        <v>20</v>
      </c>
      <c r="G10" s="18" t="s">
        <v>1</v>
      </c>
      <c r="H10" s="18"/>
      <c r="I10" s="18"/>
      <c r="J10" s="18"/>
      <c r="K10" s="18"/>
      <c r="L10" s="19"/>
      <c r="M10" s="18">
        <f t="shared" si="1"/>
        <v>30</v>
      </c>
    </row>
    <row r="11" spans="1:13" x14ac:dyDescent="0.2">
      <c r="A11" s="9" t="s">
        <v>27</v>
      </c>
      <c r="B11" s="18" t="s">
        <v>28</v>
      </c>
      <c r="C11" s="18" t="s">
        <v>17</v>
      </c>
      <c r="D11" s="18"/>
      <c r="E11" s="18">
        <v>2</v>
      </c>
      <c r="F11" s="18"/>
      <c r="G11" s="18"/>
      <c r="H11" s="18"/>
      <c r="I11" s="18"/>
      <c r="J11" s="18"/>
      <c r="K11" s="18"/>
      <c r="L11" s="19"/>
      <c r="M11" s="18">
        <f t="shared" si="1"/>
        <v>2</v>
      </c>
    </row>
    <row r="12" spans="1:13" x14ac:dyDescent="0.2">
      <c r="A12" s="9" t="s">
        <v>29</v>
      </c>
      <c r="B12" s="18" t="s">
        <v>28</v>
      </c>
      <c r="C12" s="18" t="s">
        <v>17</v>
      </c>
      <c r="D12" s="18"/>
      <c r="E12" s="18">
        <v>2</v>
      </c>
      <c r="F12" s="18"/>
      <c r="G12" s="18"/>
      <c r="H12" s="18"/>
      <c r="I12" s="18"/>
      <c r="J12" s="18"/>
      <c r="K12" s="18"/>
      <c r="L12" s="19"/>
      <c r="M12" s="18">
        <f t="shared" si="1"/>
        <v>2</v>
      </c>
    </row>
    <row r="13" spans="1:13" x14ac:dyDescent="0.2">
      <c r="A13" s="9" t="s">
        <v>30</v>
      </c>
      <c r="B13" s="18" t="s">
        <v>28</v>
      </c>
      <c r="C13" s="18" t="s">
        <v>17</v>
      </c>
      <c r="D13" s="18"/>
      <c r="E13" s="18">
        <v>16</v>
      </c>
      <c r="F13" s="18"/>
      <c r="G13" s="18"/>
      <c r="H13" s="18"/>
      <c r="I13" s="18"/>
      <c r="J13" s="18"/>
      <c r="K13" s="18"/>
      <c r="L13" s="19"/>
      <c r="M13" s="18">
        <f t="shared" si="1"/>
        <v>16</v>
      </c>
    </row>
    <row r="14" spans="1:13" x14ac:dyDescent="0.2">
      <c r="A14" s="9" t="s">
        <v>31</v>
      </c>
      <c r="B14" s="18" t="s">
        <v>28</v>
      </c>
      <c r="C14" s="18" t="s">
        <v>17</v>
      </c>
      <c r="D14" s="18"/>
      <c r="E14" s="18">
        <v>11</v>
      </c>
      <c r="F14" s="18"/>
      <c r="G14" s="18"/>
      <c r="H14" s="18"/>
      <c r="I14" s="18"/>
      <c r="J14" s="18"/>
      <c r="K14" s="18"/>
      <c r="L14" s="19"/>
      <c r="M14" s="18">
        <f t="shared" si="1"/>
        <v>11</v>
      </c>
    </row>
    <row r="15" spans="1:13" x14ac:dyDescent="0.2">
      <c r="A15" s="9" t="s">
        <v>32</v>
      </c>
      <c r="B15" s="18" t="s">
        <v>28</v>
      </c>
      <c r="C15" s="18" t="s">
        <v>17</v>
      </c>
      <c r="D15" s="18"/>
      <c r="E15" s="18">
        <v>20</v>
      </c>
      <c r="F15" s="18">
        <v>20</v>
      </c>
      <c r="G15" s="18"/>
      <c r="H15" s="18"/>
      <c r="I15" s="18"/>
      <c r="J15" s="18"/>
      <c r="K15" s="18"/>
      <c r="L15" s="19"/>
      <c r="M15" s="18">
        <f t="shared" si="1"/>
        <v>40</v>
      </c>
    </row>
    <row r="16" spans="1:13" x14ac:dyDescent="0.2">
      <c r="A16" s="9" t="s">
        <v>33</v>
      </c>
      <c r="B16" s="18" t="s">
        <v>28</v>
      </c>
      <c r="C16" s="18" t="s">
        <v>17</v>
      </c>
      <c r="D16" s="18"/>
      <c r="E16" s="18"/>
      <c r="F16" s="18"/>
      <c r="G16" s="18">
        <v>6</v>
      </c>
      <c r="H16" s="18"/>
      <c r="I16" s="18"/>
      <c r="J16" s="18"/>
      <c r="K16" s="18"/>
      <c r="L16" s="19"/>
      <c r="M16" s="18">
        <f t="shared" si="1"/>
        <v>6</v>
      </c>
    </row>
    <row r="17" spans="1:13" x14ac:dyDescent="0.2">
      <c r="A17" s="9" t="s">
        <v>34</v>
      </c>
      <c r="B17" s="18" t="s">
        <v>28</v>
      </c>
      <c r="C17" s="18" t="s">
        <v>17</v>
      </c>
      <c r="D17" s="18"/>
      <c r="E17" s="18"/>
      <c r="F17" s="18"/>
      <c r="G17" s="18">
        <v>20</v>
      </c>
      <c r="H17" s="18">
        <v>20</v>
      </c>
      <c r="I17" s="18"/>
      <c r="J17" s="18"/>
      <c r="K17" s="18"/>
      <c r="L17" s="19"/>
      <c r="M17" s="18">
        <f t="shared" si="1"/>
        <v>40</v>
      </c>
    </row>
    <row r="18" spans="1:13" x14ac:dyDescent="0.2">
      <c r="A18" s="9" t="s">
        <v>35</v>
      </c>
      <c r="B18" s="18" t="s">
        <v>28</v>
      </c>
      <c r="C18" s="18" t="s">
        <v>17</v>
      </c>
      <c r="D18" s="18"/>
      <c r="E18" s="18"/>
      <c r="F18" s="18"/>
      <c r="G18" s="18"/>
      <c r="H18" s="18">
        <v>10</v>
      </c>
      <c r="I18" s="18">
        <v>10</v>
      </c>
      <c r="J18" s="18"/>
      <c r="K18" s="18"/>
      <c r="L18" s="19"/>
      <c r="M18" s="18">
        <f t="shared" si="1"/>
        <v>20</v>
      </c>
    </row>
    <row r="19" spans="1:13" x14ac:dyDescent="0.2">
      <c r="A19" s="9" t="s">
        <v>36</v>
      </c>
      <c r="B19" s="18" t="s">
        <v>28</v>
      </c>
      <c r="C19" s="18" t="s">
        <v>17</v>
      </c>
      <c r="D19" s="18"/>
      <c r="E19" s="18"/>
      <c r="F19" s="18"/>
      <c r="G19" s="18"/>
      <c r="H19" s="18"/>
      <c r="I19" s="18">
        <v>20</v>
      </c>
      <c r="J19" s="18"/>
      <c r="K19" s="18"/>
      <c r="L19" s="19"/>
      <c r="M19" s="18">
        <f t="shared" si="1"/>
        <v>20</v>
      </c>
    </row>
    <row r="20" spans="1:13" x14ac:dyDescent="0.2">
      <c r="A20" s="9" t="s">
        <v>37</v>
      </c>
      <c r="B20" s="18" t="s">
        <v>28</v>
      </c>
      <c r="C20" s="18" t="s">
        <v>17</v>
      </c>
      <c r="D20" s="18"/>
      <c r="E20" s="18"/>
      <c r="F20" s="18">
        <v>11</v>
      </c>
      <c r="G20" s="18"/>
      <c r="H20" s="18"/>
      <c r="I20" s="18"/>
      <c r="J20" s="18"/>
      <c r="K20" s="18"/>
      <c r="L20" s="19"/>
      <c r="M20" s="18">
        <f t="shared" si="1"/>
        <v>11</v>
      </c>
    </row>
    <row r="21" spans="1:13" x14ac:dyDescent="0.2">
      <c r="A21" s="9" t="s">
        <v>38</v>
      </c>
      <c r="B21" s="18" t="s">
        <v>28</v>
      </c>
      <c r="C21" s="18" t="s">
        <v>17</v>
      </c>
      <c r="D21" s="18"/>
      <c r="E21" s="18">
        <v>10</v>
      </c>
      <c r="F21" s="18"/>
      <c r="G21" s="18"/>
      <c r="H21" s="18"/>
      <c r="I21" s="18"/>
      <c r="J21" s="18"/>
      <c r="K21" s="18"/>
      <c r="L21" s="19"/>
      <c r="M21" s="18">
        <f t="shared" si="1"/>
        <v>10</v>
      </c>
    </row>
    <row r="22" spans="1:13" x14ac:dyDescent="0.2">
      <c r="A22" s="9" t="s">
        <v>39</v>
      </c>
      <c r="B22" s="18" t="s">
        <v>40</v>
      </c>
      <c r="C22" s="18" t="s">
        <v>17</v>
      </c>
      <c r="D22" s="18"/>
      <c r="E22" s="18">
        <v>10</v>
      </c>
      <c r="F22" s="18"/>
      <c r="G22" s="18"/>
      <c r="H22" s="18"/>
      <c r="I22" s="18"/>
      <c r="J22" s="18"/>
      <c r="K22" s="18"/>
      <c r="L22" s="19"/>
      <c r="M22" s="18">
        <f t="shared" si="1"/>
        <v>10</v>
      </c>
    </row>
    <row r="23" spans="1:13" x14ac:dyDescent="0.2">
      <c r="A23" s="9" t="s">
        <v>41</v>
      </c>
      <c r="B23" s="18" t="s">
        <v>28</v>
      </c>
      <c r="C23" s="18" t="s">
        <v>17</v>
      </c>
      <c r="D23" s="18"/>
      <c r="E23" s="18">
        <v>3</v>
      </c>
      <c r="F23" s="18"/>
      <c r="G23" s="18"/>
      <c r="H23" s="18"/>
      <c r="I23" s="18"/>
      <c r="J23" s="18"/>
      <c r="K23" s="18"/>
      <c r="L23" s="19"/>
      <c r="M23" s="18">
        <f t="shared" si="1"/>
        <v>3</v>
      </c>
    </row>
    <row r="24" spans="1:13" x14ac:dyDescent="0.2">
      <c r="A24" s="9" t="s">
        <v>42</v>
      </c>
      <c r="B24" s="18" t="s">
        <v>28</v>
      </c>
      <c r="C24" s="18" t="s">
        <v>17</v>
      </c>
      <c r="D24" s="18"/>
      <c r="E24" s="18"/>
      <c r="F24" s="18"/>
      <c r="G24" s="18">
        <v>20</v>
      </c>
      <c r="H24" s="18"/>
      <c r="I24" s="18"/>
      <c r="J24" s="18"/>
      <c r="K24" s="18"/>
      <c r="L24" s="19"/>
      <c r="M24" s="18">
        <f t="shared" si="1"/>
        <v>20</v>
      </c>
    </row>
    <row r="25" spans="1:13" x14ac:dyDescent="0.2">
      <c r="A25" s="9" t="s">
        <v>43</v>
      </c>
      <c r="B25" s="18" t="s">
        <v>28</v>
      </c>
      <c r="C25" s="18" t="s">
        <v>17</v>
      </c>
      <c r="D25" s="18"/>
      <c r="E25" s="18"/>
      <c r="F25" s="18">
        <v>20</v>
      </c>
      <c r="G25" s="18">
        <v>20</v>
      </c>
      <c r="H25" s="18"/>
      <c r="I25" s="18"/>
      <c r="J25" s="18"/>
      <c r="K25" s="18"/>
      <c r="L25" s="19"/>
      <c r="M25" s="18">
        <f t="shared" si="1"/>
        <v>40</v>
      </c>
    </row>
    <row r="26" spans="1:13" x14ac:dyDescent="0.2">
      <c r="A26" s="9" t="s">
        <v>44</v>
      </c>
      <c r="B26" s="18" t="s">
        <v>28</v>
      </c>
      <c r="C26" s="18" t="s">
        <v>17</v>
      </c>
      <c r="D26" s="18"/>
      <c r="E26" s="18"/>
      <c r="F26" s="18">
        <v>10</v>
      </c>
      <c r="G26" s="18"/>
      <c r="H26" s="18"/>
      <c r="I26" s="18"/>
      <c r="J26" s="18"/>
      <c r="K26" s="18"/>
      <c r="L26" s="19"/>
      <c r="M26" s="18">
        <f t="shared" si="1"/>
        <v>10</v>
      </c>
    </row>
    <row r="27" spans="1:13" ht="16" x14ac:dyDescent="0.2">
      <c r="A27" s="20" t="s">
        <v>45</v>
      </c>
      <c r="B27" s="18" t="s">
        <v>22</v>
      </c>
      <c r="C27" s="18" t="s">
        <v>46</v>
      </c>
      <c r="D27" s="18"/>
      <c r="E27" s="18"/>
      <c r="F27" s="18"/>
      <c r="G27" s="18"/>
      <c r="H27" s="21">
        <v>10</v>
      </c>
      <c r="I27" s="21">
        <v>20</v>
      </c>
      <c r="J27" s="21">
        <v>10</v>
      </c>
      <c r="K27" s="18"/>
      <c r="L27" s="19"/>
      <c r="M27" s="18">
        <f t="shared" si="1"/>
        <v>40</v>
      </c>
    </row>
    <row r="28" spans="1:13" x14ac:dyDescent="0.2">
      <c r="A28" s="9" t="s">
        <v>47</v>
      </c>
      <c r="B28" s="18" t="s">
        <v>22</v>
      </c>
      <c r="C28" s="18" t="s">
        <v>46</v>
      </c>
      <c r="D28" s="18"/>
      <c r="E28" s="18"/>
      <c r="F28" s="18"/>
      <c r="G28" s="18"/>
      <c r="H28" s="18">
        <v>10</v>
      </c>
      <c r="I28" s="18"/>
      <c r="J28" s="18"/>
      <c r="K28" s="18"/>
      <c r="L28" s="19"/>
      <c r="M28" s="18">
        <f t="shared" si="1"/>
        <v>10</v>
      </c>
    </row>
    <row r="29" spans="1:13" x14ac:dyDescent="0.2">
      <c r="A29" s="9" t="s">
        <v>48</v>
      </c>
      <c r="B29" s="18" t="s">
        <v>22</v>
      </c>
      <c r="C29" s="18" t="s">
        <v>46</v>
      </c>
      <c r="D29" s="18"/>
      <c r="E29" s="18"/>
      <c r="F29" s="18">
        <v>20</v>
      </c>
      <c r="G29" s="18">
        <v>20</v>
      </c>
      <c r="H29" s="18">
        <v>6</v>
      </c>
      <c r="I29" s="18"/>
      <c r="J29" s="18"/>
      <c r="K29" s="18"/>
      <c r="L29" s="19"/>
      <c r="M29" s="18">
        <f t="shared" si="1"/>
        <v>46</v>
      </c>
    </row>
    <row r="30" spans="1:13" x14ac:dyDescent="0.2">
      <c r="A30" s="9" t="s">
        <v>49</v>
      </c>
      <c r="B30" s="18" t="s">
        <v>22</v>
      </c>
      <c r="C30" s="18" t="s">
        <v>46</v>
      </c>
      <c r="D30" s="18"/>
      <c r="E30" s="18"/>
      <c r="F30" s="18"/>
      <c r="G30" s="18">
        <v>20</v>
      </c>
      <c r="H30" s="18">
        <v>12</v>
      </c>
      <c r="I30" s="18"/>
      <c r="J30" s="18"/>
      <c r="K30" s="18"/>
      <c r="L30" s="19"/>
      <c r="M30" s="18">
        <f t="shared" si="1"/>
        <v>32</v>
      </c>
    </row>
    <row r="31" spans="1:13" x14ac:dyDescent="0.2">
      <c r="A31" s="9" t="s">
        <v>50</v>
      </c>
      <c r="B31" s="18" t="s">
        <v>22</v>
      </c>
      <c r="C31" s="18" t="s">
        <v>46</v>
      </c>
      <c r="D31" s="18"/>
      <c r="E31" s="18"/>
      <c r="F31" s="18"/>
      <c r="G31" s="18">
        <v>10</v>
      </c>
      <c r="H31" s="18">
        <v>10</v>
      </c>
      <c r="I31" s="18"/>
      <c r="J31" s="18"/>
      <c r="K31" s="18"/>
      <c r="L31" s="19"/>
      <c r="M31" s="18">
        <f t="shared" si="1"/>
        <v>20</v>
      </c>
    </row>
    <row r="32" spans="1:13" x14ac:dyDescent="0.2">
      <c r="A32" s="9" t="s">
        <v>51</v>
      </c>
      <c r="B32" s="18" t="s">
        <v>24</v>
      </c>
      <c r="C32" s="18" t="s">
        <v>46</v>
      </c>
      <c r="D32" s="18"/>
      <c r="E32" s="18"/>
      <c r="F32" s="18"/>
      <c r="G32" s="18"/>
      <c r="H32" s="18">
        <v>5</v>
      </c>
      <c r="I32" s="18"/>
      <c r="J32" s="18"/>
      <c r="K32" s="18"/>
      <c r="L32" s="18"/>
      <c r="M32" s="18">
        <f t="shared" si="1"/>
        <v>5</v>
      </c>
    </row>
    <row r="33" spans="1:13" x14ac:dyDescent="0.2">
      <c r="A33" s="9" t="s">
        <v>52</v>
      </c>
      <c r="B33" s="18" t="s">
        <v>24</v>
      </c>
      <c r="C33" s="18" t="s">
        <v>46</v>
      </c>
      <c r="D33" s="18"/>
      <c r="E33" s="18"/>
      <c r="F33" s="18"/>
      <c r="G33" s="18"/>
      <c r="H33" s="18">
        <v>10</v>
      </c>
      <c r="I33" s="18">
        <v>10</v>
      </c>
      <c r="J33" s="18"/>
      <c r="K33" s="18"/>
      <c r="L33" s="18"/>
      <c r="M33" s="18">
        <f t="shared" si="1"/>
        <v>20</v>
      </c>
    </row>
    <row r="34" spans="1:13" ht="16" x14ac:dyDescent="0.2">
      <c r="A34" s="20" t="s">
        <v>53</v>
      </c>
      <c r="B34" s="18" t="s">
        <v>24</v>
      </c>
      <c r="C34" s="18" t="s">
        <v>46</v>
      </c>
      <c r="D34" s="18"/>
      <c r="E34" s="18"/>
      <c r="F34" s="18"/>
      <c r="G34" s="18"/>
      <c r="H34" s="21">
        <v>20</v>
      </c>
      <c r="I34" s="21">
        <v>20</v>
      </c>
      <c r="J34" s="21">
        <v>20</v>
      </c>
      <c r="K34" s="18"/>
      <c r="L34" s="18"/>
      <c r="M34" s="18">
        <f>SUM(E34:J34)</f>
        <v>60</v>
      </c>
    </row>
    <row r="35" spans="1:13" x14ac:dyDescent="0.2">
      <c r="A35" s="9" t="s">
        <v>54</v>
      </c>
      <c r="B35" s="18" t="s">
        <v>24</v>
      </c>
      <c r="C35" s="18" t="s">
        <v>46</v>
      </c>
      <c r="D35" s="18"/>
      <c r="E35" s="18"/>
      <c r="F35" s="18"/>
      <c r="G35" s="18"/>
      <c r="H35" s="18"/>
      <c r="I35" s="18">
        <v>20</v>
      </c>
      <c r="J35" s="18">
        <v>12</v>
      </c>
      <c r="K35" s="18"/>
      <c r="L35" s="18"/>
      <c r="M35" s="18">
        <f t="shared" si="1"/>
        <v>32</v>
      </c>
    </row>
    <row r="36" spans="1:13" x14ac:dyDescent="0.2">
      <c r="A36" s="9" t="s">
        <v>55</v>
      </c>
      <c r="B36" s="18" t="s">
        <v>24</v>
      </c>
      <c r="C36" s="18" t="s">
        <v>46</v>
      </c>
      <c r="D36" s="18"/>
      <c r="E36" s="18"/>
      <c r="F36" s="18"/>
      <c r="G36" s="18">
        <v>7</v>
      </c>
      <c r="H36" s="18">
        <v>10</v>
      </c>
      <c r="I36" s="18">
        <v>20</v>
      </c>
      <c r="J36" s="18">
        <v>10</v>
      </c>
      <c r="K36" s="18"/>
      <c r="L36" s="18"/>
      <c r="M36" s="18">
        <f t="shared" si="1"/>
        <v>47</v>
      </c>
    </row>
    <row r="37" spans="1:13" x14ac:dyDescent="0.2">
      <c r="A37" s="9" t="s">
        <v>56</v>
      </c>
      <c r="B37" s="18" t="s">
        <v>24</v>
      </c>
      <c r="C37" s="18" t="s">
        <v>46</v>
      </c>
      <c r="D37" s="18"/>
      <c r="E37" s="18">
        <v>3</v>
      </c>
      <c r="F37" s="18" t="s">
        <v>1</v>
      </c>
      <c r="G37" s="18"/>
      <c r="H37" s="18"/>
      <c r="I37" s="18"/>
      <c r="J37" s="18"/>
      <c r="K37" s="18"/>
      <c r="L37" s="18"/>
      <c r="M37" s="18">
        <f t="shared" si="1"/>
        <v>3</v>
      </c>
    </row>
    <row r="38" spans="1:13" x14ac:dyDescent="0.2">
      <c r="A38" s="9" t="s">
        <v>57</v>
      </c>
      <c r="B38" s="18" t="s">
        <v>24</v>
      </c>
      <c r="C38" s="18" t="s">
        <v>46</v>
      </c>
      <c r="D38" s="18"/>
      <c r="E38" s="18"/>
      <c r="F38" s="18"/>
      <c r="G38" s="18"/>
      <c r="H38" s="18"/>
      <c r="I38" s="18"/>
      <c r="J38" s="18">
        <v>20</v>
      </c>
      <c r="K38" s="18">
        <v>15</v>
      </c>
      <c r="L38" s="18"/>
      <c r="M38" s="18">
        <f t="shared" si="1"/>
        <v>35</v>
      </c>
    </row>
    <row r="39" spans="1:13" ht="16" x14ac:dyDescent="0.2">
      <c r="A39" s="20" t="s">
        <v>58</v>
      </c>
      <c r="B39" s="18"/>
      <c r="C39" s="18" t="s">
        <v>46</v>
      </c>
      <c r="D39" s="21"/>
      <c r="E39" s="21"/>
      <c r="F39" s="21"/>
      <c r="G39" s="21">
        <v>10</v>
      </c>
      <c r="H39" s="21">
        <v>10</v>
      </c>
      <c r="I39" s="21">
        <v>20</v>
      </c>
      <c r="J39" s="21">
        <v>20</v>
      </c>
      <c r="K39" s="21">
        <v>20</v>
      </c>
      <c r="L39" s="18"/>
      <c r="M39" s="18">
        <f>SUM(E39:K39)</f>
        <v>80</v>
      </c>
    </row>
    <row r="40" spans="1:13" ht="16" x14ac:dyDescent="0.2">
      <c r="A40" s="20" t="s">
        <v>59</v>
      </c>
      <c r="B40" s="18"/>
      <c r="C40" s="18" t="s">
        <v>46</v>
      </c>
      <c r="D40" s="18"/>
      <c r="E40" s="18"/>
      <c r="F40" s="18"/>
      <c r="G40" s="18"/>
      <c r="H40" s="18"/>
      <c r="I40" s="21">
        <v>20</v>
      </c>
      <c r="J40" s="21">
        <v>20</v>
      </c>
      <c r="K40" s="21">
        <v>10</v>
      </c>
      <c r="L40" s="18"/>
      <c r="M40" s="18">
        <f t="shared" si="1"/>
        <v>50</v>
      </c>
    </row>
    <row r="41" spans="1:13" ht="16" x14ac:dyDescent="0.2">
      <c r="A41" s="20" t="s">
        <v>60</v>
      </c>
      <c r="B41" s="18"/>
      <c r="C41" s="18" t="s">
        <v>46</v>
      </c>
      <c r="D41" s="18"/>
      <c r="E41" s="18"/>
      <c r="F41" s="18"/>
      <c r="G41" s="18"/>
      <c r="H41" s="21">
        <v>10</v>
      </c>
      <c r="I41" s="21">
        <v>20</v>
      </c>
      <c r="J41" s="21">
        <v>20</v>
      </c>
      <c r="K41" s="18"/>
      <c r="L41" s="18"/>
      <c r="M41" s="18">
        <f t="shared" si="1"/>
        <v>50</v>
      </c>
    </row>
    <row r="42" spans="1:13" ht="16" x14ac:dyDescent="0.2">
      <c r="A42" s="20" t="s">
        <v>61</v>
      </c>
      <c r="B42" s="21"/>
      <c r="C42" s="21" t="s">
        <v>17</v>
      </c>
      <c r="D42" s="18"/>
      <c r="E42" s="18">
        <v>10</v>
      </c>
      <c r="F42" s="21">
        <v>20</v>
      </c>
      <c r="G42" s="21">
        <v>20</v>
      </c>
      <c r="H42" s="18"/>
      <c r="I42" s="18"/>
      <c r="J42" s="18"/>
      <c r="K42" s="18"/>
      <c r="L42" s="18"/>
      <c r="M42" s="18">
        <f t="shared" si="1"/>
        <v>50</v>
      </c>
    </row>
    <row r="43" spans="1:13" ht="16" x14ac:dyDescent="0.2">
      <c r="A43" s="20" t="s">
        <v>61</v>
      </c>
      <c r="B43" s="21"/>
      <c r="C43" s="21" t="s">
        <v>46</v>
      </c>
      <c r="D43" s="18"/>
      <c r="E43" s="18"/>
      <c r="F43" s="18"/>
      <c r="G43" s="18"/>
      <c r="H43" s="21">
        <v>10</v>
      </c>
      <c r="I43" s="21">
        <v>20</v>
      </c>
      <c r="J43" s="21">
        <v>20</v>
      </c>
      <c r="K43" s="18"/>
      <c r="L43" s="18"/>
      <c r="M43" s="18">
        <f t="shared" si="1"/>
        <v>50</v>
      </c>
    </row>
    <row r="44" spans="1:13" x14ac:dyDescent="0.2">
      <c r="A44" s="9" t="s">
        <v>62</v>
      </c>
      <c r="B44" s="18"/>
      <c r="C44" s="18" t="s">
        <v>63</v>
      </c>
      <c r="D44" s="18">
        <v>20</v>
      </c>
      <c r="E44" s="18">
        <v>25</v>
      </c>
      <c r="F44" s="18">
        <v>25</v>
      </c>
      <c r="G44" s="18">
        <v>25</v>
      </c>
      <c r="H44" s="18" t="s">
        <v>1</v>
      </c>
      <c r="I44" s="18">
        <v>25</v>
      </c>
      <c r="J44" s="18"/>
      <c r="K44" s="18"/>
      <c r="L44" s="18"/>
      <c r="M44" s="18">
        <f t="shared" si="1"/>
        <v>100</v>
      </c>
    </row>
    <row r="45" spans="1:13" x14ac:dyDescent="0.2">
      <c r="A45" s="9" t="s">
        <v>64</v>
      </c>
      <c r="B45" s="18"/>
      <c r="C45" s="18" t="s">
        <v>64</v>
      </c>
      <c r="D45" s="18">
        <v>40</v>
      </c>
      <c r="E45" s="18">
        <v>20</v>
      </c>
      <c r="F45" s="18">
        <v>20</v>
      </c>
      <c r="G45" s="18">
        <v>10</v>
      </c>
      <c r="H45" s="18">
        <v>10</v>
      </c>
      <c r="I45" s="18">
        <v>20</v>
      </c>
      <c r="J45" s="18">
        <v>20</v>
      </c>
      <c r="K45" s="18">
        <v>20</v>
      </c>
      <c r="L45" s="18" t="s">
        <v>1</v>
      </c>
      <c r="M45" s="18">
        <f t="shared" si="1"/>
        <v>120</v>
      </c>
    </row>
    <row r="46" spans="1:13" x14ac:dyDescent="0.2">
      <c r="A46" s="9" t="s">
        <v>65</v>
      </c>
      <c r="B46" s="18"/>
      <c r="C46" s="18" t="s">
        <v>66</v>
      </c>
      <c r="D46" s="18">
        <v>25</v>
      </c>
      <c r="E46" s="18">
        <v>30</v>
      </c>
      <c r="F46" s="18">
        <v>20</v>
      </c>
      <c r="G46" s="18">
        <v>20</v>
      </c>
      <c r="H46" s="18">
        <v>10</v>
      </c>
      <c r="I46" s="18">
        <v>20</v>
      </c>
      <c r="J46" s="18">
        <v>20</v>
      </c>
      <c r="K46" s="18">
        <v>20</v>
      </c>
      <c r="L46" s="18"/>
      <c r="M46" s="18">
        <f t="shared" si="1"/>
        <v>140</v>
      </c>
    </row>
    <row r="47" spans="1:13" x14ac:dyDescent="0.2">
      <c r="A47" s="9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>
        <f t="shared" si="1"/>
        <v>0</v>
      </c>
    </row>
    <row r="48" spans="1:13" ht="16" x14ac:dyDescent="0.2">
      <c r="A48" s="15" t="s">
        <v>67</v>
      </c>
      <c r="B48" s="14"/>
      <c r="C48" s="14"/>
      <c r="D48" s="14">
        <f t="shared" ref="D48:J48" si="2">SUM(D3:D46)</f>
        <v>105</v>
      </c>
      <c r="E48" s="14">
        <f t="shared" si="2"/>
        <v>221</v>
      </c>
      <c r="F48" s="14">
        <f t="shared" si="2"/>
        <v>266</v>
      </c>
      <c r="G48" s="14">
        <f t="shared" si="2"/>
        <v>278</v>
      </c>
      <c r="H48" s="14">
        <f t="shared" si="2"/>
        <v>193</v>
      </c>
      <c r="I48" s="14">
        <f t="shared" si="2"/>
        <v>265</v>
      </c>
      <c r="J48" s="14">
        <f t="shared" si="2"/>
        <v>192</v>
      </c>
      <c r="K48" s="14">
        <f t="shared" ref="K48:L48" si="3">SUM(K3:K45)</f>
        <v>65</v>
      </c>
      <c r="L48" s="22">
        <f t="shared" si="3"/>
        <v>0</v>
      </c>
      <c r="M48" s="18"/>
    </row>
    <row r="50" spans="1:8" x14ac:dyDescent="0.2">
      <c r="H50" s="23" t="s">
        <v>68</v>
      </c>
    </row>
    <row r="51" spans="1:8" x14ac:dyDescent="0.2">
      <c r="A51" t="s">
        <v>69</v>
      </c>
      <c r="B51" s="23">
        <f>SUM(M3:M26)</f>
        <v>510</v>
      </c>
    </row>
    <row r="52" spans="1:8" x14ac:dyDescent="0.2">
      <c r="A52" t="s">
        <v>70</v>
      </c>
      <c r="B52" s="23">
        <f>SUM(M27:M41)</f>
        <v>530</v>
      </c>
    </row>
    <row r="53" spans="1:8" x14ac:dyDescent="0.2">
      <c r="A53" t="s">
        <v>71</v>
      </c>
      <c r="B53" s="23">
        <f>M45</f>
        <v>120</v>
      </c>
    </row>
    <row r="54" spans="1:8" x14ac:dyDescent="0.2">
      <c r="A54" t="s">
        <v>72</v>
      </c>
      <c r="B54" s="23">
        <f>SUM(M42:M43)</f>
        <v>100</v>
      </c>
    </row>
    <row r="55" spans="1:8" x14ac:dyDescent="0.2">
      <c r="A55" t="s">
        <v>73</v>
      </c>
      <c r="B55" s="23">
        <f>M46</f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"/>
  <sheetViews>
    <sheetView topLeftCell="A26" workbookViewId="0">
      <selection activeCell="A52" sqref="A52:O58"/>
    </sheetView>
  </sheetViews>
  <sheetFormatPr baseColWidth="10" defaultColWidth="8.83203125" defaultRowHeight="15" x14ac:dyDescent="0.2"/>
  <cols>
    <col min="1" max="1" width="50" customWidth="1"/>
    <col min="2" max="15" width="12" customWidth="1"/>
  </cols>
  <sheetData>
    <row r="1" spans="1:15" s="1" customFormat="1" ht="26.75" customHeight="1" x14ac:dyDescent="0.2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spans="1:15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</row>
    <row r="3" spans="1:15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26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</row>
    <row r="10" spans="1:15" x14ac:dyDescent="0.2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">
      <c r="A3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t="s">
        <v>62</v>
      </c>
      <c r="B43">
        <v>2</v>
      </c>
      <c r="C43">
        <v>2</v>
      </c>
      <c r="D43">
        <v>2</v>
      </c>
      <c r="E43">
        <v>2</v>
      </c>
      <c r="F43">
        <v>2</v>
      </c>
      <c r="G43">
        <v>0</v>
      </c>
      <c r="H43">
        <v>0</v>
      </c>
      <c r="I43">
        <v>2</v>
      </c>
      <c r="J43">
        <v>2</v>
      </c>
      <c r="K43">
        <v>2</v>
      </c>
      <c r="L43">
        <v>2</v>
      </c>
      <c r="M43">
        <v>2</v>
      </c>
      <c r="N43">
        <v>0</v>
      </c>
      <c r="O43">
        <v>0</v>
      </c>
    </row>
    <row r="44" spans="1:15" x14ac:dyDescent="0.2">
      <c r="A44" t="s">
        <v>64</v>
      </c>
      <c r="B44">
        <v>4</v>
      </c>
      <c r="C44">
        <v>4</v>
      </c>
      <c r="D44">
        <v>4</v>
      </c>
      <c r="E44">
        <v>4</v>
      </c>
      <c r="F44">
        <v>4</v>
      </c>
      <c r="G44">
        <v>0</v>
      </c>
      <c r="H44">
        <v>0</v>
      </c>
      <c r="I44">
        <v>4</v>
      </c>
      <c r="J44">
        <v>4</v>
      </c>
      <c r="K44">
        <v>4</v>
      </c>
      <c r="L44">
        <v>4</v>
      </c>
      <c r="M44">
        <v>4</v>
      </c>
      <c r="N44">
        <v>0</v>
      </c>
      <c r="O44">
        <v>0</v>
      </c>
    </row>
    <row r="45" spans="1:15" x14ac:dyDescent="0.2">
      <c r="A45" t="s">
        <v>65</v>
      </c>
      <c r="B45">
        <v>3</v>
      </c>
      <c r="C45">
        <v>3</v>
      </c>
      <c r="D45">
        <v>3</v>
      </c>
      <c r="E45">
        <v>3</v>
      </c>
      <c r="F45">
        <v>3</v>
      </c>
      <c r="G45">
        <v>0</v>
      </c>
      <c r="H45">
        <v>0</v>
      </c>
      <c r="I45">
        <v>3</v>
      </c>
      <c r="J45">
        <v>3</v>
      </c>
      <c r="K45">
        <v>3</v>
      </c>
      <c r="L45">
        <v>3</v>
      </c>
      <c r="M45">
        <v>3</v>
      </c>
      <c r="N45">
        <v>0</v>
      </c>
      <c r="O45">
        <v>0</v>
      </c>
    </row>
    <row r="46" spans="1:15" x14ac:dyDescent="0.2">
      <c r="A46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s="2" customFormat="1" x14ac:dyDescent="0.2">
      <c r="A52" s="7" t="s">
        <v>88</v>
      </c>
      <c r="B52" s="7">
        <v>11</v>
      </c>
      <c r="C52" s="7">
        <v>11</v>
      </c>
      <c r="D52" s="7">
        <v>11</v>
      </c>
      <c r="E52" s="7">
        <v>11</v>
      </c>
      <c r="F52" s="7">
        <v>11</v>
      </c>
      <c r="G52" s="7">
        <v>0</v>
      </c>
      <c r="H52" s="7">
        <v>0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7">
        <v>0</v>
      </c>
      <c r="O52" s="7">
        <v>0</v>
      </c>
    </row>
    <row r="53" spans="1:15" s="3" customFormat="1" x14ac:dyDescent="0.2">
      <c r="A53" s="8" t="s">
        <v>89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s="4" customFormat="1" x14ac:dyDescent="0.2">
      <c r="A55" s="10" t="s">
        <v>90</v>
      </c>
      <c r="B55" s="10">
        <f>SUM($B$52:B$52)-SUM($B$53:B$53)</f>
        <v>11</v>
      </c>
      <c r="C55" s="10">
        <f>SUM($B$52:C$52)-SUM($B$53:C$53)</f>
        <v>22</v>
      </c>
      <c r="D55" s="10">
        <f>SUM($B$52:D$52)-SUM($B$53:D$53)</f>
        <v>33</v>
      </c>
      <c r="E55" s="10">
        <f>SUM($B$52:E$52)-SUM($B$53:E$53)</f>
        <v>44</v>
      </c>
      <c r="F55" s="10">
        <f>SUM($B$52:F$52)-SUM($B$53:F$53)</f>
        <v>55</v>
      </c>
      <c r="G55" s="10">
        <f>SUM($B$52:G$52)-SUM($B$53:G$53)</f>
        <v>55</v>
      </c>
      <c r="H55" s="10">
        <f>SUM($B$52:H$52)-SUM($B$53:H$53)</f>
        <v>55</v>
      </c>
      <c r="I55" s="10">
        <f>SUM($B$52:I$52)-SUM($B$53:I$53)</f>
        <v>66</v>
      </c>
      <c r="J55" s="10">
        <f>SUM($B$52:J$52)-SUM($B$53:J$53)</f>
        <v>77</v>
      </c>
      <c r="K55" s="10">
        <f>SUM($B$52:K$52)-SUM($B$53:K$53)</f>
        <v>88</v>
      </c>
      <c r="L55" s="10">
        <f>SUM($B$52:L$52)-SUM($B$53:L$53)</f>
        <v>99</v>
      </c>
      <c r="M55" s="10">
        <f>SUM($B$52:M$52)-SUM($B$53:M$53)</f>
        <v>110</v>
      </c>
      <c r="N55" s="10">
        <f>SUM($B$52:N$52)-SUM($B$53:N$53)</f>
        <v>110</v>
      </c>
      <c r="O55" s="10">
        <f>SUM($B$52:O$52)-SUM($B$53:O$53)</f>
        <v>110</v>
      </c>
    </row>
    <row r="56" spans="1:15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s="5" customFormat="1" x14ac:dyDescent="0.2">
      <c r="A57" s="11" t="s">
        <v>91</v>
      </c>
      <c r="B57" s="11">
        <v>1</v>
      </c>
      <c r="C57" s="11">
        <v>2</v>
      </c>
      <c r="D57" s="11">
        <v>3</v>
      </c>
      <c r="E57" s="11">
        <v>4</v>
      </c>
      <c r="F57" s="11">
        <v>5</v>
      </c>
      <c r="G57" s="11">
        <v>6</v>
      </c>
      <c r="H57" s="11">
        <v>7</v>
      </c>
      <c r="I57" s="11">
        <v>8</v>
      </c>
      <c r="J57" s="11">
        <v>9</v>
      </c>
      <c r="K57" s="11">
        <v>10</v>
      </c>
      <c r="L57" s="11">
        <v>11</v>
      </c>
      <c r="M57" s="11">
        <v>12</v>
      </c>
      <c r="N57" s="11">
        <v>13</v>
      </c>
      <c r="O57" s="11">
        <v>14</v>
      </c>
    </row>
    <row r="58" spans="1:15" x14ac:dyDescent="0.2">
      <c r="A58" s="9" t="s">
        <v>92</v>
      </c>
      <c r="B58" s="9">
        <f t="shared" ref="B58:O58" si="0">B55</f>
        <v>11</v>
      </c>
      <c r="C58" s="9">
        <f t="shared" si="0"/>
        <v>22</v>
      </c>
      <c r="D58" s="9">
        <f t="shared" si="0"/>
        <v>33</v>
      </c>
      <c r="E58" s="9">
        <f t="shared" si="0"/>
        <v>44</v>
      </c>
      <c r="F58" s="9">
        <f t="shared" si="0"/>
        <v>55</v>
      </c>
      <c r="G58" s="9">
        <f t="shared" si="0"/>
        <v>55</v>
      </c>
      <c r="H58" s="9">
        <f t="shared" si="0"/>
        <v>55</v>
      </c>
      <c r="I58" s="9">
        <f t="shared" si="0"/>
        <v>66</v>
      </c>
      <c r="J58" s="9">
        <f t="shared" si="0"/>
        <v>77</v>
      </c>
      <c r="K58" s="9">
        <f t="shared" si="0"/>
        <v>88</v>
      </c>
      <c r="L58" s="9">
        <f t="shared" si="0"/>
        <v>99</v>
      </c>
      <c r="M58" s="9">
        <f t="shared" si="0"/>
        <v>110</v>
      </c>
      <c r="N58" s="9">
        <f t="shared" si="0"/>
        <v>110</v>
      </c>
      <c r="O58" s="9">
        <f t="shared" si="0"/>
        <v>110</v>
      </c>
    </row>
    <row r="60" spans="1:15" s="6" customFormat="1" x14ac:dyDescent="0.2">
      <c r="A60" s="6" t="s">
        <v>93</v>
      </c>
    </row>
    <row r="61" spans="1:15" x14ac:dyDescent="0.2">
      <c r="A61" t="s">
        <v>94</v>
      </c>
    </row>
    <row r="62" spans="1:15" x14ac:dyDescent="0.2">
      <c r="A62" t="s">
        <v>95</v>
      </c>
    </row>
    <row r="63" spans="1:15" x14ac:dyDescent="0.2">
      <c r="A63" t="s">
        <v>96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3"/>
  <sheetViews>
    <sheetView topLeftCell="A23" workbookViewId="0">
      <selection activeCell="B50" sqref="B50"/>
    </sheetView>
  </sheetViews>
  <sheetFormatPr baseColWidth="10" defaultColWidth="8.83203125" defaultRowHeight="15" x14ac:dyDescent="0.2"/>
  <cols>
    <col min="1" max="1" width="50" customWidth="1"/>
    <col min="2" max="15" width="12" customWidth="1"/>
  </cols>
  <sheetData>
    <row r="1" spans="1:15" s="1" customFormat="1" ht="26.75" customHeight="1" x14ac:dyDescent="0.2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</row>
    <row r="2" spans="1:15" x14ac:dyDescent="0.2">
      <c r="A2" t="s">
        <v>15</v>
      </c>
      <c r="B2">
        <v>2</v>
      </c>
      <c r="C2">
        <v>2</v>
      </c>
      <c r="D2">
        <v>2</v>
      </c>
      <c r="E2">
        <v>2</v>
      </c>
      <c r="F2">
        <v>2</v>
      </c>
      <c r="G2">
        <v>0</v>
      </c>
      <c r="H2">
        <v>0</v>
      </c>
      <c r="I2">
        <v>2</v>
      </c>
      <c r="J2">
        <v>2</v>
      </c>
      <c r="K2">
        <v>2</v>
      </c>
      <c r="L2">
        <v>2</v>
      </c>
      <c r="M2">
        <v>2</v>
      </c>
      <c r="N2">
        <v>0</v>
      </c>
      <c r="O2">
        <v>0</v>
      </c>
    </row>
    <row r="3" spans="1:15" x14ac:dyDescent="0.2">
      <c r="A3" t="s">
        <v>18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</row>
    <row r="4" spans="1:15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21</v>
      </c>
      <c r="B6">
        <v>2</v>
      </c>
      <c r="C6">
        <v>2</v>
      </c>
      <c r="D6">
        <v>2</v>
      </c>
      <c r="E6">
        <v>2</v>
      </c>
      <c r="F6">
        <v>2</v>
      </c>
      <c r="G6">
        <v>0</v>
      </c>
      <c r="H6">
        <v>0</v>
      </c>
      <c r="I6">
        <v>2</v>
      </c>
      <c r="J6">
        <v>2</v>
      </c>
      <c r="K6">
        <v>2</v>
      </c>
      <c r="L6">
        <v>2</v>
      </c>
      <c r="M6">
        <v>2</v>
      </c>
      <c r="N6">
        <v>0</v>
      </c>
      <c r="O6">
        <v>0</v>
      </c>
    </row>
    <row r="7" spans="1:15" x14ac:dyDescent="0.2">
      <c r="A7" t="s">
        <v>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25</v>
      </c>
      <c r="B8">
        <v>2</v>
      </c>
      <c r="C8">
        <v>2</v>
      </c>
      <c r="D8">
        <v>2</v>
      </c>
      <c r="E8">
        <v>2</v>
      </c>
      <c r="F8">
        <v>2</v>
      </c>
      <c r="G8">
        <v>0</v>
      </c>
      <c r="H8">
        <v>0</v>
      </c>
      <c r="I8">
        <v>2</v>
      </c>
      <c r="J8">
        <v>2</v>
      </c>
      <c r="K8">
        <v>2</v>
      </c>
      <c r="L8">
        <v>2</v>
      </c>
      <c r="M8">
        <v>2</v>
      </c>
      <c r="N8">
        <v>0</v>
      </c>
      <c r="O8">
        <v>0</v>
      </c>
    </row>
    <row r="9" spans="1:15" x14ac:dyDescent="0.2">
      <c r="A9" t="s">
        <v>26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</row>
    <row r="10" spans="1:15" x14ac:dyDescent="0.2">
      <c r="A10" t="s">
        <v>27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</row>
    <row r="11" spans="1:15" x14ac:dyDescent="0.2">
      <c r="A11" t="s">
        <v>29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0</v>
      </c>
    </row>
    <row r="12" spans="1:15" x14ac:dyDescent="0.2">
      <c r="A12" t="s">
        <v>30</v>
      </c>
      <c r="B12">
        <v>2</v>
      </c>
      <c r="C12">
        <v>2</v>
      </c>
      <c r="D12">
        <v>2</v>
      </c>
      <c r="E12">
        <v>2</v>
      </c>
      <c r="F12">
        <v>2</v>
      </c>
      <c r="G12">
        <v>0</v>
      </c>
      <c r="H12">
        <v>0</v>
      </c>
      <c r="I12">
        <v>2</v>
      </c>
      <c r="J12">
        <v>2</v>
      </c>
      <c r="K12">
        <v>2</v>
      </c>
      <c r="L12">
        <v>2</v>
      </c>
      <c r="M12">
        <v>2</v>
      </c>
      <c r="N12">
        <v>0</v>
      </c>
      <c r="O12">
        <v>0</v>
      </c>
    </row>
    <row r="13" spans="1:15" x14ac:dyDescent="0.2">
      <c r="A13" t="s">
        <v>31</v>
      </c>
      <c r="B13">
        <v>2</v>
      </c>
      <c r="C13">
        <v>2</v>
      </c>
      <c r="D13">
        <v>2</v>
      </c>
      <c r="E13">
        <v>2</v>
      </c>
      <c r="F13">
        <v>2</v>
      </c>
      <c r="G13">
        <v>0</v>
      </c>
      <c r="H13">
        <v>0</v>
      </c>
      <c r="I13">
        <v>2</v>
      </c>
      <c r="J13">
        <v>2</v>
      </c>
      <c r="K13">
        <v>2</v>
      </c>
      <c r="L13">
        <v>2</v>
      </c>
      <c r="M13">
        <v>2</v>
      </c>
      <c r="N13">
        <v>0</v>
      </c>
      <c r="O13">
        <v>0</v>
      </c>
    </row>
    <row r="14" spans="1:15" x14ac:dyDescent="0.2">
      <c r="A14" t="s">
        <v>32</v>
      </c>
      <c r="B14">
        <v>2</v>
      </c>
      <c r="C14">
        <v>2</v>
      </c>
      <c r="D14">
        <v>2</v>
      </c>
      <c r="E14">
        <v>2</v>
      </c>
      <c r="F14">
        <v>2</v>
      </c>
      <c r="G14">
        <v>0</v>
      </c>
      <c r="H14">
        <v>0</v>
      </c>
      <c r="I14">
        <v>2</v>
      </c>
      <c r="J14">
        <v>2</v>
      </c>
      <c r="K14">
        <v>2</v>
      </c>
      <c r="L14">
        <v>2</v>
      </c>
      <c r="M14">
        <v>2</v>
      </c>
      <c r="N14">
        <v>0</v>
      </c>
      <c r="O14">
        <v>0</v>
      </c>
    </row>
    <row r="15" spans="1:15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38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</row>
    <row r="21" spans="1:15" x14ac:dyDescent="0.2">
      <c r="A21" t="s">
        <v>39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</row>
    <row r="22" spans="1:15" x14ac:dyDescent="0.2">
      <c r="A22" t="s">
        <v>41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0</v>
      </c>
    </row>
    <row r="23" spans="1:15" x14ac:dyDescent="0.2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">
      <c r="A3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56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0</v>
      </c>
      <c r="O36">
        <v>0</v>
      </c>
    </row>
    <row r="37" spans="1:15" x14ac:dyDescent="0.2">
      <c r="A37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61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</row>
    <row r="42" spans="1:15" x14ac:dyDescent="0.2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t="s">
        <v>62</v>
      </c>
      <c r="B43">
        <v>3</v>
      </c>
      <c r="C43">
        <v>3</v>
      </c>
      <c r="D43">
        <v>3</v>
      </c>
      <c r="E43">
        <v>3</v>
      </c>
      <c r="F43">
        <v>3</v>
      </c>
      <c r="G43">
        <v>0</v>
      </c>
      <c r="H43">
        <v>0</v>
      </c>
      <c r="I43">
        <v>3</v>
      </c>
      <c r="J43">
        <v>3</v>
      </c>
      <c r="K43">
        <v>3</v>
      </c>
      <c r="L43">
        <v>3</v>
      </c>
      <c r="M43">
        <v>3</v>
      </c>
      <c r="N43">
        <v>0</v>
      </c>
      <c r="O43">
        <v>0</v>
      </c>
    </row>
    <row r="44" spans="1:15" x14ac:dyDescent="0.2">
      <c r="A44" t="s">
        <v>64</v>
      </c>
      <c r="B44">
        <v>2</v>
      </c>
      <c r="C44">
        <v>2</v>
      </c>
      <c r="D44">
        <v>2</v>
      </c>
      <c r="E44">
        <v>2</v>
      </c>
      <c r="F44">
        <v>2</v>
      </c>
      <c r="G44">
        <v>0</v>
      </c>
      <c r="H44">
        <v>0</v>
      </c>
      <c r="I44">
        <v>2</v>
      </c>
      <c r="J44">
        <v>2</v>
      </c>
      <c r="K44">
        <v>2</v>
      </c>
      <c r="L44">
        <v>2</v>
      </c>
      <c r="M44">
        <v>2</v>
      </c>
      <c r="N44">
        <v>0</v>
      </c>
      <c r="O44">
        <v>0</v>
      </c>
    </row>
    <row r="45" spans="1:15" x14ac:dyDescent="0.2">
      <c r="A45" t="s">
        <v>65</v>
      </c>
      <c r="B45">
        <v>3</v>
      </c>
      <c r="C45">
        <v>3</v>
      </c>
      <c r="D45">
        <v>3</v>
      </c>
      <c r="E45">
        <v>3</v>
      </c>
      <c r="F45">
        <v>3</v>
      </c>
      <c r="G45">
        <v>0</v>
      </c>
      <c r="H45">
        <v>0</v>
      </c>
      <c r="I45">
        <v>3</v>
      </c>
      <c r="J45">
        <v>3</v>
      </c>
      <c r="K45">
        <v>3</v>
      </c>
      <c r="L45">
        <v>3</v>
      </c>
      <c r="M45">
        <v>3</v>
      </c>
      <c r="N45">
        <v>0</v>
      </c>
      <c r="O45">
        <v>0</v>
      </c>
    </row>
    <row r="46" spans="1:15" x14ac:dyDescent="0.2">
      <c r="A46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s="2" customFormat="1" x14ac:dyDescent="0.2">
      <c r="A52" s="7" t="s">
        <v>88</v>
      </c>
      <c r="B52" s="7">
        <v>29</v>
      </c>
      <c r="C52" s="7">
        <v>29</v>
      </c>
      <c r="D52" s="7">
        <v>29</v>
      </c>
      <c r="E52" s="7">
        <v>29</v>
      </c>
      <c r="F52" s="7">
        <v>29</v>
      </c>
      <c r="G52" s="7">
        <v>0</v>
      </c>
      <c r="H52" s="7">
        <v>0</v>
      </c>
      <c r="I52" s="7">
        <v>29</v>
      </c>
      <c r="J52" s="7">
        <v>29</v>
      </c>
      <c r="K52" s="7">
        <v>29</v>
      </c>
      <c r="L52" s="7">
        <v>29</v>
      </c>
      <c r="M52" s="7">
        <v>29</v>
      </c>
      <c r="N52" s="7">
        <v>0</v>
      </c>
      <c r="O52" s="7">
        <v>0</v>
      </c>
    </row>
    <row r="53" spans="1:15" s="3" customFormat="1" x14ac:dyDescent="0.2">
      <c r="A53" s="8" t="s">
        <v>89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s="4" customFormat="1" x14ac:dyDescent="0.2">
      <c r="A55" s="10" t="s">
        <v>90</v>
      </c>
      <c r="B55" s="10">
        <f>SUM($B$52:B$52)-SUM($B$53:B$53)</f>
        <v>29</v>
      </c>
      <c r="C55" s="10">
        <f>SUM($B$52:C$52)-SUM($B$53:C$53)</f>
        <v>58</v>
      </c>
      <c r="D55" s="10">
        <f>SUM($B$52:D$52)-SUM($B$53:D$53)</f>
        <v>87</v>
      </c>
      <c r="E55" s="10">
        <f>SUM($B$52:E$52)-SUM($B$53:E$53)</f>
        <v>116</v>
      </c>
      <c r="F55" s="10">
        <f>SUM($B$52:F$52)-SUM($B$53:F$53)</f>
        <v>145</v>
      </c>
      <c r="G55" s="10">
        <f>SUM($B$52:G$52)-SUM($B$53:G$53)</f>
        <v>145</v>
      </c>
      <c r="H55" s="10">
        <f>SUM($B$52:H$52)-SUM($B$53:H$53)</f>
        <v>145</v>
      </c>
      <c r="I55" s="10">
        <f>SUM($B$52:I$52)-SUM($B$53:I$53)</f>
        <v>174</v>
      </c>
      <c r="J55" s="10">
        <f>SUM($B$52:J$52)-SUM($B$53:J$53)</f>
        <v>203</v>
      </c>
      <c r="K55" s="10">
        <f>SUM($B$52:K$52)-SUM($B$53:K$53)</f>
        <v>232</v>
      </c>
      <c r="L55" s="10">
        <f>SUM($B$52:L$52)-SUM($B$53:L$53)</f>
        <v>261</v>
      </c>
      <c r="M55" s="10">
        <f>SUM($B$52:M$52)-SUM($B$53:M$53)</f>
        <v>290</v>
      </c>
      <c r="N55" s="10">
        <f>SUM($B$52:N$52)-SUM($B$53:N$53)</f>
        <v>290</v>
      </c>
      <c r="O55" s="10">
        <f>SUM($B$52:O$52)-SUM($B$53:O$53)</f>
        <v>290</v>
      </c>
    </row>
    <row r="56" spans="1:15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s="5" customFormat="1" x14ac:dyDescent="0.2">
      <c r="A57" s="11" t="s">
        <v>91</v>
      </c>
      <c r="B57" s="11">
        <v>1</v>
      </c>
      <c r="C57" s="11">
        <v>2</v>
      </c>
      <c r="D57" s="11">
        <v>3</v>
      </c>
      <c r="E57" s="11">
        <v>4</v>
      </c>
      <c r="F57" s="11">
        <v>5</v>
      </c>
      <c r="G57" s="11">
        <v>6</v>
      </c>
      <c r="H57" s="11">
        <v>7</v>
      </c>
      <c r="I57" s="11">
        <v>8</v>
      </c>
      <c r="J57" s="11">
        <v>9</v>
      </c>
      <c r="K57" s="11">
        <v>10</v>
      </c>
      <c r="L57" s="11">
        <v>11</v>
      </c>
      <c r="M57" s="11">
        <v>12</v>
      </c>
      <c r="N57" s="11">
        <v>13</v>
      </c>
      <c r="O57" s="11">
        <v>14</v>
      </c>
    </row>
    <row r="58" spans="1:15" x14ac:dyDescent="0.2">
      <c r="A58" s="9" t="s">
        <v>92</v>
      </c>
      <c r="B58" s="9">
        <f t="shared" ref="B58:O58" si="0">B55</f>
        <v>29</v>
      </c>
      <c r="C58" s="9">
        <f t="shared" si="0"/>
        <v>58</v>
      </c>
      <c r="D58" s="9">
        <f t="shared" si="0"/>
        <v>87</v>
      </c>
      <c r="E58" s="9">
        <f t="shared" si="0"/>
        <v>116</v>
      </c>
      <c r="F58" s="9">
        <f t="shared" si="0"/>
        <v>145</v>
      </c>
      <c r="G58" s="9">
        <f t="shared" si="0"/>
        <v>145</v>
      </c>
      <c r="H58" s="9">
        <f t="shared" si="0"/>
        <v>145</v>
      </c>
      <c r="I58" s="9">
        <f t="shared" si="0"/>
        <v>174</v>
      </c>
      <c r="J58" s="9">
        <f t="shared" si="0"/>
        <v>203</v>
      </c>
      <c r="K58" s="9">
        <f t="shared" si="0"/>
        <v>232</v>
      </c>
      <c r="L58" s="9">
        <f t="shared" si="0"/>
        <v>261</v>
      </c>
      <c r="M58" s="9">
        <f t="shared" si="0"/>
        <v>290</v>
      </c>
      <c r="N58" s="9">
        <f t="shared" si="0"/>
        <v>290</v>
      </c>
      <c r="O58" s="9">
        <f t="shared" si="0"/>
        <v>290</v>
      </c>
    </row>
    <row r="60" spans="1:15" s="6" customFormat="1" x14ac:dyDescent="0.2">
      <c r="A60" s="6" t="s">
        <v>111</v>
      </c>
    </row>
    <row r="61" spans="1:15" x14ac:dyDescent="0.2">
      <c r="A61" t="s">
        <v>94</v>
      </c>
    </row>
    <row r="62" spans="1:15" x14ac:dyDescent="0.2">
      <c r="A62" t="s">
        <v>95</v>
      </c>
    </row>
    <row r="63" spans="1:15" x14ac:dyDescent="0.2">
      <c r="A63" t="s">
        <v>112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3"/>
  <sheetViews>
    <sheetView topLeftCell="A27" workbookViewId="0">
      <selection activeCell="A52" sqref="A52:O58"/>
    </sheetView>
  </sheetViews>
  <sheetFormatPr baseColWidth="10" defaultColWidth="8.83203125" defaultRowHeight="15" x14ac:dyDescent="0.2"/>
  <cols>
    <col min="1" max="1" width="50" customWidth="1"/>
    <col min="2" max="15" width="12" customWidth="1"/>
  </cols>
  <sheetData>
    <row r="1" spans="1:15" s="1" customFormat="1" ht="26.75" customHeight="1" x14ac:dyDescent="0.2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</row>
    <row r="2" spans="1:15" x14ac:dyDescent="0.2">
      <c r="A2" t="s">
        <v>15</v>
      </c>
      <c r="B2">
        <v>2</v>
      </c>
      <c r="C2">
        <v>2</v>
      </c>
      <c r="D2">
        <v>2</v>
      </c>
      <c r="E2">
        <v>2</v>
      </c>
      <c r="F2">
        <v>2</v>
      </c>
      <c r="G2">
        <v>0</v>
      </c>
      <c r="H2">
        <v>0</v>
      </c>
      <c r="I2">
        <v>2</v>
      </c>
      <c r="J2">
        <v>2</v>
      </c>
      <c r="K2">
        <v>2</v>
      </c>
      <c r="L2">
        <v>2</v>
      </c>
      <c r="M2">
        <v>2</v>
      </c>
      <c r="N2">
        <v>0</v>
      </c>
      <c r="O2">
        <v>0</v>
      </c>
    </row>
    <row r="3" spans="1:15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19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</row>
    <row r="5" spans="1:15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21</v>
      </c>
      <c r="B6">
        <v>2</v>
      </c>
      <c r="C6">
        <v>2</v>
      </c>
      <c r="D6">
        <v>2</v>
      </c>
      <c r="E6">
        <v>2</v>
      </c>
      <c r="F6">
        <v>2</v>
      </c>
      <c r="G6">
        <v>0</v>
      </c>
      <c r="H6">
        <v>0</v>
      </c>
      <c r="I6">
        <v>2</v>
      </c>
      <c r="J6">
        <v>2</v>
      </c>
      <c r="K6">
        <v>2</v>
      </c>
      <c r="L6">
        <v>2</v>
      </c>
      <c r="M6">
        <v>2</v>
      </c>
      <c r="N6">
        <v>0</v>
      </c>
      <c r="O6">
        <v>0</v>
      </c>
    </row>
    <row r="7" spans="1:15" x14ac:dyDescent="0.2">
      <c r="A7" t="s">
        <v>23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0</v>
      </c>
    </row>
    <row r="8" spans="1:15" x14ac:dyDescent="0.2">
      <c r="A8" t="s">
        <v>25</v>
      </c>
      <c r="B8">
        <v>2</v>
      </c>
      <c r="C8">
        <v>2</v>
      </c>
      <c r="D8">
        <v>2</v>
      </c>
      <c r="E8">
        <v>2</v>
      </c>
      <c r="F8">
        <v>2</v>
      </c>
      <c r="G8">
        <v>0</v>
      </c>
      <c r="H8">
        <v>0</v>
      </c>
      <c r="I8">
        <v>2</v>
      </c>
      <c r="J8">
        <v>2</v>
      </c>
      <c r="K8">
        <v>2</v>
      </c>
      <c r="L8">
        <v>2</v>
      </c>
      <c r="M8">
        <v>2</v>
      </c>
      <c r="N8">
        <v>0</v>
      </c>
      <c r="O8">
        <v>0</v>
      </c>
    </row>
    <row r="9" spans="1:15" x14ac:dyDescent="0.2">
      <c r="A9" t="s">
        <v>26</v>
      </c>
      <c r="B9">
        <v>2</v>
      </c>
      <c r="C9">
        <v>2</v>
      </c>
      <c r="D9">
        <v>2</v>
      </c>
      <c r="E9">
        <v>2</v>
      </c>
      <c r="F9">
        <v>2</v>
      </c>
      <c r="G9">
        <v>0</v>
      </c>
      <c r="H9">
        <v>0</v>
      </c>
      <c r="I9">
        <v>2</v>
      </c>
      <c r="J9">
        <v>2</v>
      </c>
      <c r="K9">
        <v>2</v>
      </c>
      <c r="L9">
        <v>2</v>
      </c>
      <c r="M9">
        <v>2</v>
      </c>
      <c r="N9">
        <v>0</v>
      </c>
      <c r="O9">
        <v>0</v>
      </c>
    </row>
    <row r="10" spans="1:15" x14ac:dyDescent="0.2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32</v>
      </c>
      <c r="B14">
        <v>2</v>
      </c>
      <c r="C14">
        <v>2</v>
      </c>
      <c r="D14">
        <v>2</v>
      </c>
      <c r="E14">
        <v>2</v>
      </c>
      <c r="F14">
        <v>2</v>
      </c>
      <c r="G14">
        <v>0</v>
      </c>
      <c r="H14">
        <v>0</v>
      </c>
      <c r="I14">
        <v>2</v>
      </c>
      <c r="J14">
        <v>2</v>
      </c>
      <c r="K14">
        <v>2</v>
      </c>
      <c r="L14">
        <v>2</v>
      </c>
      <c r="M14">
        <v>2</v>
      </c>
      <c r="N14">
        <v>0</v>
      </c>
      <c r="O14">
        <v>0</v>
      </c>
    </row>
    <row r="15" spans="1:15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37</v>
      </c>
      <c r="B19">
        <v>2</v>
      </c>
      <c r="C19">
        <v>2</v>
      </c>
      <c r="D19">
        <v>2</v>
      </c>
      <c r="E19">
        <v>2</v>
      </c>
      <c r="F19">
        <v>2</v>
      </c>
      <c r="G19">
        <v>0</v>
      </c>
      <c r="H19">
        <v>0</v>
      </c>
      <c r="I19">
        <v>2</v>
      </c>
      <c r="J19">
        <v>2</v>
      </c>
      <c r="K19">
        <v>2</v>
      </c>
      <c r="L19">
        <v>2</v>
      </c>
      <c r="M19">
        <v>2</v>
      </c>
      <c r="N19">
        <v>0</v>
      </c>
      <c r="O19">
        <v>0</v>
      </c>
    </row>
    <row r="20" spans="1:15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43</v>
      </c>
      <c r="B24">
        <v>2</v>
      </c>
      <c r="C24">
        <v>2</v>
      </c>
      <c r="D24">
        <v>2</v>
      </c>
      <c r="E24">
        <v>2</v>
      </c>
      <c r="F24">
        <v>2</v>
      </c>
      <c r="G24">
        <v>0</v>
      </c>
      <c r="H24">
        <v>0</v>
      </c>
      <c r="I24">
        <v>2</v>
      </c>
      <c r="J24">
        <v>2</v>
      </c>
      <c r="K24">
        <v>2</v>
      </c>
      <c r="L24">
        <v>2</v>
      </c>
      <c r="M24">
        <v>2</v>
      </c>
      <c r="N24">
        <v>0</v>
      </c>
      <c r="O24">
        <v>0</v>
      </c>
    </row>
    <row r="25" spans="1:15" x14ac:dyDescent="0.2">
      <c r="A25" t="s">
        <v>44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</row>
    <row r="26" spans="1:15" x14ac:dyDescent="0.2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48</v>
      </c>
      <c r="B28">
        <v>2</v>
      </c>
      <c r="C28">
        <v>2</v>
      </c>
      <c r="D28">
        <v>2</v>
      </c>
      <c r="E28">
        <v>2</v>
      </c>
      <c r="F28">
        <v>2</v>
      </c>
      <c r="G28">
        <v>0</v>
      </c>
      <c r="H28">
        <v>0</v>
      </c>
      <c r="I28">
        <v>2</v>
      </c>
      <c r="J28">
        <v>2</v>
      </c>
      <c r="K28">
        <v>2</v>
      </c>
      <c r="L28">
        <v>2</v>
      </c>
      <c r="M28">
        <v>2</v>
      </c>
      <c r="N28">
        <v>0</v>
      </c>
      <c r="O28">
        <v>0</v>
      </c>
    </row>
    <row r="29" spans="1:15" x14ac:dyDescent="0.2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">
      <c r="A3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61</v>
      </c>
      <c r="B41">
        <v>2</v>
      </c>
      <c r="C41">
        <v>2</v>
      </c>
      <c r="D41">
        <v>2</v>
      </c>
      <c r="E41">
        <v>2</v>
      </c>
      <c r="F41">
        <v>2</v>
      </c>
      <c r="G41">
        <v>0</v>
      </c>
      <c r="H41">
        <v>0</v>
      </c>
      <c r="I41">
        <v>2</v>
      </c>
      <c r="J41">
        <v>2</v>
      </c>
      <c r="K41">
        <v>2</v>
      </c>
      <c r="L41">
        <v>2</v>
      </c>
      <c r="M41">
        <v>2</v>
      </c>
      <c r="N41">
        <v>0</v>
      </c>
      <c r="O41">
        <v>0</v>
      </c>
    </row>
    <row r="42" spans="1:15" x14ac:dyDescent="0.2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t="s">
        <v>62</v>
      </c>
      <c r="B43">
        <v>3</v>
      </c>
      <c r="C43">
        <v>3</v>
      </c>
      <c r="D43">
        <v>3</v>
      </c>
      <c r="E43">
        <v>3</v>
      </c>
      <c r="F43">
        <v>3</v>
      </c>
      <c r="G43">
        <v>0</v>
      </c>
      <c r="H43">
        <v>0</v>
      </c>
      <c r="I43">
        <v>3</v>
      </c>
      <c r="J43">
        <v>3</v>
      </c>
      <c r="K43">
        <v>3</v>
      </c>
      <c r="L43">
        <v>3</v>
      </c>
      <c r="M43">
        <v>3</v>
      </c>
      <c r="N43">
        <v>0</v>
      </c>
      <c r="O43">
        <v>0</v>
      </c>
    </row>
    <row r="44" spans="1:15" x14ac:dyDescent="0.2">
      <c r="A44" t="s">
        <v>64</v>
      </c>
      <c r="B44">
        <v>2</v>
      </c>
      <c r="C44">
        <v>2</v>
      </c>
      <c r="D44">
        <v>2</v>
      </c>
      <c r="E44">
        <v>2</v>
      </c>
      <c r="F44">
        <v>2</v>
      </c>
      <c r="G44">
        <v>0</v>
      </c>
      <c r="H44">
        <v>0</v>
      </c>
      <c r="I44">
        <v>2</v>
      </c>
      <c r="J44">
        <v>2</v>
      </c>
      <c r="K44">
        <v>2</v>
      </c>
      <c r="L44">
        <v>2</v>
      </c>
      <c r="M44">
        <v>2</v>
      </c>
      <c r="N44">
        <v>0</v>
      </c>
      <c r="O44">
        <v>0</v>
      </c>
    </row>
    <row r="45" spans="1:15" x14ac:dyDescent="0.2">
      <c r="A45" t="s">
        <v>65</v>
      </c>
      <c r="B45">
        <v>2</v>
      </c>
      <c r="C45">
        <v>2</v>
      </c>
      <c r="D45">
        <v>2</v>
      </c>
      <c r="E45">
        <v>2</v>
      </c>
      <c r="F45">
        <v>2</v>
      </c>
      <c r="G45">
        <v>0</v>
      </c>
      <c r="H45">
        <v>0</v>
      </c>
      <c r="I45">
        <v>2</v>
      </c>
      <c r="J45">
        <v>2</v>
      </c>
      <c r="K45">
        <v>2</v>
      </c>
      <c r="L45">
        <v>2</v>
      </c>
      <c r="M45">
        <v>2</v>
      </c>
      <c r="N45">
        <v>0</v>
      </c>
      <c r="O45">
        <v>0</v>
      </c>
    </row>
    <row r="46" spans="1:15" x14ac:dyDescent="0.2">
      <c r="A46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s="2" customFormat="1" x14ac:dyDescent="0.2">
      <c r="A52" s="7" t="s">
        <v>88</v>
      </c>
      <c r="B52" s="7">
        <v>28</v>
      </c>
      <c r="C52" s="7">
        <v>28</v>
      </c>
      <c r="D52" s="7">
        <v>28</v>
      </c>
      <c r="E52" s="7">
        <v>28</v>
      </c>
      <c r="F52" s="7">
        <v>28</v>
      </c>
      <c r="G52" s="7">
        <v>0</v>
      </c>
      <c r="H52" s="7">
        <v>0</v>
      </c>
      <c r="I52" s="7">
        <v>28</v>
      </c>
      <c r="J52" s="7">
        <v>28</v>
      </c>
      <c r="K52" s="7">
        <v>28</v>
      </c>
      <c r="L52" s="7">
        <v>28</v>
      </c>
      <c r="M52" s="7">
        <v>28</v>
      </c>
      <c r="N52" s="7">
        <v>0</v>
      </c>
      <c r="O52" s="7">
        <v>0</v>
      </c>
    </row>
    <row r="53" spans="1:15" s="3" customFormat="1" x14ac:dyDescent="0.2">
      <c r="A53" s="8" t="s">
        <v>89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s="4" customFormat="1" x14ac:dyDescent="0.2">
      <c r="A55" s="10" t="s">
        <v>90</v>
      </c>
      <c r="B55" s="10">
        <f>SUM($B$52:B$52)-SUM($B$53:B$53)</f>
        <v>28</v>
      </c>
      <c r="C55" s="10">
        <f>SUM($B$52:C$52)-SUM($B$53:C$53)</f>
        <v>56</v>
      </c>
      <c r="D55" s="10">
        <f>SUM($B$52:D$52)-SUM($B$53:D$53)</f>
        <v>84</v>
      </c>
      <c r="E55" s="10">
        <f>SUM($B$52:E$52)-SUM($B$53:E$53)</f>
        <v>112</v>
      </c>
      <c r="F55" s="10">
        <f>SUM($B$52:F$52)-SUM($B$53:F$53)</f>
        <v>140</v>
      </c>
      <c r="G55" s="10">
        <f>SUM($B$52:G$52)-SUM($B$53:G$53)</f>
        <v>140</v>
      </c>
      <c r="H55" s="10">
        <f>SUM($B$52:H$52)-SUM($B$53:H$53)</f>
        <v>140</v>
      </c>
      <c r="I55" s="10">
        <f>SUM($B$52:I$52)-SUM($B$53:I$53)</f>
        <v>168</v>
      </c>
      <c r="J55" s="10">
        <f>SUM($B$52:J$52)-SUM($B$53:J$53)</f>
        <v>196</v>
      </c>
      <c r="K55" s="10">
        <f>SUM($B$52:K$52)-SUM($B$53:K$53)</f>
        <v>224</v>
      </c>
      <c r="L55" s="10">
        <f>SUM($B$52:L$52)-SUM($B$53:L$53)</f>
        <v>252</v>
      </c>
      <c r="M55" s="10">
        <f>SUM($B$52:M$52)-SUM($B$53:M$53)</f>
        <v>280</v>
      </c>
      <c r="N55" s="10">
        <f>SUM($B$52:N$52)-SUM($B$53:N$53)</f>
        <v>280</v>
      </c>
      <c r="O55" s="10">
        <f>SUM($B$52:O$52)-SUM($B$53:O$53)</f>
        <v>280</v>
      </c>
    </row>
    <row r="56" spans="1:15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s="5" customFormat="1" x14ac:dyDescent="0.2">
      <c r="A57" s="11" t="s">
        <v>91</v>
      </c>
      <c r="B57" s="11">
        <v>1</v>
      </c>
      <c r="C57" s="11">
        <v>2</v>
      </c>
      <c r="D57" s="11">
        <v>3</v>
      </c>
      <c r="E57" s="11">
        <v>4</v>
      </c>
      <c r="F57" s="11">
        <v>5</v>
      </c>
      <c r="G57" s="11">
        <v>6</v>
      </c>
      <c r="H57" s="11">
        <v>7</v>
      </c>
      <c r="I57" s="11">
        <v>8</v>
      </c>
      <c r="J57" s="11">
        <v>9</v>
      </c>
      <c r="K57" s="11">
        <v>10</v>
      </c>
      <c r="L57" s="11">
        <v>11</v>
      </c>
      <c r="M57" s="11">
        <v>12</v>
      </c>
      <c r="N57" s="11">
        <v>13</v>
      </c>
      <c r="O57" s="11">
        <v>14</v>
      </c>
    </row>
    <row r="58" spans="1:15" x14ac:dyDescent="0.2">
      <c r="A58" s="9" t="s">
        <v>92</v>
      </c>
      <c r="B58" s="9">
        <f t="shared" ref="B58:O58" si="0">B55</f>
        <v>28</v>
      </c>
      <c r="C58" s="9">
        <f t="shared" si="0"/>
        <v>56</v>
      </c>
      <c r="D58" s="9">
        <f t="shared" si="0"/>
        <v>84</v>
      </c>
      <c r="E58" s="9">
        <f t="shared" si="0"/>
        <v>112</v>
      </c>
      <c r="F58" s="9">
        <f t="shared" si="0"/>
        <v>140</v>
      </c>
      <c r="G58" s="9">
        <f t="shared" si="0"/>
        <v>140</v>
      </c>
      <c r="H58" s="9">
        <f t="shared" si="0"/>
        <v>140</v>
      </c>
      <c r="I58" s="9">
        <f t="shared" si="0"/>
        <v>168</v>
      </c>
      <c r="J58" s="9">
        <f t="shared" si="0"/>
        <v>196</v>
      </c>
      <c r="K58" s="9">
        <f t="shared" si="0"/>
        <v>224</v>
      </c>
      <c r="L58" s="9">
        <f t="shared" si="0"/>
        <v>252</v>
      </c>
      <c r="M58" s="9">
        <f t="shared" si="0"/>
        <v>280</v>
      </c>
      <c r="N58" s="9">
        <f t="shared" si="0"/>
        <v>280</v>
      </c>
      <c r="O58" s="9">
        <f t="shared" si="0"/>
        <v>280</v>
      </c>
    </row>
    <row r="60" spans="1:15" s="6" customFormat="1" x14ac:dyDescent="0.2">
      <c r="A60" s="6" t="s">
        <v>127</v>
      </c>
    </row>
    <row r="61" spans="1:15" x14ac:dyDescent="0.2">
      <c r="A61" t="s">
        <v>94</v>
      </c>
    </row>
    <row r="62" spans="1:15" x14ac:dyDescent="0.2">
      <c r="A62" t="s">
        <v>95</v>
      </c>
    </row>
    <row r="63" spans="1:15" x14ac:dyDescent="0.2">
      <c r="A63" t="s">
        <v>128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3"/>
  <sheetViews>
    <sheetView topLeftCell="A20" workbookViewId="0">
      <selection activeCell="A52" sqref="A52:O58"/>
    </sheetView>
  </sheetViews>
  <sheetFormatPr baseColWidth="10" defaultColWidth="8.83203125" defaultRowHeight="15" x14ac:dyDescent="0.2"/>
  <cols>
    <col min="1" max="1" width="50" customWidth="1"/>
    <col min="2" max="15" width="12" customWidth="1"/>
  </cols>
  <sheetData>
    <row r="1" spans="1:15" s="1" customFormat="1" ht="26.75" customHeight="1" x14ac:dyDescent="0.2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</row>
    <row r="2" spans="1:15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19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</row>
    <row r="5" spans="1:15" x14ac:dyDescent="0.2">
      <c r="A5" t="s">
        <v>20</v>
      </c>
      <c r="B5">
        <v>2</v>
      </c>
      <c r="C5">
        <v>2</v>
      </c>
      <c r="D5">
        <v>2</v>
      </c>
      <c r="E5">
        <v>2</v>
      </c>
      <c r="F5">
        <v>2</v>
      </c>
      <c r="G5">
        <v>0</v>
      </c>
      <c r="H5">
        <v>0</v>
      </c>
      <c r="I5">
        <v>2</v>
      </c>
      <c r="J5">
        <v>2</v>
      </c>
      <c r="K5">
        <v>2</v>
      </c>
      <c r="L5">
        <v>2</v>
      </c>
      <c r="M5">
        <v>2</v>
      </c>
      <c r="N5">
        <v>0</v>
      </c>
      <c r="O5">
        <v>0</v>
      </c>
    </row>
    <row r="6" spans="1:15" x14ac:dyDescent="0.2">
      <c r="A6" t="s">
        <v>21</v>
      </c>
      <c r="B6">
        <v>2</v>
      </c>
      <c r="C6">
        <v>2</v>
      </c>
      <c r="D6">
        <v>2</v>
      </c>
      <c r="E6">
        <v>2</v>
      </c>
      <c r="F6">
        <v>2</v>
      </c>
      <c r="G6">
        <v>0</v>
      </c>
      <c r="H6">
        <v>0</v>
      </c>
      <c r="I6">
        <v>2</v>
      </c>
      <c r="J6">
        <v>2</v>
      </c>
      <c r="K6">
        <v>2</v>
      </c>
      <c r="L6">
        <v>2</v>
      </c>
      <c r="M6">
        <v>2</v>
      </c>
      <c r="N6">
        <v>0</v>
      </c>
      <c r="O6">
        <v>0</v>
      </c>
    </row>
    <row r="7" spans="1:15" x14ac:dyDescent="0.2">
      <c r="A7" t="s">
        <v>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25</v>
      </c>
      <c r="B8">
        <v>2</v>
      </c>
      <c r="C8">
        <v>2</v>
      </c>
      <c r="D8">
        <v>2</v>
      </c>
      <c r="E8">
        <v>2</v>
      </c>
      <c r="F8">
        <v>2</v>
      </c>
      <c r="G8">
        <v>0</v>
      </c>
      <c r="H8">
        <v>0</v>
      </c>
      <c r="I8">
        <v>2</v>
      </c>
      <c r="J8">
        <v>2</v>
      </c>
      <c r="K8">
        <v>2</v>
      </c>
      <c r="L8">
        <v>2</v>
      </c>
      <c r="M8">
        <v>2</v>
      </c>
      <c r="N8">
        <v>0</v>
      </c>
      <c r="O8">
        <v>0</v>
      </c>
    </row>
    <row r="9" spans="1:15" x14ac:dyDescent="0.2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33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</row>
    <row r="16" spans="1:15" x14ac:dyDescent="0.2">
      <c r="A16" t="s">
        <v>34</v>
      </c>
      <c r="B16">
        <v>2</v>
      </c>
      <c r="C16">
        <v>2</v>
      </c>
      <c r="D16">
        <v>2</v>
      </c>
      <c r="E16">
        <v>2</v>
      </c>
      <c r="F16">
        <v>2</v>
      </c>
      <c r="G16">
        <v>0</v>
      </c>
      <c r="H16">
        <v>0</v>
      </c>
      <c r="I16">
        <v>2</v>
      </c>
      <c r="J16">
        <v>2</v>
      </c>
      <c r="K16">
        <v>2</v>
      </c>
      <c r="L16">
        <v>2</v>
      </c>
      <c r="M16">
        <v>2</v>
      </c>
      <c r="N16">
        <v>0</v>
      </c>
      <c r="O16">
        <v>0</v>
      </c>
    </row>
    <row r="17" spans="1:15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42</v>
      </c>
      <c r="B23">
        <v>2</v>
      </c>
      <c r="C23">
        <v>2</v>
      </c>
      <c r="D23">
        <v>2</v>
      </c>
      <c r="E23">
        <v>2</v>
      </c>
      <c r="F23">
        <v>2</v>
      </c>
      <c r="G23">
        <v>0</v>
      </c>
      <c r="H23">
        <v>0</v>
      </c>
      <c r="I23">
        <v>2</v>
      </c>
      <c r="J23">
        <v>2</v>
      </c>
      <c r="K23">
        <v>2</v>
      </c>
      <c r="L23">
        <v>2</v>
      </c>
      <c r="M23">
        <v>2</v>
      </c>
      <c r="N23">
        <v>0</v>
      </c>
      <c r="O23">
        <v>0</v>
      </c>
    </row>
    <row r="24" spans="1:15" x14ac:dyDescent="0.2">
      <c r="A24" t="s">
        <v>43</v>
      </c>
      <c r="B24">
        <v>2</v>
      </c>
      <c r="C24">
        <v>2</v>
      </c>
      <c r="D24">
        <v>2</v>
      </c>
      <c r="E24">
        <v>2</v>
      </c>
      <c r="F24">
        <v>2</v>
      </c>
      <c r="G24">
        <v>0</v>
      </c>
      <c r="H24">
        <v>0</v>
      </c>
      <c r="I24">
        <v>2</v>
      </c>
      <c r="J24">
        <v>2</v>
      </c>
      <c r="K24">
        <v>2</v>
      </c>
      <c r="L24">
        <v>2</v>
      </c>
      <c r="M24">
        <v>2</v>
      </c>
      <c r="N24">
        <v>0</v>
      </c>
      <c r="O24">
        <v>0</v>
      </c>
    </row>
    <row r="25" spans="1:15" x14ac:dyDescent="0.2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48</v>
      </c>
      <c r="B28">
        <v>2</v>
      </c>
      <c r="C28">
        <v>2</v>
      </c>
      <c r="D28">
        <v>2</v>
      </c>
      <c r="E28">
        <v>2</v>
      </c>
      <c r="F28">
        <v>2</v>
      </c>
      <c r="G28">
        <v>0</v>
      </c>
      <c r="H28">
        <v>0</v>
      </c>
      <c r="I28">
        <v>2</v>
      </c>
      <c r="J28">
        <v>2</v>
      </c>
      <c r="K28">
        <v>2</v>
      </c>
      <c r="L28">
        <v>2</v>
      </c>
      <c r="M28">
        <v>2</v>
      </c>
      <c r="N28">
        <v>0</v>
      </c>
      <c r="O28">
        <v>0</v>
      </c>
    </row>
    <row r="29" spans="1:15" x14ac:dyDescent="0.2">
      <c r="A29" t="s">
        <v>49</v>
      </c>
      <c r="B29">
        <v>2</v>
      </c>
      <c r="C29">
        <v>2</v>
      </c>
      <c r="D29">
        <v>2</v>
      </c>
      <c r="E29">
        <v>2</v>
      </c>
      <c r="F29">
        <v>2</v>
      </c>
      <c r="G29">
        <v>0</v>
      </c>
      <c r="H29">
        <v>0</v>
      </c>
      <c r="I29">
        <v>2</v>
      </c>
      <c r="J29">
        <v>2</v>
      </c>
      <c r="K29">
        <v>2</v>
      </c>
      <c r="L29">
        <v>2</v>
      </c>
      <c r="M29">
        <v>2</v>
      </c>
      <c r="N29">
        <v>0</v>
      </c>
      <c r="O29">
        <v>0</v>
      </c>
    </row>
    <row r="30" spans="1:15" x14ac:dyDescent="0.2">
      <c r="A30" t="s">
        <v>50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0</v>
      </c>
    </row>
    <row r="31" spans="1:15" x14ac:dyDescent="0.2">
      <c r="A3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55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0</v>
      </c>
    </row>
    <row r="36" spans="1:15" x14ac:dyDescent="0.2">
      <c r="A36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58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</row>
    <row r="39" spans="1:15" x14ac:dyDescent="0.2">
      <c r="A39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61</v>
      </c>
      <c r="B41">
        <v>2</v>
      </c>
      <c r="C41">
        <v>2</v>
      </c>
      <c r="D41">
        <v>2</v>
      </c>
      <c r="E41">
        <v>2</v>
      </c>
      <c r="F41">
        <v>2</v>
      </c>
      <c r="G41">
        <v>0</v>
      </c>
      <c r="H41">
        <v>0</v>
      </c>
      <c r="I41">
        <v>2</v>
      </c>
      <c r="J41">
        <v>2</v>
      </c>
      <c r="K41">
        <v>2</v>
      </c>
      <c r="L41">
        <v>2</v>
      </c>
      <c r="M41">
        <v>2</v>
      </c>
      <c r="N41">
        <v>0</v>
      </c>
      <c r="O41">
        <v>0</v>
      </c>
    </row>
    <row r="42" spans="1:15" x14ac:dyDescent="0.2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t="s">
        <v>62</v>
      </c>
      <c r="B43">
        <v>3</v>
      </c>
      <c r="C43">
        <v>3</v>
      </c>
      <c r="D43">
        <v>3</v>
      </c>
      <c r="E43">
        <v>3</v>
      </c>
      <c r="F43">
        <v>3</v>
      </c>
      <c r="G43">
        <v>0</v>
      </c>
      <c r="H43">
        <v>0</v>
      </c>
      <c r="I43">
        <v>3</v>
      </c>
      <c r="J43">
        <v>3</v>
      </c>
      <c r="K43">
        <v>3</v>
      </c>
      <c r="L43">
        <v>3</v>
      </c>
      <c r="M43">
        <v>3</v>
      </c>
      <c r="N43">
        <v>0</v>
      </c>
      <c r="O43">
        <v>0</v>
      </c>
    </row>
    <row r="44" spans="1:15" x14ac:dyDescent="0.2">
      <c r="A44" t="s">
        <v>64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0</v>
      </c>
    </row>
    <row r="45" spans="1:15" x14ac:dyDescent="0.2">
      <c r="A45" t="s">
        <v>65</v>
      </c>
      <c r="B45">
        <v>2</v>
      </c>
      <c r="C45">
        <v>2</v>
      </c>
      <c r="D45">
        <v>2</v>
      </c>
      <c r="E45">
        <v>2</v>
      </c>
      <c r="F45">
        <v>2</v>
      </c>
      <c r="G45">
        <v>0</v>
      </c>
      <c r="H45">
        <v>0</v>
      </c>
      <c r="I45">
        <v>2</v>
      </c>
      <c r="J45">
        <v>2</v>
      </c>
      <c r="K45">
        <v>2</v>
      </c>
      <c r="L45">
        <v>2</v>
      </c>
      <c r="M45">
        <v>2</v>
      </c>
      <c r="N45">
        <v>0</v>
      </c>
      <c r="O45">
        <v>0</v>
      </c>
    </row>
    <row r="46" spans="1:15" x14ac:dyDescent="0.2">
      <c r="A46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s="2" customFormat="1" x14ac:dyDescent="0.2">
      <c r="A52" s="7" t="s">
        <v>88</v>
      </c>
      <c r="B52" s="7">
        <v>29</v>
      </c>
      <c r="C52" s="7">
        <v>29</v>
      </c>
      <c r="D52" s="7">
        <v>29</v>
      </c>
      <c r="E52" s="7">
        <v>29</v>
      </c>
      <c r="F52" s="7">
        <v>29</v>
      </c>
      <c r="G52" s="7">
        <v>0</v>
      </c>
      <c r="H52" s="7">
        <v>0</v>
      </c>
      <c r="I52" s="7">
        <v>29</v>
      </c>
      <c r="J52" s="7">
        <v>29</v>
      </c>
      <c r="K52" s="7">
        <v>29</v>
      </c>
      <c r="L52" s="7">
        <v>29</v>
      </c>
      <c r="M52" s="7">
        <v>29</v>
      </c>
      <c r="N52" s="7">
        <v>0</v>
      </c>
      <c r="O52" s="7">
        <v>0</v>
      </c>
    </row>
    <row r="53" spans="1:15" s="3" customFormat="1" x14ac:dyDescent="0.2">
      <c r="A53" s="8" t="s">
        <v>89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s="4" customFormat="1" x14ac:dyDescent="0.2">
      <c r="A55" s="10" t="s">
        <v>90</v>
      </c>
      <c r="B55" s="10">
        <f>SUM($B$52:B$52)-SUM($B$53:B$53)</f>
        <v>29</v>
      </c>
      <c r="C55" s="10">
        <f>SUM($B$52:C$52)-SUM($B$53:C$53)</f>
        <v>58</v>
      </c>
      <c r="D55" s="10">
        <f>SUM($B$52:D$52)-SUM($B$53:D$53)</f>
        <v>87</v>
      </c>
      <c r="E55" s="10">
        <f>SUM($B$52:E$52)-SUM($B$53:E$53)</f>
        <v>116</v>
      </c>
      <c r="F55" s="10">
        <f>SUM($B$52:F$52)-SUM($B$53:F$53)</f>
        <v>145</v>
      </c>
      <c r="G55" s="10">
        <f>SUM($B$52:G$52)-SUM($B$53:G$53)</f>
        <v>145</v>
      </c>
      <c r="H55" s="10">
        <f>SUM($B$52:H$52)-SUM($B$53:H$53)</f>
        <v>145</v>
      </c>
      <c r="I55" s="10">
        <f>SUM($B$52:I$52)-SUM($B$53:I$53)</f>
        <v>174</v>
      </c>
      <c r="J55" s="10">
        <f>SUM($B$52:J$52)-SUM($B$53:J$53)</f>
        <v>203</v>
      </c>
      <c r="K55" s="10">
        <f>SUM($B$52:K$52)-SUM($B$53:K$53)</f>
        <v>232</v>
      </c>
      <c r="L55" s="10">
        <f>SUM($B$52:L$52)-SUM($B$53:L$53)</f>
        <v>261</v>
      </c>
      <c r="M55" s="10">
        <f>SUM($B$52:M$52)-SUM($B$53:M$53)</f>
        <v>290</v>
      </c>
      <c r="N55" s="10">
        <f>SUM($B$52:N$52)-SUM($B$53:N$53)</f>
        <v>290</v>
      </c>
      <c r="O55" s="10">
        <f>SUM($B$52:O$52)-SUM($B$53:O$53)</f>
        <v>290</v>
      </c>
    </row>
    <row r="56" spans="1:15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s="5" customFormat="1" x14ac:dyDescent="0.2">
      <c r="A57" s="11" t="s">
        <v>91</v>
      </c>
      <c r="B57" s="11">
        <v>1</v>
      </c>
      <c r="C57" s="11">
        <v>2</v>
      </c>
      <c r="D57" s="11">
        <v>3</v>
      </c>
      <c r="E57" s="11">
        <v>4</v>
      </c>
      <c r="F57" s="11">
        <v>5</v>
      </c>
      <c r="G57" s="11">
        <v>6</v>
      </c>
      <c r="H57" s="11">
        <v>7</v>
      </c>
      <c r="I57" s="11">
        <v>8</v>
      </c>
      <c r="J57" s="11">
        <v>9</v>
      </c>
      <c r="K57" s="11">
        <v>10</v>
      </c>
      <c r="L57" s="11">
        <v>11</v>
      </c>
      <c r="M57" s="11">
        <v>12</v>
      </c>
      <c r="N57" s="11">
        <v>13</v>
      </c>
      <c r="O57" s="11">
        <v>14</v>
      </c>
    </row>
    <row r="58" spans="1:15" x14ac:dyDescent="0.2">
      <c r="A58" s="9" t="s">
        <v>92</v>
      </c>
      <c r="B58" s="9">
        <f t="shared" ref="B58:O58" si="0">B55</f>
        <v>29</v>
      </c>
      <c r="C58" s="9">
        <f t="shared" si="0"/>
        <v>58</v>
      </c>
      <c r="D58" s="9">
        <f t="shared" si="0"/>
        <v>87</v>
      </c>
      <c r="E58" s="9">
        <f t="shared" si="0"/>
        <v>116</v>
      </c>
      <c r="F58" s="9">
        <f t="shared" si="0"/>
        <v>145</v>
      </c>
      <c r="G58" s="9">
        <f t="shared" si="0"/>
        <v>145</v>
      </c>
      <c r="H58" s="9">
        <f t="shared" si="0"/>
        <v>145</v>
      </c>
      <c r="I58" s="9">
        <f t="shared" si="0"/>
        <v>174</v>
      </c>
      <c r="J58" s="9">
        <f t="shared" si="0"/>
        <v>203</v>
      </c>
      <c r="K58" s="9">
        <f t="shared" si="0"/>
        <v>232</v>
      </c>
      <c r="L58" s="9">
        <f t="shared" si="0"/>
        <v>261</v>
      </c>
      <c r="M58" s="9">
        <f t="shared" si="0"/>
        <v>290</v>
      </c>
      <c r="N58" s="9">
        <f t="shared" si="0"/>
        <v>290</v>
      </c>
      <c r="O58" s="9">
        <f t="shared" si="0"/>
        <v>290</v>
      </c>
    </row>
    <row r="60" spans="1:15" s="6" customFormat="1" x14ac:dyDescent="0.2">
      <c r="A60" s="6" t="s">
        <v>143</v>
      </c>
    </row>
    <row r="61" spans="1:15" x14ac:dyDescent="0.2">
      <c r="A61" t="s">
        <v>94</v>
      </c>
    </row>
    <row r="62" spans="1:15" x14ac:dyDescent="0.2">
      <c r="A62" t="s">
        <v>95</v>
      </c>
    </row>
    <row r="63" spans="1:15" x14ac:dyDescent="0.2">
      <c r="A63" t="s">
        <v>144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3"/>
  <sheetViews>
    <sheetView topLeftCell="A22" workbookViewId="0">
      <selection activeCell="A28" sqref="A28"/>
    </sheetView>
  </sheetViews>
  <sheetFormatPr baseColWidth="10" defaultColWidth="8.83203125" defaultRowHeight="15" x14ac:dyDescent="0.2"/>
  <cols>
    <col min="1" max="1" width="50" customWidth="1"/>
    <col min="2" max="15" width="12" customWidth="1"/>
  </cols>
  <sheetData>
    <row r="1" spans="1:15" s="1" customFormat="1" ht="26.75" customHeight="1" x14ac:dyDescent="0.2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</row>
    <row r="2" spans="1:15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21</v>
      </c>
      <c r="B6">
        <v>2</v>
      </c>
      <c r="C6">
        <v>2</v>
      </c>
      <c r="D6">
        <v>2</v>
      </c>
      <c r="E6">
        <v>2</v>
      </c>
      <c r="F6">
        <v>2</v>
      </c>
      <c r="G6">
        <v>0</v>
      </c>
      <c r="H6">
        <v>0</v>
      </c>
      <c r="I6">
        <v>2</v>
      </c>
      <c r="J6">
        <v>2</v>
      </c>
      <c r="K6">
        <v>2</v>
      </c>
      <c r="L6">
        <v>2</v>
      </c>
      <c r="M6">
        <v>2</v>
      </c>
      <c r="N6">
        <v>0</v>
      </c>
      <c r="O6">
        <v>0</v>
      </c>
    </row>
    <row r="7" spans="1:15" x14ac:dyDescent="0.2">
      <c r="A7" t="s">
        <v>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34</v>
      </c>
      <c r="B16">
        <v>2</v>
      </c>
      <c r="C16">
        <v>2</v>
      </c>
      <c r="D16">
        <v>2</v>
      </c>
      <c r="E16">
        <v>2</v>
      </c>
      <c r="F16">
        <v>2</v>
      </c>
      <c r="G16">
        <v>0</v>
      </c>
      <c r="H16">
        <v>0</v>
      </c>
      <c r="I16">
        <v>2</v>
      </c>
      <c r="J16">
        <v>2</v>
      </c>
      <c r="K16">
        <v>2</v>
      </c>
      <c r="L16">
        <v>2</v>
      </c>
      <c r="M16">
        <v>2</v>
      </c>
      <c r="N16">
        <v>0</v>
      </c>
      <c r="O16">
        <v>0</v>
      </c>
    </row>
    <row r="17" spans="1:15" x14ac:dyDescent="0.2">
      <c r="A17" t="s">
        <v>35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</row>
    <row r="18" spans="1:15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45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0</v>
      </c>
    </row>
    <row r="27" spans="1:15" x14ac:dyDescent="0.2">
      <c r="A27" t="s">
        <v>47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</row>
    <row r="28" spans="1:15" x14ac:dyDescent="0.2">
      <c r="A28" t="s">
        <v>48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</row>
    <row r="29" spans="1:15" x14ac:dyDescent="0.2">
      <c r="A29" t="s">
        <v>49</v>
      </c>
      <c r="B29">
        <v>2</v>
      </c>
      <c r="C29">
        <v>2</v>
      </c>
      <c r="D29">
        <v>2</v>
      </c>
      <c r="E29">
        <v>2</v>
      </c>
      <c r="F29">
        <v>2</v>
      </c>
      <c r="G29">
        <v>0</v>
      </c>
      <c r="H29">
        <v>0</v>
      </c>
      <c r="I29">
        <v>2</v>
      </c>
      <c r="J29">
        <v>2</v>
      </c>
      <c r="K29">
        <v>2</v>
      </c>
      <c r="L29">
        <v>2</v>
      </c>
      <c r="M29">
        <v>2</v>
      </c>
      <c r="N29">
        <v>0</v>
      </c>
      <c r="O29">
        <v>0</v>
      </c>
    </row>
    <row r="30" spans="1:15" x14ac:dyDescent="0.2">
      <c r="A30" t="s">
        <v>50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0</v>
      </c>
    </row>
    <row r="31" spans="1:15" x14ac:dyDescent="0.2">
      <c r="A31" t="s">
        <v>51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</row>
    <row r="32" spans="1:15" x14ac:dyDescent="0.2">
      <c r="A32" t="s">
        <v>52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0</v>
      </c>
      <c r="O32">
        <v>0</v>
      </c>
    </row>
    <row r="33" spans="1:15" x14ac:dyDescent="0.2">
      <c r="A33" t="s">
        <v>53</v>
      </c>
      <c r="B33">
        <v>2</v>
      </c>
      <c r="C33">
        <v>2</v>
      </c>
      <c r="D33">
        <v>2</v>
      </c>
      <c r="E33">
        <v>2</v>
      </c>
      <c r="F33">
        <v>2</v>
      </c>
      <c r="G33">
        <v>0</v>
      </c>
      <c r="H33">
        <v>0</v>
      </c>
      <c r="I33">
        <v>2</v>
      </c>
      <c r="J33">
        <v>2</v>
      </c>
      <c r="K33">
        <v>2</v>
      </c>
      <c r="L33">
        <v>2</v>
      </c>
      <c r="M33">
        <v>2</v>
      </c>
      <c r="N33">
        <v>0</v>
      </c>
      <c r="O33">
        <v>0</v>
      </c>
    </row>
    <row r="34" spans="1:15" x14ac:dyDescent="0.2">
      <c r="A34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55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0</v>
      </c>
    </row>
    <row r="36" spans="1:15" x14ac:dyDescent="0.2">
      <c r="A36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58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</row>
    <row r="39" spans="1:15" x14ac:dyDescent="0.2">
      <c r="A39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60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</row>
    <row r="41" spans="1:15" x14ac:dyDescent="0.2">
      <c r="A4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61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</row>
    <row r="43" spans="1:15" x14ac:dyDescent="0.2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t="s">
        <v>64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0</v>
      </c>
    </row>
    <row r="45" spans="1:15" x14ac:dyDescent="0.2">
      <c r="A45" t="s">
        <v>65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0</v>
      </c>
    </row>
    <row r="46" spans="1:15" x14ac:dyDescent="0.2">
      <c r="A46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s="2" customFormat="1" x14ac:dyDescent="0.2">
      <c r="A52" s="7" t="s">
        <v>88</v>
      </c>
      <c r="B52" s="7">
        <v>21</v>
      </c>
      <c r="C52" s="7">
        <v>21</v>
      </c>
      <c r="D52" s="7">
        <v>21</v>
      </c>
      <c r="E52" s="7">
        <v>21</v>
      </c>
      <c r="F52" s="7">
        <v>21</v>
      </c>
      <c r="G52" s="7">
        <v>0</v>
      </c>
      <c r="H52" s="7">
        <v>0</v>
      </c>
      <c r="I52" s="7">
        <v>21</v>
      </c>
      <c r="J52" s="7">
        <v>21</v>
      </c>
      <c r="K52" s="7">
        <v>21</v>
      </c>
      <c r="L52" s="7">
        <v>21</v>
      </c>
      <c r="M52" s="7">
        <v>21</v>
      </c>
      <c r="N52" s="7">
        <v>0</v>
      </c>
      <c r="O52" s="7">
        <v>0</v>
      </c>
    </row>
    <row r="53" spans="1:15" s="3" customFormat="1" x14ac:dyDescent="0.2">
      <c r="A53" s="8" t="s">
        <v>89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s="4" customFormat="1" x14ac:dyDescent="0.2">
      <c r="A55" s="10" t="s">
        <v>90</v>
      </c>
      <c r="B55" s="10">
        <f>SUM($B$52:B$52)-SUM($B$53:B$53)</f>
        <v>21</v>
      </c>
      <c r="C55" s="10">
        <f>SUM($B$52:C$52)-SUM($B$53:C$53)</f>
        <v>42</v>
      </c>
      <c r="D55" s="10">
        <f>SUM($B$52:D$52)-SUM($B$53:D$53)</f>
        <v>63</v>
      </c>
      <c r="E55" s="10">
        <f>SUM($B$52:E$52)-SUM($B$53:E$53)</f>
        <v>84</v>
      </c>
      <c r="F55" s="10">
        <f>SUM($B$52:F$52)-SUM($B$53:F$53)</f>
        <v>105</v>
      </c>
      <c r="G55" s="10">
        <f>SUM($B$52:G$52)-SUM($B$53:G$53)</f>
        <v>105</v>
      </c>
      <c r="H55" s="10">
        <f>SUM($B$52:H$52)-SUM($B$53:H$53)</f>
        <v>105</v>
      </c>
      <c r="I55" s="10">
        <f>SUM($B$52:I$52)-SUM($B$53:I$53)</f>
        <v>126</v>
      </c>
      <c r="J55" s="10">
        <f>SUM($B$52:J$52)-SUM($B$53:J$53)</f>
        <v>147</v>
      </c>
      <c r="K55" s="10">
        <f>SUM($B$52:K$52)-SUM($B$53:K$53)</f>
        <v>168</v>
      </c>
      <c r="L55" s="10">
        <f>SUM($B$52:L$52)-SUM($B$53:L$53)</f>
        <v>189</v>
      </c>
      <c r="M55" s="10">
        <f>SUM($B$52:M$52)-SUM($B$53:M$53)</f>
        <v>210</v>
      </c>
      <c r="N55" s="10">
        <f>SUM($B$52:N$52)-SUM($B$53:N$53)</f>
        <v>210</v>
      </c>
      <c r="O55" s="10">
        <f>SUM($B$52:O$52)-SUM($B$53:O$53)</f>
        <v>210</v>
      </c>
    </row>
    <row r="56" spans="1:15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s="5" customFormat="1" x14ac:dyDescent="0.2">
      <c r="A57" s="11" t="s">
        <v>91</v>
      </c>
      <c r="B57" s="11">
        <v>1</v>
      </c>
      <c r="C57" s="11">
        <v>2</v>
      </c>
      <c r="D57" s="11">
        <v>3</v>
      </c>
      <c r="E57" s="11">
        <v>4</v>
      </c>
      <c r="F57" s="11">
        <v>5</v>
      </c>
      <c r="G57" s="11">
        <v>6</v>
      </c>
      <c r="H57" s="11">
        <v>7</v>
      </c>
      <c r="I57" s="11">
        <v>8</v>
      </c>
      <c r="J57" s="11">
        <v>9</v>
      </c>
      <c r="K57" s="11">
        <v>10</v>
      </c>
      <c r="L57" s="11">
        <v>11</v>
      </c>
      <c r="M57" s="11">
        <v>12</v>
      </c>
      <c r="N57" s="11">
        <v>13</v>
      </c>
      <c r="O57" s="11">
        <v>14</v>
      </c>
    </row>
    <row r="58" spans="1:15" x14ac:dyDescent="0.2">
      <c r="A58" s="9" t="s">
        <v>92</v>
      </c>
      <c r="B58" s="9">
        <f t="shared" ref="B58:O58" si="0">B55</f>
        <v>21</v>
      </c>
      <c r="C58" s="9">
        <f t="shared" si="0"/>
        <v>42</v>
      </c>
      <c r="D58" s="9">
        <f t="shared" si="0"/>
        <v>63</v>
      </c>
      <c r="E58" s="9">
        <f t="shared" si="0"/>
        <v>84</v>
      </c>
      <c r="F58" s="9">
        <f t="shared" si="0"/>
        <v>105</v>
      </c>
      <c r="G58" s="9">
        <f t="shared" si="0"/>
        <v>105</v>
      </c>
      <c r="H58" s="9">
        <f t="shared" si="0"/>
        <v>105</v>
      </c>
      <c r="I58" s="9">
        <f t="shared" si="0"/>
        <v>126</v>
      </c>
      <c r="J58" s="9">
        <f t="shared" si="0"/>
        <v>147</v>
      </c>
      <c r="K58" s="9">
        <f t="shared" si="0"/>
        <v>168</v>
      </c>
      <c r="L58" s="9">
        <f t="shared" si="0"/>
        <v>189</v>
      </c>
      <c r="M58" s="9">
        <f t="shared" si="0"/>
        <v>210</v>
      </c>
      <c r="N58" s="9">
        <f t="shared" si="0"/>
        <v>210</v>
      </c>
      <c r="O58" s="9">
        <f t="shared" si="0"/>
        <v>210</v>
      </c>
    </row>
    <row r="60" spans="1:15" s="6" customFormat="1" x14ac:dyDescent="0.2">
      <c r="A60" s="6" t="s">
        <v>159</v>
      </c>
    </row>
    <row r="61" spans="1:15" x14ac:dyDescent="0.2">
      <c r="A61" t="s">
        <v>94</v>
      </c>
    </row>
    <row r="62" spans="1:15" x14ac:dyDescent="0.2">
      <c r="A62" t="s">
        <v>95</v>
      </c>
    </row>
    <row r="63" spans="1:15" x14ac:dyDescent="0.2">
      <c r="A63" t="s">
        <v>160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3"/>
  <sheetViews>
    <sheetView topLeftCell="A29" workbookViewId="0">
      <selection activeCell="A52" sqref="A52:O58"/>
    </sheetView>
  </sheetViews>
  <sheetFormatPr baseColWidth="10" defaultColWidth="8.83203125" defaultRowHeight="15" x14ac:dyDescent="0.2"/>
  <cols>
    <col min="1" max="1" width="50" customWidth="1"/>
    <col min="2" max="15" width="12" customWidth="1"/>
  </cols>
  <sheetData>
    <row r="1" spans="1:15" s="1" customFormat="1" ht="26.75" customHeight="1" x14ac:dyDescent="0.2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</row>
    <row r="2" spans="1:15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35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</row>
    <row r="18" spans="1:15" x14ac:dyDescent="0.2">
      <c r="A18" t="s">
        <v>36</v>
      </c>
      <c r="B18">
        <v>2</v>
      </c>
      <c r="C18">
        <v>2</v>
      </c>
      <c r="D18">
        <v>2</v>
      </c>
      <c r="E18">
        <v>2</v>
      </c>
      <c r="F18">
        <v>2</v>
      </c>
      <c r="G18">
        <v>0</v>
      </c>
      <c r="H18">
        <v>0</v>
      </c>
      <c r="I18">
        <v>2</v>
      </c>
      <c r="J18">
        <v>2</v>
      </c>
      <c r="K18">
        <v>2</v>
      </c>
      <c r="L18">
        <v>2</v>
      </c>
      <c r="M18">
        <v>2</v>
      </c>
      <c r="N18">
        <v>0</v>
      </c>
      <c r="O18">
        <v>0</v>
      </c>
    </row>
    <row r="19" spans="1:15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45</v>
      </c>
      <c r="B26">
        <v>2</v>
      </c>
      <c r="C26">
        <v>2</v>
      </c>
      <c r="D26">
        <v>2</v>
      </c>
      <c r="E26">
        <v>2</v>
      </c>
      <c r="F26">
        <v>2</v>
      </c>
      <c r="G26">
        <v>0</v>
      </c>
      <c r="H26">
        <v>0</v>
      </c>
      <c r="I26">
        <v>2</v>
      </c>
      <c r="J26">
        <v>2</v>
      </c>
      <c r="K26">
        <v>2</v>
      </c>
      <c r="L26">
        <v>2</v>
      </c>
      <c r="M26">
        <v>2</v>
      </c>
      <c r="N26">
        <v>0</v>
      </c>
      <c r="O26">
        <v>0</v>
      </c>
    </row>
    <row r="27" spans="1:15" x14ac:dyDescent="0.2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">
      <c r="A3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t="s">
        <v>52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0</v>
      </c>
      <c r="O32">
        <v>0</v>
      </c>
    </row>
    <row r="33" spans="1:15" x14ac:dyDescent="0.2">
      <c r="A33" t="s">
        <v>53</v>
      </c>
      <c r="B33">
        <v>2</v>
      </c>
      <c r="C33">
        <v>2</v>
      </c>
      <c r="D33">
        <v>2</v>
      </c>
      <c r="E33">
        <v>2</v>
      </c>
      <c r="F33">
        <v>2</v>
      </c>
      <c r="G33">
        <v>0</v>
      </c>
      <c r="H33">
        <v>0</v>
      </c>
      <c r="I33">
        <v>2</v>
      </c>
      <c r="J33">
        <v>2</v>
      </c>
      <c r="K33">
        <v>2</v>
      </c>
      <c r="L33">
        <v>2</v>
      </c>
      <c r="M33">
        <v>2</v>
      </c>
      <c r="N33">
        <v>0</v>
      </c>
      <c r="O33">
        <v>0</v>
      </c>
    </row>
    <row r="34" spans="1:15" x14ac:dyDescent="0.2">
      <c r="A34" t="s">
        <v>54</v>
      </c>
      <c r="B34">
        <v>2</v>
      </c>
      <c r="C34">
        <v>2</v>
      </c>
      <c r="D34">
        <v>2</v>
      </c>
      <c r="E34">
        <v>2</v>
      </c>
      <c r="F34">
        <v>2</v>
      </c>
      <c r="G34">
        <v>0</v>
      </c>
      <c r="H34">
        <v>0</v>
      </c>
      <c r="I34">
        <v>2</v>
      </c>
      <c r="J34">
        <v>2</v>
      </c>
      <c r="K34">
        <v>2</v>
      </c>
      <c r="L34">
        <v>2</v>
      </c>
      <c r="M34">
        <v>2</v>
      </c>
      <c r="N34">
        <v>0</v>
      </c>
      <c r="O34">
        <v>0</v>
      </c>
    </row>
    <row r="35" spans="1:15" x14ac:dyDescent="0.2">
      <c r="A35" t="s">
        <v>55</v>
      </c>
      <c r="B35">
        <v>2</v>
      </c>
      <c r="C35">
        <v>2</v>
      </c>
      <c r="D35">
        <v>2</v>
      </c>
      <c r="E35">
        <v>2</v>
      </c>
      <c r="F35">
        <v>2</v>
      </c>
      <c r="G35">
        <v>0</v>
      </c>
      <c r="H35">
        <v>0</v>
      </c>
      <c r="I35">
        <v>2</v>
      </c>
      <c r="J35">
        <v>2</v>
      </c>
      <c r="K35">
        <v>2</v>
      </c>
      <c r="L35">
        <v>2</v>
      </c>
      <c r="M35">
        <v>2</v>
      </c>
      <c r="N35">
        <v>0</v>
      </c>
      <c r="O35">
        <v>0</v>
      </c>
    </row>
    <row r="36" spans="1:15" x14ac:dyDescent="0.2">
      <c r="A36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58</v>
      </c>
      <c r="B38">
        <v>2</v>
      </c>
      <c r="C38">
        <v>2</v>
      </c>
      <c r="D38">
        <v>2</v>
      </c>
      <c r="E38">
        <v>2</v>
      </c>
      <c r="F38">
        <v>2</v>
      </c>
      <c r="G38">
        <v>0</v>
      </c>
      <c r="H38">
        <v>0</v>
      </c>
      <c r="I38">
        <v>2</v>
      </c>
      <c r="J38">
        <v>2</v>
      </c>
      <c r="K38">
        <v>2</v>
      </c>
      <c r="L38">
        <v>2</v>
      </c>
      <c r="M38">
        <v>2</v>
      </c>
      <c r="N38">
        <v>0</v>
      </c>
      <c r="O38">
        <v>0</v>
      </c>
    </row>
    <row r="39" spans="1:15" x14ac:dyDescent="0.2">
      <c r="A39" t="s">
        <v>59</v>
      </c>
      <c r="B39">
        <v>2</v>
      </c>
      <c r="C39">
        <v>2</v>
      </c>
      <c r="D39">
        <v>2</v>
      </c>
      <c r="E39">
        <v>2</v>
      </c>
      <c r="F39">
        <v>2</v>
      </c>
      <c r="G39">
        <v>0</v>
      </c>
      <c r="H39">
        <v>0</v>
      </c>
      <c r="I39">
        <v>2</v>
      </c>
      <c r="J39">
        <v>2</v>
      </c>
      <c r="K39">
        <v>2</v>
      </c>
      <c r="L39">
        <v>2</v>
      </c>
      <c r="M39">
        <v>2</v>
      </c>
      <c r="N39">
        <v>0</v>
      </c>
      <c r="O39">
        <v>0</v>
      </c>
    </row>
    <row r="40" spans="1:15" x14ac:dyDescent="0.2">
      <c r="A40" t="s">
        <v>60</v>
      </c>
      <c r="B40">
        <v>2</v>
      </c>
      <c r="C40">
        <v>2</v>
      </c>
      <c r="D40">
        <v>2</v>
      </c>
      <c r="E40">
        <v>2</v>
      </c>
      <c r="F40">
        <v>2</v>
      </c>
      <c r="G40">
        <v>0</v>
      </c>
      <c r="H40">
        <v>0</v>
      </c>
      <c r="I40">
        <v>2</v>
      </c>
      <c r="J40">
        <v>2</v>
      </c>
      <c r="K40">
        <v>2</v>
      </c>
      <c r="L40">
        <v>2</v>
      </c>
      <c r="M40">
        <v>2</v>
      </c>
      <c r="N40">
        <v>0</v>
      </c>
      <c r="O40">
        <v>0</v>
      </c>
    </row>
    <row r="41" spans="1:15" x14ac:dyDescent="0.2">
      <c r="A4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61</v>
      </c>
      <c r="B42">
        <v>2</v>
      </c>
      <c r="C42">
        <v>2</v>
      </c>
      <c r="D42">
        <v>2</v>
      </c>
      <c r="E42">
        <v>2</v>
      </c>
      <c r="F42">
        <v>2</v>
      </c>
      <c r="G42">
        <v>0</v>
      </c>
      <c r="H42">
        <v>0</v>
      </c>
      <c r="I42">
        <v>2</v>
      </c>
      <c r="J42">
        <v>2</v>
      </c>
      <c r="K42">
        <v>2</v>
      </c>
      <c r="L42">
        <v>2</v>
      </c>
      <c r="M42">
        <v>2</v>
      </c>
      <c r="N42">
        <v>0</v>
      </c>
      <c r="O42">
        <v>0</v>
      </c>
    </row>
    <row r="43" spans="1:15" x14ac:dyDescent="0.2">
      <c r="A43" t="s">
        <v>62</v>
      </c>
      <c r="B43">
        <v>3</v>
      </c>
      <c r="C43">
        <v>3</v>
      </c>
      <c r="D43">
        <v>3</v>
      </c>
      <c r="E43">
        <v>3</v>
      </c>
      <c r="F43">
        <v>3</v>
      </c>
      <c r="G43">
        <v>0</v>
      </c>
      <c r="H43">
        <v>0</v>
      </c>
      <c r="I43">
        <v>3</v>
      </c>
      <c r="J43">
        <v>3</v>
      </c>
      <c r="K43">
        <v>3</v>
      </c>
      <c r="L43">
        <v>3</v>
      </c>
      <c r="M43">
        <v>3</v>
      </c>
      <c r="N43">
        <v>0</v>
      </c>
      <c r="O43">
        <v>0</v>
      </c>
    </row>
    <row r="44" spans="1:15" x14ac:dyDescent="0.2">
      <c r="A44" t="s">
        <v>64</v>
      </c>
      <c r="B44">
        <v>2</v>
      </c>
      <c r="C44">
        <v>2</v>
      </c>
      <c r="D44">
        <v>2</v>
      </c>
      <c r="E44">
        <v>2</v>
      </c>
      <c r="F44">
        <v>2</v>
      </c>
      <c r="G44">
        <v>0</v>
      </c>
      <c r="H44">
        <v>0</v>
      </c>
      <c r="I44">
        <v>2</v>
      </c>
      <c r="J44">
        <v>2</v>
      </c>
      <c r="K44">
        <v>2</v>
      </c>
      <c r="L44">
        <v>2</v>
      </c>
      <c r="M44">
        <v>2</v>
      </c>
      <c r="N44">
        <v>0</v>
      </c>
      <c r="O44">
        <v>0</v>
      </c>
    </row>
    <row r="45" spans="1:15" x14ac:dyDescent="0.2">
      <c r="A45" t="s">
        <v>65</v>
      </c>
      <c r="B45">
        <v>2</v>
      </c>
      <c r="C45">
        <v>2</v>
      </c>
      <c r="D45">
        <v>2</v>
      </c>
      <c r="E45">
        <v>2</v>
      </c>
      <c r="F45">
        <v>2</v>
      </c>
      <c r="G45">
        <v>0</v>
      </c>
      <c r="H45">
        <v>0</v>
      </c>
      <c r="I45">
        <v>2</v>
      </c>
      <c r="J45">
        <v>2</v>
      </c>
      <c r="K45">
        <v>2</v>
      </c>
      <c r="L45">
        <v>2</v>
      </c>
      <c r="M45">
        <v>2</v>
      </c>
      <c r="N45">
        <v>0</v>
      </c>
      <c r="O45">
        <v>0</v>
      </c>
    </row>
    <row r="46" spans="1:15" x14ac:dyDescent="0.2">
      <c r="A46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s="2" customFormat="1" x14ac:dyDescent="0.2">
      <c r="A52" s="7" t="s">
        <v>88</v>
      </c>
      <c r="B52" s="7">
        <v>27</v>
      </c>
      <c r="C52" s="7">
        <v>27</v>
      </c>
      <c r="D52" s="7">
        <v>27</v>
      </c>
      <c r="E52" s="7">
        <v>27</v>
      </c>
      <c r="F52" s="7">
        <v>27</v>
      </c>
      <c r="G52" s="7">
        <v>0</v>
      </c>
      <c r="H52" s="7">
        <v>0</v>
      </c>
      <c r="I52" s="7">
        <v>27</v>
      </c>
      <c r="J52" s="7">
        <v>27</v>
      </c>
      <c r="K52" s="7">
        <v>27</v>
      </c>
      <c r="L52" s="7">
        <v>27</v>
      </c>
      <c r="M52" s="7">
        <v>27</v>
      </c>
      <c r="N52" s="7">
        <v>0</v>
      </c>
      <c r="O52" s="7">
        <v>0</v>
      </c>
    </row>
    <row r="53" spans="1:15" s="3" customFormat="1" x14ac:dyDescent="0.2">
      <c r="A53" s="8" t="s">
        <v>89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s="4" customFormat="1" x14ac:dyDescent="0.2">
      <c r="A55" s="10" t="s">
        <v>90</v>
      </c>
      <c r="B55" s="10">
        <f>SUM($B$52:B$52)-SUM($B$53:B$53)</f>
        <v>27</v>
      </c>
      <c r="C55" s="10">
        <f>SUM($B$52:C$52)-SUM($B$53:C$53)</f>
        <v>54</v>
      </c>
      <c r="D55" s="10">
        <f>SUM($B$52:D$52)-SUM($B$53:D$53)</f>
        <v>81</v>
      </c>
      <c r="E55" s="10">
        <f>SUM($B$52:E$52)-SUM($B$53:E$53)</f>
        <v>108</v>
      </c>
      <c r="F55" s="10">
        <f>SUM($B$52:F$52)-SUM($B$53:F$53)</f>
        <v>135</v>
      </c>
      <c r="G55" s="10">
        <f>SUM($B$52:G$52)-SUM($B$53:G$53)</f>
        <v>135</v>
      </c>
      <c r="H55" s="10">
        <f>SUM($B$52:H$52)-SUM($B$53:H$53)</f>
        <v>135</v>
      </c>
      <c r="I55" s="10">
        <f>SUM($B$52:I$52)-SUM($B$53:I$53)</f>
        <v>162</v>
      </c>
      <c r="J55" s="10">
        <f>SUM($B$52:J$52)-SUM($B$53:J$53)</f>
        <v>189</v>
      </c>
      <c r="K55" s="10">
        <f>SUM($B$52:K$52)-SUM($B$53:K$53)</f>
        <v>216</v>
      </c>
      <c r="L55" s="10">
        <f>SUM($B$52:L$52)-SUM($B$53:L$53)</f>
        <v>243</v>
      </c>
      <c r="M55" s="10">
        <f>SUM($B$52:M$52)-SUM($B$53:M$53)</f>
        <v>270</v>
      </c>
      <c r="N55" s="10">
        <f>SUM($B$52:N$52)-SUM($B$53:N$53)</f>
        <v>270</v>
      </c>
      <c r="O55" s="10">
        <f>SUM($B$52:O$52)-SUM($B$53:O$53)</f>
        <v>270</v>
      </c>
    </row>
    <row r="56" spans="1:15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s="5" customFormat="1" x14ac:dyDescent="0.2">
      <c r="A57" s="11" t="s">
        <v>91</v>
      </c>
      <c r="B57" s="11">
        <v>1</v>
      </c>
      <c r="C57" s="11">
        <v>2</v>
      </c>
      <c r="D57" s="11">
        <v>3</v>
      </c>
      <c r="E57" s="11">
        <v>4</v>
      </c>
      <c r="F57" s="11">
        <v>5</v>
      </c>
      <c r="G57" s="11">
        <v>6</v>
      </c>
      <c r="H57" s="11">
        <v>7</v>
      </c>
      <c r="I57" s="11">
        <v>8</v>
      </c>
      <c r="J57" s="11">
        <v>9</v>
      </c>
      <c r="K57" s="11">
        <v>10</v>
      </c>
      <c r="L57" s="11">
        <v>11</v>
      </c>
      <c r="M57" s="11">
        <v>12</v>
      </c>
      <c r="N57" s="11">
        <v>13</v>
      </c>
      <c r="O57" s="11">
        <v>14</v>
      </c>
    </row>
    <row r="58" spans="1:15" x14ac:dyDescent="0.2">
      <c r="A58" s="9" t="s">
        <v>92</v>
      </c>
      <c r="B58" s="9">
        <f t="shared" ref="B58:O58" si="0">B55</f>
        <v>27</v>
      </c>
      <c r="C58" s="9">
        <f t="shared" si="0"/>
        <v>54</v>
      </c>
      <c r="D58" s="9">
        <f t="shared" si="0"/>
        <v>81</v>
      </c>
      <c r="E58" s="9">
        <f t="shared" si="0"/>
        <v>108</v>
      </c>
      <c r="F58" s="9">
        <f t="shared" si="0"/>
        <v>135</v>
      </c>
      <c r="G58" s="9">
        <f t="shared" si="0"/>
        <v>135</v>
      </c>
      <c r="H58" s="9">
        <f t="shared" si="0"/>
        <v>135</v>
      </c>
      <c r="I58" s="9">
        <f t="shared" si="0"/>
        <v>162</v>
      </c>
      <c r="J58" s="9">
        <f t="shared" si="0"/>
        <v>189</v>
      </c>
      <c r="K58" s="9">
        <f t="shared" si="0"/>
        <v>216</v>
      </c>
      <c r="L58" s="9">
        <f t="shared" si="0"/>
        <v>243</v>
      </c>
      <c r="M58" s="9">
        <f t="shared" si="0"/>
        <v>270</v>
      </c>
      <c r="N58" s="9">
        <f t="shared" si="0"/>
        <v>270</v>
      </c>
      <c r="O58" s="9">
        <f t="shared" si="0"/>
        <v>270</v>
      </c>
    </row>
    <row r="60" spans="1:15" s="6" customFormat="1" x14ac:dyDescent="0.2">
      <c r="A60" s="6" t="s">
        <v>175</v>
      </c>
    </row>
    <row r="61" spans="1:15" x14ac:dyDescent="0.2">
      <c r="A61" t="s">
        <v>94</v>
      </c>
    </row>
    <row r="62" spans="1:15" x14ac:dyDescent="0.2">
      <c r="A62" t="s">
        <v>95</v>
      </c>
    </row>
    <row r="63" spans="1:15" x14ac:dyDescent="0.2">
      <c r="A63" t="s">
        <v>176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3"/>
  <sheetViews>
    <sheetView topLeftCell="A20" workbookViewId="0">
      <selection activeCell="A52" sqref="A52:O58"/>
    </sheetView>
  </sheetViews>
  <sheetFormatPr baseColWidth="10" defaultColWidth="8.83203125" defaultRowHeight="15" x14ac:dyDescent="0.2"/>
  <cols>
    <col min="1" max="1" width="50" customWidth="1"/>
    <col min="2" max="15" width="12" customWidth="1"/>
  </cols>
  <sheetData>
    <row r="1" spans="1:15" s="1" customFormat="1" ht="26.75" customHeight="1" x14ac:dyDescent="0.2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</row>
    <row r="2" spans="1:15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45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0</v>
      </c>
    </row>
    <row r="27" spans="1:15" x14ac:dyDescent="0.2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">
      <c r="A3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53</v>
      </c>
      <c r="B33">
        <v>2</v>
      </c>
      <c r="C33">
        <v>2</v>
      </c>
      <c r="D33">
        <v>2</v>
      </c>
      <c r="E33">
        <v>2</v>
      </c>
      <c r="F33">
        <v>2</v>
      </c>
      <c r="G33">
        <v>0</v>
      </c>
      <c r="H33">
        <v>0</v>
      </c>
      <c r="I33">
        <v>2</v>
      </c>
      <c r="J33">
        <v>2</v>
      </c>
      <c r="K33">
        <v>2</v>
      </c>
      <c r="L33">
        <v>2</v>
      </c>
      <c r="M33">
        <v>2</v>
      </c>
      <c r="N33">
        <v>0</v>
      </c>
      <c r="O33">
        <v>0</v>
      </c>
    </row>
    <row r="34" spans="1:15" x14ac:dyDescent="0.2">
      <c r="A34" t="s">
        <v>54</v>
      </c>
      <c r="B34">
        <v>2</v>
      </c>
      <c r="C34">
        <v>2</v>
      </c>
      <c r="D34">
        <v>2</v>
      </c>
      <c r="E34">
        <v>2</v>
      </c>
      <c r="F34">
        <v>2</v>
      </c>
      <c r="G34">
        <v>0</v>
      </c>
      <c r="H34">
        <v>0</v>
      </c>
      <c r="I34">
        <v>2</v>
      </c>
      <c r="J34">
        <v>2</v>
      </c>
      <c r="K34">
        <v>2</v>
      </c>
      <c r="L34">
        <v>2</v>
      </c>
      <c r="M34">
        <v>2</v>
      </c>
      <c r="N34">
        <v>0</v>
      </c>
      <c r="O34">
        <v>0</v>
      </c>
    </row>
    <row r="35" spans="1:15" x14ac:dyDescent="0.2">
      <c r="A35" t="s">
        <v>55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0</v>
      </c>
    </row>
    <row r="36" spans="1:15" x14ac:dyDescent="0.2">
      <c r="A36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57</v>
      </c>
      <c r="B37">
        <v>2</v>
      </c>
      <c r="C37">
        <v>2</v>
      </c>
      <c r="D37">
        <v>2</v>
      </c>
      <c r="E37">
        <v>2</v>
      </c>
      <c r="F37">
        <v>2</v>
      </c>
      <c r="G37">
        <v>0</v>
      </c>
      <c r="H37">
        <v>0</v>
      </c>
      <c r="I37">
        <v>2</v>
      </c>
      <c r="J37">
        <v>2</v>
      </c>
      <c r="K37">
        <v>2</v>
      </c>
      <c r="L37">
        <v>2</v>
      </c>
      <c r="M37">
        <v>2</v>
      </c>
      <c r="N37">
        <v>0</v>
      </c>
      <c r="O37">
        <v>0</v>
      </c>
    </row>
    <row r="38" spans="1:15" x14ac:dyDescent="0.2">
      <c r="A38" t="s">
        <v>58</v>
      </c>
      <c r="B38">
        <v>2</v>
      </c>
      <c r="C38">
        <v>2</v>
      </c>
      <c r="D38">
        <v>2</v>
      </c>
      <c r="E38">
        <v>2</v>
      </c>
      <c r="F38">
        <v>2</v>
      </c>
      <c r="G38">
        <v>0</v>
      </c>
      <c r="H38">
        <v>0</v>
      </c>
      <c r="I38">
        <v>2</v>
      </c>
      <c r="J38">
        <v>2</v>
      </c>
      <c r="K38">
        <v>2</v>
      </c>
      <c r="L38">
        <v>2</v>
      </c>
      <c r="M38">
        <v>2</v>
      </c>
      <c r="N38">
        <v>0</v>
      </c>
      <c r="O38">
        <v>0</v>
      </c>
    </row>
    <row r="39" spans="1:15" x14ac:dyDescent="0.2">
      <c r="A39" t="s">
        <v>59</v>
      </c>
      <c r="B39">
        <v>2</v>
      </c>
      <c r="C39">
        <v>2</v>
      </c>
      <c r="D39">
        <v>2</v>
      </c>
      <c r="E39">
        <v>2</v>
      </c>
      <c r="F39">
        <v>2</v>
      </c>
      <c r="G39">
        <v>0</v>
      </c>
      <c r="H39">
        <v>0</v>
      </c>
      <c r="I39">
        <v>2</v>
      </c>
      <c r="J39">
        <v>2</v>
      </c>
      <c r="K39">
        <v>2</v>
      </c>
      <c r="L39">
        <v>2</v>
      </c>
      <c r="M39">
        <v>2</v>
      </c>
      <c r="N39">
        <v>0</v>
      </c>
      <c r="O39">
        <v>0</v>
      </c>
    </row>
    <row r="40" spans="1:15" x14ac:dyDescent="0.2">
      <c r="A40" t="s">
        <v>60</v>
      </c>
      <c r="B40">
        <v>2</v>
      </c>
      <c r="C40">
        <v>2</v>
      </c>
      <c r="D40">
        <v>2</v>
      </c>
      <c r="E40">
        <v>2</v>
      </c>
      <c r="F40">
        <v>2</v>
      </c>
      <c r="G40">
        <v>0</v>
      </c>
      <c r="H40">
        <v>0</v>
      </c>
      <c r="I40">
        <v>2</v>
      </c>
      <c r="J40">
        <v>2</v>
      </c>
      <c r="K40">
        <v>2</v>
      </c>
      <c r="L40">
        <v>2</v>
      </c>
      <c r="M40">
        <v>2</v>
      </c>
      <c r="N40">
        <v>0</v>
      </c>
      <c r="O40">
        <v>0</v>
      </c>
    </row>
    <row r="41" spans="1:15" x14ac:dyDescent="0.2">
      <c r="A4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61</v>
      </c>
      <c r="B42">
        <v>2</v>
      </c>
      <c r="C42">
        <v>2</v>
      </c>
      <c r="D42">
        <v>2</v>
      </c>
      <c r="E42">
        <v>2</v>
      </c>
      <c r="F42">
        <v>2</v>
      </c>
      <c r="G42">
        <v>0</v>
      </c>
      <c r="H42">
        <v>0</v>
      </c>
      <c r="I42">
        <v>2</v>
      </c>
      <c r="J42">
        <v>2</v>
      </c>
      <c r="K42">
        <v>2</v>
      </c>
      <c r="L42">
        <v>2</v>
      </c>
      <c r="M42">
        <v>2</v>
      </c>
      <c r="N42">
        <v>0</v>
      </c>
      <c r="O42">
        <v>0</v>
      </c>
    </row>
    <row r="43" spans="1:15" x14ac:dyDescent="0.2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t="s">
        <v>64</v>
      </c>
      <c r="B44">
        <v>2</v>
      </c>
      <c r="C44">
        <v>2</v>
      </c>
      <c r="D44">
        <v>2</v>
      </c>
      <c r="E44">
        <v>2</v>
      </c>
      <c r="F44">
        <v>2</v>
      </c>
      <c r="G44">
        <v>0</v>
      </c>
      <c r="H44">
        <v>0</v>
      </c>
      <c r="I44">
        <v>2</v>
      </c>
      <c r="J44">
        <v>2</v>
      </c>
      <c r="K44">
        <v>2</v>
      </c>
      <c r="L44">
        <v>2</v>
      </c>
      <c r="M44">
        <v>2</v>
      </c>
      <c r="N44">
        <v>0</v>
      </c>
      <c r="O44">
        <v>0</v>
      </c>
    </row>
    <row r="45" spans="1:15" x14ac:dyDescent="0.2">
      <c r="A45" t="s">
        <v>65</v>
      </c>
      <c r="B45">
        <v>2</v>
      </c>
      <c r="C45">
        <v>2</v>
      </c>
      <c r="D45">
        <v>2</v>
      </c>
      <c r="E45">
        <v>2</v>
      </c>
      <c r="F45">
        <v>2</v>
      </c>
      <c r="G45">
        <v>0</v>
      </c>
      <c r="H45">
        <v>0</v>
      </c>
      <c r="I45">
        <v>2</v>
      </c>
      <c r="J45">
        <v>2</v>
      </c>
      <c r="K45">
        <v>2</v>
      </c>
      <c r="L45">
        <v>2</v>
      </c>
      <c r="M45">
        <v>2</v>
      </c>
      <c r="N45">
        <v>0</v>
      </c>
      <c r="O45">
        <v>0</v>
      </c>
    </row>
    <row r="46" spans="1:15" x14ac:dyDescent="0.2">
      <c r="A46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s="2" customFormat="1" x14ac:dyDescent="0.2">
      <c r="A52" s="7" t="s">
        <v>88</v>
      </c>
      <c r="B52" s="7">
        <v>20</v>
      </c>
      <c r="C52" s="7">
        <v>20</v>
      </c>
      <c r="D52" s="7">
        <v>20</v>
      </c>
      <c r="E52" s="7">
        <v>20</v>
      </c>
      <c r="F52" s="7">
        <v>20</v>
      </c>
      <c r="G52" s="7">
        <v>0</v>
      </c>
      <c r="H52" s="7">
        <v>0</v>
      </c>
      <c r="I52" s="7">
        <v>20</v>
      </c>
      <c r="J52" s="7">
        <v>20</v>
      </c>
      <c r="K52" s="7">
        <v>20</v>
      </c>
      <c r="L52" s="7">
        <v>20</v>
      </c>
      <c r="M52" s="7">
        <v>20</v>
      </c>
      <c r="N52" s="7">
        <v>0</v>
      </c>
      <c r="O52" s="7">
        <v>0</v>
      </c>
    </row>
    <row r="53" spans="1:15" s="3" customFormat="1" x14ac:dyDescent="0.2">
      <c r="A53" s="8" t="s">
        <v>89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s="4" customFormat="1" x14ac:dyDescent="0.2">
      <c r="A55" s="10" t="s">
        <v>90</v>
      </c>
      <c r="B55" s="10">
        <f>SUM($B$52:B$52)-SUM($B$53:B$53)</f>
        <v>20</v>
      </c>
      <c r="C55" s="10">
        <f>SUM($B$52:C$52)-SUM($B$53:C$53)</f>
        <v>40</v>
      </c>
      <c r="D55" s="10">
        <f>SUM($B$52:D$52)-SUM($B$53:D$53)</f>
        <v>60</v>
      </c>
      <c r="E55" s="10">
        <f>SUM($B$52:E$52)-SUM($B$53:E$53)</f>
        <v>80</v>
      </c>
      <c r="F55" s="10">
        <f>SUM($B$52:F$52)-SUM($B$53:F$53)</f>
        <v>100</v>
      </c>
      <c r="G55" s="10">
        <f>SUM($B$52:G$52)-SUM($B$53:G$53)</f>
        <v>100</v>
      </c>
      <c r="H55" s="10">
        <f>SUM($B$52:H$52)-SUM($B$53:H$53)</f>
        <v>100</v>
      </c>
      <c r="I55" s="10">
        <f>SUM($B$52:I$52)-SUM($B$53:I$53)</f>
        <v>120</v>
      </c>
      <c r="J55" s="10">
        <f>SUM($B$52:J$52)-SUM($B$53:J$53)</f>
        <v>140</v>
      </c>
      <c r="K55" s="10">
        <f>SUM($B$52:K$52)-SUM($B$53:K$53)</f>
        <v>160</v>
      </c>
      <c r="L55" s="10">
        <f>SUM($B$52:L$52)-SUM($B$53:L$53)</f>
        <v>180</v>
      </c>
      <c r="M55" s="10">
        <f>SUM($B$52:M$52)-SUM($B$53:M$53)</f>
        <v>200</v>
      </c>
      <c r="N55" s="10">
        <f>SUM($B$52:N$52)-SUM($B$53:N$53)</f>
        <v>200</v>
      </c>
      <c r="O55" s="10">
        <f>SUM($B$52:O$52)-SUM($B$53:O$53)</f>
        <v>200</v>
      </c>
    </row>
    <row r="56" spans="1:15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s="5" customFormat="1" x14ac:dyDescent="0.2">
      <c r="A57" s="11" t="s">
        <v>91</v>
      </c>
      <c r="B57" s="11">
        <v>1</v>
      </c>
      <c r="C57" s="11">
        <v>2</v>
      </c>
      <c r="D57" s="11">
        <v>3</v>
      </c>
      <c r="E57" s="11">
        <v>4</v>
      </c>
      <c r="F57" s="11">
        <v>5</v>
      </c>
      <c r="G57" s="11">
        <v>6</v>
      </c>
      <c r="H57" s="11">
        <v>7</v>
      </c>
      <c r="I57" s="11">
        <v>8</v>
      </c>
      <c r="J57" s="11">
        <v>9</v>
      </c>
      <c r="K57" s="11">
        <v>10</v>
      </c>
      <c r="L57" s="11">
        <v>11</v>
      </c>
      <c r="M57" s="11">
        <v>12</v>
      </c>
      <c r="N57" s="11">
        <v>13</v>
      </c>
      <c r="O57" s="11">
        <v>14</v>
      </c>
    </row>
    <row r="58" spans="1:15" x14ac:dyDescent="0.2">
      <c r="A58" s="9" t="s">
        <v>92</v>
      </c>
      <c r="B58" s="9">
        <f t="shared" ref="B58:O58" si="0">B55</f>
        <v>20</v>
      </c>
      <c r="C58" s="9">
        <f t="shared" si="0"/>
        <v>40</v>
      </c>
      <c r="D58" s="9">
        <f t="shared" si="0"/>
        <v>60</v>
      </c>
      <c r="E58" s="9">
        <f t="shared" si="0"/>
        <v>80</v>
      </c>
      <c r="F58" s="9">
        <f t="shared" si="0"/>
        <v>100</v>
      </c>
      <c r="G58" s="9">
        <f t="shared" si="0"/>
        <v>100</v>
      </c>
      <c r="H58" s="9">
        <f t="shared" si="0"/>
        <v>100</v>
      </c>
      <c r="I58" s="9">
        <f t="shared" si="0"/>
        <v>120</v>
      </c>
      <c r="J58" s="9">
        <f t="shared" si="0"/>
        <v>140</v>
      </c>
      <c r="K58" s="9">
        <f t="shared" si="0"/>
        <v>160</v>
      </c>
      <c r="L58" s="9">
        <f t="shared" si="0"/>
        <v>180</v>
      </c>
      <c r="M58" s="9">
        <f t="shared" si="0"/>
        <v>200</v>
      </c>
      <c r="N58" s="9">
        <f t="shared" si="0"/>
        <v>200</v>
      </c>
      <c r="O58" s="9">
        <f t="shared" si="0"/>
        <v>200</v>
      </c>
    </row>
    <row r="60" spans="1:15" s="6" customFormat="1" x14ac:dyDescent="0.2">
      <c r="A60" s="6" t="s">
        <v>191</v>
      </c>
    </row>
    <row r="61" spans="1:15" x14ac:dyDescent="0.2">
      <c r="A61" t="s">
        <v>94</v>
      </c>
    </row>
    <row r="62" spans="1:15" x14ac:dyDescent="0.2">
      <c r="A62" t="s">
        <v>95</v>
      </c>
    </row>
    <row r="63" spans="1:15" x14ac:dyDescent="0.2">
      <c r="A63" t="s">
        <v>192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3"/>
  <sheetViews>
    <sheetView topLeftCell="A38" workbookViewId="0">
      <selection activeCell="A52" sqref="A52:O58"/>
    </sheetView>
  </sheetViews>
  <sheetFormatPr baseColWidth="10" defaultColWidth="8.83203125" defaultRowHeight="15" x14ac:dyDescent="0.2"/>
  <cols>
    <col min="1" max="1" width="50" customWidth="1"/>
    <col min="2" max="15" width="12" customWidth="1"/>
  </cols>
  <sheetData>
    <row r="1" spans="1:15" s="1" customFormat="1" ht="26.75" customHeight="1" x14ac:dyDescent="0.2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</row>
    <row r="2" spans="1:15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">
      <c r="A3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57</v>
      </c>
      <c r="B37">
        <v>2</v>
      </c>
      <c r="C37">
        <v>2</v>
      </c>
      <c r="D37">
        <v>2</v>
      </c>
      <c r="E37">
        <v>2</v>
      </c>
      <c r="F37">
        <v>2</v>
      </c>
      <c r="G37">
        <v>0</v>
      </c>
      <c r="H37">
        <v>0</v>
      </c>
      <c r="I37">
        <v>2</v>
      </c>
      <c r="J37">
        <v>2</v>
      </c>
      <c r="K37">
        <v>2</v>
      </c>
      <c r="L37">
        <v>2</v>
      </c>
      <c r="M37">
        <v>2</v>
      </c>
      <c r="N37">
        <v>0</v>
      </c>
      <c r="O37">
        <v>0</v>
      </c>
    </row>
    <row r="38" spans="1:15" x14ac:dyDescent="0.2">
      <c r="A38" t="s">
        <v>58</v>
      </c>
      <c r="B38">
        <v>2</v>
      </c>
      <c r="C38">
        <v>2</v>
      </c>
      <c r="D38">
        <v>2</v>
      </c>
      <c r="E38">
        <v>2</v>
      </c>
      <c r="F38">
        <v>2</v>
      </c>
      <c r="G38">
        <v>0</v>
      </c>
      <c r="H38">
        <v>0</v>
      </c>
      <c r="I38">
        <v>2</v>
      </c>
      <c r="J38">
        <v>2</v>
      </c>
      <c r="K38">
        <v>2</v>
      </c>
      <c r="L38">
        <v>2</v>
      </c>
      <c r="M38">
        <v>2</v>
      </c>
      <c r="N38">
        <v>0</v>
      </c>
      <c r="O38">
        <v>0</v>
      </c>
    </row>
    <row r="39" spans="1:15" x14ac:dyDescent="0.2">
      <c r="A39" t="s">
        <v>59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</row>
    <row r="40" spans="1:15" x14ac:dyDescent="0.2">
      <c r="A40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t="s">
        <v>64</v>
      </c>
      <c r="B44">
        <v>2</v>
      </c>
      <c r="C44">
        <v>2</v>
      </c>
      <c r="D44">
        <v>2</v>
      </c>
      <c r="E44">
        <v>2</v>
      </c>
      <c r="F44">
        <v>2</v>
      </c>
      <c r="G44">
        <v>0</v>
      </c>
      <c r="H44">
        <v>0</v>
      </c>
      <c r="I44">
        <v>2</v>
      </c>
      <c r="J44">
        <v>2</v>
      </c>
      <c r="K44">
        <v>2</v>
      </c>
      <c r="L44">
        <v>2</v>
      </c>
      <c r="M44">
        <v>2</v>
      </c>
      <c r="N44">
        <v>0</v>
      </c>
      <c r="O44">
        <v>0</v>
      </c>
    </row>
    <row r="45" spans="1:15" x14ac:dyDescent="0.2">
      <c r="A45" t="s">
        <v>65</v>
      </c>
      <c r="B45">
        <v>2</v>
      </c>
      <c r="C45">
        <v>2</v>
      </c>
      <c r="D45">
        <v>2</v>
      </c>
      <c r="E45">
        <v>2</v>
      </c>
      <c r="F45">
        <v>2</v>
      </c>
      <c r="G45">
        <v>0</v>
      </c>
      <c r="H45">
        <v>0</v>
      </c>
      <c r="I45">
        <v>2</v>
      </c>
      <c r="J45">
        <v>2</v>
      </c>
      <c r="K45">
        <v>2</v>
      </c>
      <c r="L45">
        <v>2</v>
      </c>
      <c r="M45">
        <v>2</v>
      </c>
      <c r="N45">
        <v>0</v>
      </c>
      <c r="O45">
        <v>0</v>
      </c>
    </row>
    <row r="46" spans="1:15" x14ac:dyDescent="0.2">
      <c r="A46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s="2" customFormat="1" x14ac:dyDescent="0.2">
      <c r="A52" s="7" t="s">
        <v>88</v>
      </c>
      <c r="B52" s="7">
        <v>9</v>
      </c>
      <c r="C52" s="7">
        <v>9</v>
      </c>
      <c r="D52" s="7">
        <v>9</v>
      </c>
      <c r="E52" s="7">
        <v>9</v>
      </c>
      <c r="F52" s="7">
        <v>9</v>
      </c>
      <c r="G52" s="7">
        <v>0</v>
      </c>
      <c r="H52" s="7">
        <v>0</v>
      </c>
      <c r="I52" s="7">
        <v>9</v>
      </c>
      <c r="J52" s="7">
        <v>9</v>
      </c>
      <c r="K52" s="7">
        <v>9</v>
      </c>
      <c r="L52" s="7">
        <v>9</v>
      </c>
      <c r="M52" s="7">
        <v>9</v>
      </c>
      <c r="N52" s="7">
        <v>0</v>
      </c>
      <c r="O52" s="7">
        <v>0</v>
      </c>
    </row>
    <row r="53" spans="1:15" s="3" customFormat="1" x14ac:dyDescent="0.2">
      <c r="A53" s="8" t="s">
        <v>89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s="4" customFormat="1" x14ac:dyDescent="0.2">
      <c r="A55" s="10" t="s">
        <v>90</v>
      </c>
      <c r="B55" s="10">
        <f>SUM($B$52:B$52)-SUM($B$53:B$53)</f>
        <v>9</v>
      </c>
      <c r="C55" s="10">
        <f>SUM($B$52:C$52)-SUM($B$53:C$53)</f>
        <v>18</v>
      </c>
      <c r="D55" s="10">
        <f>SUM($B$52:D$52)-SUM($B$53:D$53)</f>
        <v>27</v>
      </c>
      <c r="E55" s="10">
        <f>SUM($B$52:E$52)-SUM($B$53:E$53)</f>
        <v>36</v>
      </c>
      <c r="F55" s="10">
        <f>SUM($B$52:F$52)-SUM($B$53:F$53)</f>
        <v>45</v>
      </c>
      <c r="G55" s="10">
        <f>SUM($B$52:G$52)-SUM($B$53:G$53)</f>
        <v>45</v>
      </c>
      <c r="H55" s="10">
        <f>SUM($B$52:H$52)-SUM($B$53:H$53)</f>
        <v>45</v>
      </c>
      <c r="I55" s="10">
        <f>SUM($B$52:I$52)-SUM($B$53:I$53)</f>
        <v>54</v>
      </c>
      <c r="J55" s="10">
        <f>SUM($B$52:J$52)-SUM($B$53:J$53)</f>
        <v>63</v>
      </c>
      <c r="K55" s="10">
        <f>SUM($B$52:K$52)-SUM($B$53:K$53)</f>
        <v>72</v>
      </c>
      <c r="L55" s="10">
        <f>SUM($B$52:L$52)-SUM($B$53:L$53)</f>
        <v>81</v>
      </c>
      <c r="M55" s="10">
        <f>SUM($B$52:M$52)-SUM($B$53:M$53)</f>
        <v>90</v>
      </c>
      <c r="N55" s="10">
        <f>SUM($B$52:N$52)-SUM($B$53:N$53)</f>
        <v>90</v>
      </c>
      <c r="O55" s="10">
        <f>SUM($B$52:O$52)-SUM($B$53:O$53)</f>
        <v>90</v>
      </c>
    </row>
    <row r="56" spans="1:15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s="5" customFormat="1" x14ac:dyDescent="0.2">
      <c r="A57" s="11" t="s">
        <v>91</v>
      </c>
      <c r="B57" s="11">
        <v>1</v>
      </c>
      <c r="C57" s="11">
        <v>2</v>
      </c>
      <c r="D57" s="11">
        <v>3</v>
      </c>
      <c r="E57" s="11">
        <v>4</v>
      </c>
      <c r="F57" s="11">
        <v>5</v>
      </c>
      <c r="G57" s="11">
        <v>6</v>
      </c>
      <c r="H57" s="11">
        <v>7</v>
      </c>
      <c r="I57" s="11">
        <v>8</v>
      </c>
      <c r="J57" s="11">
        <v>9</v>
      </c>
      <c r="K57" s="11">
        <v>10</v>
      </c>
      <c r="L57" s="11">
        <v>11</v>
      </c>
      <c r="M57" s="11">
        <v>12</v>
      </c>
      <c r="N57" s="11">
        <v>13</v>
      </c>
      <c r="O57" s="11">
        <v>14</v>
      </c>
    </row>
    <row r="58" spans="1:15" x14ac:dyDescent="0.2">
      <c r="A58" s="9" t="s">
        <v>92</v>
      </c>
      <c r="B58" s="9">
        <f t="shared" ref="B58:O58" si="0">B55</f>
        <v>9</v>
      </c>
      <c r="C58" s="9">
        <f t="shared" si="0"/>
        <v>18</v>
      </c>
      <c r="D58" s="9">
        <f t="shared" si="0"/>
        <v>27</v>
      </c>
      <c r="E58" s="9">
        <f t="shared" si="0"/>
        <v>36</v>
      </c>
      <c r="F58" s="9">
        <f t="shared" si="0"/>
        <v>45</v>
      </c>
      <c r="G58" s="9">
        <f t="shared" si="0"/>
        <v>45</v>
      </c>
      <c r="H58" s="9">
        <f t="shared" si="0"/>
        <v>45</v>
      </c>
      <c r="I58" s="9">
        <f t="shared" si="0"/>
        <v>54</v>
      </c>
      <c r="J58" s="9">
        <f t="shared" si="0"/>
        <v>63</v>
      </c>
      <c r="K58" s="9">
        <f t="shared" si="0"/>
        <v>72</v>
      </c>
      <c r="L58" s="9">
        <f t="shared" si="0"/>
        <v>81</v>
      </c>
      <c r="M58" s="9">
        <f t="shared" si="0"/>
        <v>90</v>
      </c>
      <c r="N58" s="9">
        <f t="shared" si="0"/>
        <v>90</v>
      </c>
      <c r="O58" s="9">
        <f t="shared" si="0"/>
        <v>90</v>
      </c>
    </row>
    <row r="60" spans="1:15" s="6" customFormat="1" x14ac:dyDescent="0.2">
      <c r="A60" s="6" t="s">
        <v>207</v>
      </c>
    </row>
    <row r="61" spans="1:15" x14ac:dyDescent="0.2">
      <c r="A61" t="s">
        <v>94</v>
      </c>
    </row>
    <row r="62" spans="1:15" x14ac:dyDescent="0.2">
      <c r="A62" t="s">
        <v>95</v>
      </c>
    </row>
    <row r="63" spans="1:15" x14ac:dyDescent="0.2">
      <c r="A63" t="s">
        <v>208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3"/>
  <sheetViews>
    <sheetView topLeftCell="A25" workbookViewId="0">
      <selection activeCell="C42" sqref="C42"/>
    </sheetView>
  </sheetViews>
  <sheetFormatPr baseColWidth="10" defaultColWidth="8.83203125" defaultRowHeight="15" x14ac:dyDescent="0.2"/>
  <cols>
    <col min="1" max="1" width="50" customWidth="1"/>
    <col min="2" max="15" width="12" customWidth="1"/>
  </cols>
  <sheetData>
    <row r="1" spans="1:15" s="1" customFormat="1" ht="26.75" customHeight="1" x14ac:dyDescent="0.2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</row>
    <row r="2" spans="1:15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">
      <c r="A3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">
      <c r="A45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">
      <c r="A46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s="2" customFormat="1" x14ac:dyDescent="0.2">
      <c r="A52" s="7" t="s">
        <v>88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</row>
    <row r="53" spans="1:15" s="3" customFormat="1" x14ac:dyDescent="0.2">
      <c r="A53" s="8" t="s">
        <v>89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s="4" customFormat="1" x14ac:dyDescent="0.2">
      <c r="A55" s="10" t="s">
        <v>90</v>
      </c>
      <c r="B55" s="10">
        <f>SUM($B$52:B$52)-SUM($B$53:B$53)</f>
        <v>0</v>
      </c>
      <c r="C55" s="10">
        <f>SUM($B$52:C$52)-SUM($B$53:C$53)</f>
        <v>0</v>
      </c>
      <c r="D55" s="10">
        <f>SUM($B$52:D$52)-SUM($B$53:D$53)</f>
        <v>0</v>
      </c>
      <c r="E55" s="10">
        <f>SUM($B$52:E$52)-SUM($B$53:E$53)</f>
        <v>0</v>
      </c>
      <c r="F55" s="10">
        <f>SUM($B$52:F$52)-SUM($B$53:F$53)</f>
        <v>0</v>
      </c>
      <c r="G55" s="10">
        <f>SUM($B$52:G$52)-SUM($B$53:G$53)</f>
        <v>0</v>
      </c>
      <c r="H55" s="10">
        <f>SUM($B$52:H$52)-SUM($B$53:H$53)</f>
        <v>0</v>
      </c>
      <c r="I55" s="10">
        <f>SUM($B$52:I$52)-SUM($B$53:I$53)</f>
        <v>0</v>
      </c>
      <c r="J55" s="10">
        <f>SUM($B$52:J$52)-SUM($B$53:J$53)</f>
        <v>0</v>
      </c>
      <c r="K55" s="10">
        <f>SUM($B$52:K$52)-SUM($B$53:K$53)</f>
        <v>0</v>
      </c>
      <c r="L55" s="10">
        <f>SUM($B$52:L$52)-SUM($B$53:L$53)</f>
        <v>0</v>
      </c>
      <c r="M55" s="10">
        <f>SUM($B$52:M$52)-SUM($B$53:M$53)</f>
        <v>0</v>
      </c>
      <c r="N55" s="10">
        <f>SUM($B$52:N$52)-SUM($B$53:N$53)</f>
        <v>0</v>
      </c>
      <c r="O55" s="10">
        <f>SUM($B$52:O$52)-SUM($B$53:O$53)</f>
        <v>0</v>
      </c>
    </row>
    <row r="56" spans="1:15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s="5" customFormat="1" x14ac:dyDescent="0.2">
      <c r="A57" s="11" t="s">
        <v>91</v>
      </c>
      <c r="B57" s="11">
        <v>1</v>
      </c>
      <c r="C57" s="11">
        <v>2</v>
      </c>
      <c r="D57" s="11">
        <v>3</v>
      </c>
      <c r="E57" s="11">
        <v>4</v>
      </c>
      <c r="F57" s="11">
        <v>5</v>
      </c>
      <c r="G57" s="11">
        <v>6</v>
      </c>
      <c r="H57" s="11">
        <v>7</v>
      </c>
      <c r="I57" s="11">
        <v>8</v>
      </c>
      <c r="J57" s="11">
        <v>9</v>
      </c>
      <c r="K57" s="11">
        <v>10</v>
      </c>
      <c r="L57" s="11">
        <v>11</v>
      </c>
      <c r="M57" s="11">
        <v>12</v>
      </c>
      <c r="N57" s="11">
        <v>13</v>
      </c>
      <c r="O57" s="11">
        <v>14</v>
      </c>
    </row>
    <row r="58" spans="1:15" x14ac:dyDescent="0.2">
      <c r="A58" s="9" t="s">
        <v>92</v>
      </c>
      <c r="B58" s="9">
        <f t="shared" ref="B58:O58" si="0">B55</f>
        <v>0</v>
      </c>
      <c r="C58" s="9">
        <f t="shared" si="0"/>
        <v>0</v>
      </c>
      <c r="D58" s="9">
        <f t="shared" si="0"/>
        <v>0</v>
      </c>
      <c r="E58" s="9">
        <f t="shared" si="0"/>
        <v>0</v>
      </c>
      <c r="F58" s="9">
        <f t="shared" si="0"/>
        <v>0</v>
      </c>
      <c r="G58" s="9">
        <f t="shared" si="0"/>
        <v>0</v>
      </c>
      <c r="H58" s="9">
        <f t="shared" si="0"/>
        <v>0</v>
      </c>
      <c r="I58" s="9">
        <f t="shared" si="0"/>
        <v>0</v>
      </c>
      <c r="J58" s="9">
        <f t="shared" si="0"/>
        <v>0</v>
      </c>
      <c r="K58" s="9">
        <f t="shared" si="0"/>
        <v>0</v>
      </c>
      <c r="L58" s="9">
        <f t="shared" si="0"/>
        <v>0</v>
      </c>
      <c r="M58" s="9">
        <f t="shared" si="0"/>
        <v>0</v>
      </c>
      <c r="N58" s="9">
        <f t="shared" si="0"/>
        <v>0</v>
      </c>
      <c r="O58" s="9">
        <f t="shared" si="0"/>
        <v>0</v>
      </c>
    </row>
    <row r="60" spans="1:15" s="6" customFormat="1" x14ac:dyDescent="0.2">
      <c r="A60" s="6" t="s">
        <v>223</v>
      </c>
    </row>
    <row r="61" spans="1:15" x14ac:dyDescent="0.2">
      <c r="A61" t="s">
        <v>94</v>
      </c>
    </row>
    <row r="62" spans="1:15" x14ac:dyDescent="0.2">
      <c r="A62" t="s">
        <v>95</v>
      </c>
    </row>
    <row r="63" spans="1:15" x14ac:dyDescent="0.2">
      <c r="A63" t="s">
        <v>224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Delivery Plan</vt:lpstr>
      <vt:lpstr>Sprint 29</vt:lpstr>
      <vt:lpstr>Sprint 30</vt:lpstr>
      <vt:lpstr>Sprint 31</vt:lpstr>
      <vt:lpstr>Sprint 32</vt:lpstr>
      <vt:lpstr>Sprint 33</vt:lpstr>
      <vt:lpstr>Sprint 34</vt:lpstr>
      <vt:lpstr>Sprint 35</vt:lpstr>
      <vt:lpstr>Sprint 36</vt:lpstr>
      <vt:lpstr>Sprint 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2025-10-30T12:37:37Z</dcterms:created>
  <dcterms:modified xsi:type="dcterms:W3CDTF">2025-10-31T20:19:58Z</dcterms:modified>
</cp:coreProperties>
</file>