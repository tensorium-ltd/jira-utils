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80" windowWidth="30240" windowHeight="18960" activeTab="1"/>
  </bookViews>
  <sheets>
    <sheet sheetId="1" name="Full-Delivery" state="visible" r:id="rId4"/>
    <sheet sheetId="11" name="Progress" state="visible" r:id="rId5"/>
    <sheet sheetId="12" name="Designs" state="visible" r:id="rId6"/>
    <sheet sheetId="2" name="Sprint 30" state="visible" r:id="rId7"/>
    <sheet sheetId="3" name="Sprint 31" state="visible" r:id="rId8"/>
    <sheet sheetId="4" name="Sprint 32" state="visible" r:id="rId9"/>
    <sheet sheetId="5" name="Sprint 33" state="visible" r:id="rId10"/>
    <sheet sheetId="6" name="Sprint 34" state="visible" r:id="rId11"/>
    <sheet sheetId="7" name="Sprint 35" state="visible" r:id="rId12"/>
    <sheet sheetId="8" name="Sprint 36" state="visible" r:id="rId13"/>
    <sheet sheetId="9" name="Sprint 37" state="visible" r:id="rId14"/>
    <sheet sheetId="10" name="Sprint 38" state="visible" r:id="rId15"/>
  </sheets>
  <definedNames>
    <definedName name="_xlnm._FilterDatabase">'Full-Delivery'!$A$1:$L$59</definedName>
  </definedNames>
  <calcPr calcId="171027"/>
</workbook>
</file>

<file path=xl/sharedStrings.xml><?xml version="1.0" encoding="utf-8"?>
<sst xmlns="http://schemas.openxmlformats.org/spreadsheetml/2006/main" count="544" uniqueCount="237">
  <si>
    <t>Epic</t>
  </si>
  <si>
    <t xml:space="preserve"> </t>
  </si>
  <si>
    <t>Release</t>
  </si>
  <si>
    <t>Sprint 30</t>
  </si>
  <si>
    <t>Sprint 31</t>
  </si>
  <si>
    <t>Sprint 32</t>
  </si>
  <si>
    <t>Sprint 33</t>
  </si>
  <si>
    <t>Sprint 34</t>
  </si>
  <si>
    <t>Sprint 35</t>
  </si>
  <si>
    <t>Sprint 36</t>
  </si>
  <si>
    <t>Sprint 37</t>
  </si>
  <si>
    <t>Sprint 38</t>
  </si>
  <si>
    <t>TOTALS</t>
  </si>
  <si>
    <t>Dates</t>
  </si>
  <si>
    <t>Lead Team</t>
  </si>
  <si>
    <t>VER-6968 - Carbon Rate Application</t>
  </si>
  <si>
    <t>Team 1</t>
  </si>
  <si>
    <t>1D</t>
  </si>
  <si>
    <t>VER-7822 - Estimate Request Revised</t>
  </si>
  <si>
    <t>VER-8452 - Role Permissions for NH Reviewer and Approvals</t>
  </si>
  <si>
    <t>VER-9084 - Template Mapping Config</t>
  </si>
  <si>
    <t>VER-8473 - Implement Full Custom Fields (WBS)</t>
  </si>
  <si>
    <t>Team 2</t>
  </si>
  <si>
    <t>VER-6825 - Tagging and Dimensions (Admin)</t>
  </si>
  <si>
    <t>Team 3</t>
  </si>
  <si>
    <t>VER-8474 - Tagging and Dimensions (WBS)</t>
  </si>
  <si>
    <t>VER-8476 - Reporting Foundations (Admin)</t>
  </si>
  <si>
    <t>VER-7425 - Sub-Items Resource in Estimate</t>
  </si>
  <si>
    <t>Team 4</t>
  </si>
  <si>
    <t>VER-7504 - Template Library Browser</t>
  </si>
  <si>
    <t>VER-8767 - Template Library Admin Roles and Audit</t>
  </si>
  <si>
    <t>VER-8768 - Template Library CRUD Ops</t>
  </si>
  <si>
    <t>VER-8758 - Template Library Create Estimate from Templatee</t>
  </si>
  <si>
    <t>VER-8678 - Supply Chain - Forecast Browser</t>
  </si>
  <si>
    <t>VER-8680 - Supply Chain - Supplier data entry and submission</t>
  </si>
  <si>
    <t>VER-8681 - Supply Chain - Data Consolodation and Validation</t>
  </si>
  <si>
    <t>VER-8682 - Supply Chain - Submit Revision for NH Review</t>
  </si>
  <si>
    <t>VER-8858 - Supply Chain - Forecasting Admin Controls</t>
  </si>
  <si>
    <t>VER-7936 - Resource Library in WBS (FE Uplift)</t>
  </si>
  <si>
    <t>VER-8014 - Implement App-wide changes</t>
  </si>
  <si>
    <t>Team 5</t>
  </si>
  <si>
    <t>VER-8168 - Advanced Quote Numbering</t>
  </si>
  <si>
    <t>VER-8679 - Supply Chain - Manage Revision</t>
  </si>
  <si>
    <t>VER-8921 - Supply Chain - Forecast initiation and distribution</t>
  </si>
  <si>
    <t>VER-8999 - Standardisation API contract</t>
  </si>
  <si>
    <t>VER-8953 - Estimate and Control Element Comparator</t>
  </si>
  <si>
    <t>2A</t>
  </si>
  <si>
    <t>VER-8954 - Carbon Export</t>
  </si>
  <si>
    <t>VER-8570 - Inflation - Library Setup and WBS</t>
  </si>
  <si>
    <t>VER-8903 - Inflation Rebasing and Future Inflation</t>
  </si>
  <si>
    <t>VER-8565 - LTA Estimate Shell and Template</t>
  </si>
  <si>
    <t>VER-8966 - Estimate Export - Expediture Profile - O&amp;M</t>
  </si>
  <si>
    <t>VER-7815 - Estimate Export - Expenditure Profile - AR</t>
  </si>
  <si>
    <t>VER-8955 - Audit Log and Traceability</t>
  </si>
  <si>
    <t>VER-7878 - O&amp;M fixed reports</t>
  </si>
  <si>
    <t>VER-7879 - Asset Renewals Fixed Reports</t>
  </si>
  <si>
    <t>VER-8916 - WBS Filtering Tags and Custom Fields</t>
  </si>
  <si>
    <t>VER-9028 - Workflow (email/notifications)</t>
  </si>
  <si>
    <t>VER-9049 - Supply Chain - R2A Scope</t>
  </si>
  <si>
    <t>VER-8959 - EPD</t>
  </si>
  <si>
    <t>VER-8958 - Scenario Analysis</t>
  </si>
  <si>
    <t>VER-TBC - Tech Debt</t>
  </si>
  <si>
    <t>STABILIZATION</t>
  </si>
  <si>
    <t>STABILIZE</t>
  </si>
  <si>
    <t>BUGS</t>
  </si>
  <si>
    <t>CONTINGENCY</t>
  </si>
  <si>
    <t>CONTING</t>
  </si>
  <si>
    <t>TOTAL Committed Story Points Per Sprint</t>
  </si>
  <si>
    <t>DELIVERED TODAY</t>
  </si>
  <si>
    <t>Story Points Delivered</t>
  </si>
  <si>
    <t>]</t>
  </si>
  <si>
    <t>SCRIPT IGNORE BELOW HERE</t>
  </si>
  <si>
    <t>Development</t>
  </si>
  <si>
    <t>XMAS Week</t>
  </si>
  <si>
    <t>R1D Total SP</t>
  </si>
  <si>
    <t>R2A Total SP</t>
  </si>
  <si>
    <t>Bugs Total</t>
  </si>
  <si>
    <t>Tech Debt Total</t>
  </si>
  <si>
    <t>Contingency Total</t>
  </si>
  <si>
    <t>TOTAL PROJECT REMAING STORY POINTS</t>
  </si>
  <si>
    <t>Date</t>
  </si>
  <si>
    <t>Committed Story Points</t>
  </si>
  <si>
    <t>Actual Story Points</t>
  </si>
  <si>
    <t>Cumulative Committed</t>
  </si>
  <si>
    <t>Cumulative Actual</t>
  </si>
  <si>
    <t>Variance</t>
  </si>
  <si>
    <t>Burndown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</si>
  <si>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</si>
  <si>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</si>
  <si>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</si>
  <si>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</si>
  <si>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</si>
  <si>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</si>
  <si>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</si>
  <si>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</si>
  <si>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</si>
  <si>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</si>
  <si>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</si>
  <si>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</si>
  <si>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</si>
  <si>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</si>
  <si>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Story Points Committed</t>
  </si>
  <si>
    <t>Story Points Remaining</t>
  </si>
  <si>
    <t>Day</t>
  </si>
  <si>
    <t>Points Remaining</t>
  </si>
  <si>
    <t>To create burndown chart for Sprint 30:</t>
  </si>
  <si>
    <t>1. Select the Day and Points Remaining data above</t>
  </si>
  <si>
    <t>2. Insert &gt; Chart &gt; Line Chart</t>
  </si>
  <si>
    <t>3. Set chart title to "Burndown for Sprint 30"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</si>
  <si>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</si>
  <si>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</si>
  <si>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</si>
  <si>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</si>
  <si>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</si>
  <si>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</si>
  <si>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</si>
  <si>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</si>
  <si>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</si>
  <si>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</si>
  <si>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</si>
  <si>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</si>
  <si>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</si>
  <si>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</si>
  <si>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To create burndown chart for Sprint 31:</t>
  </si>
  <si>
    <t>3. Set chart title to "Burndown for Sprint 31"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</si>
  <si>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</si>
  <si>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</si>
  <si>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</si>
  <si>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</si>
  <si>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</si>
  <si>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</si>
  <si>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</si>
  <si>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</si>
  <si>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</si>
  <si>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</si>
  <si>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</si>
  <si>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</si>
  <si>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</si>
  <si>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</si>
  <si>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To create burndown chart for Sprint 32:</t>
  </si>
  <si>
    <t>3. Set chart title to "Burndown for Sprint 32"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</si>
  <si>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</si>
  <si>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</si>
  <si>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</si>
  <si>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</si>
  <si>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</si>
  <si>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</si>
  <si>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</si>
  <si>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</si>
  <si>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</si>
  <si>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</si>
  <si>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</si>
  <si>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</si>
  <si>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</si>
  <si>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</si>
  <si>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To create burndown chart for Sprint 33:</t>
  </si>
  <si>
    <t>3. Set chart title to "Burndown for Sprint 33"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</si>
  <si>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</si>
  <si>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</si>
  <si>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</si>
  <si>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</si>
  <si>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</si>
  <si>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</si>
  <si>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</si>
  <si>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</si>
  <si>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</si>
  <si>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</si>
  <si>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</si>
  <si>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</si>
  <si>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</si>
  <si>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</si>
  <si>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To create burndown chart for Sprint 34:</t>
  </si>
  <si>
    <t>3. Set chart title to "Burndown for Sprint 34"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</si>
  <si>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</si>
  <si>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</si>
  <si>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</si>
  <si>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</si>
  <si>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</si>
  <si>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</si>
  <si>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</si>
  <si>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</si>
  <si>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</si>
  <si>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</si>
  <si>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</si>
  <si>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</si>
  <si>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</si>
  <si>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</si>
  <si>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To create burndown chart for Sprint 35:</t>
  </si>
  <si>
    <t>3. Set chart title to "Burndown for Sprint 35"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</si>
  <si>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</si>
  <si>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</si>
  <si>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</si>
  <si>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</si>
  <si>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</si>
  <si>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</si>
  <si>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</si>
  <si>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</si>
  <si>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</si>
  <si>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</si>
  <si>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</si>
  <si>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</si>
  <si>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</si>
  <si>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</si>
  <si>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To create burndown chart for Sprint 36:</t>
  </si>
  <si>
    <t>3. Set chart title to "Burndown for Sprint 36"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</si>
  <si>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</si>
  <si>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</si>
  <si>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</si>
  <si>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</si>
  <si>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</si>
  <si>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</si>
  <si>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</si>
  <si>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</si>
  <si>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</si>
  <si>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</si>
  <si>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</si>
  <si>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</si>
  <si>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</si>
  <si>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</si>
  <si>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To create burndown chart for Sprint 37:</t>
  </si>
  <si>
    <t>3. Set chart title to "Burndown for Sprint 37"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</si>
  <si>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</si>
  <si>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</si>
  <si>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</si>
  <si>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</si>
  <si>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</si>
  <si>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</si>
  <si>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</si>
  <si>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</si>
  <si>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</si>
  <si>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</si>
  <si>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</si>
  <si>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</si>
  <si>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</si>
  <si>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</si>
  <si>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To create burndown chart for Sprint 38:</t>
  </si>
  <si>
    <t>3. Set chart title to "Burndown for Sprint 38"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</si>
</sst>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1"/>
      <name val="Calibri"/>
    </font>
    <font>
      <b/>
      <color rgb="FFFFFFFF"/>
      <family val="2"/>
      <sz val="11"/>
      <name val="Calibri"/>
    </font>
    <font>
      <b/>
      <color rgb="FFFFFFFF"/>
    </font>
    <font>
      <b/>
    </font>
    <font>
      <b/>
      <color rgb="FF0000FF"/>
    </font>
  </fonts>
  <fills count="13">
    <fill>
      <patternFill patternType="none"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3" fillId="0" borderId="1" xfId="0" applyFont="1" applyBorder="1"/>
    <xf numFmtId="0" fontId="0" fillId="4" borderId="1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5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1" fillId="7" borderId="1" xfId="0" applyFont="1" applyFill="1" applyBorder="1" applyAlignment="1">
      <alignment horizontal="right"/>
    </xf>
    <xf numFmtId="16" fontId="1" fillId="7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right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2" fillId="0" borderId="2" xfId="0" applyFont="1" applyBorder="1"/>
    <xf numFmtId="9" fontId="0" fillId="0" borderId="1" xfId="0" applyNumberFormat="1" applyBorder="1" applyAlignment="1">
      <alignment horizontal="center"/>
    </xf>
    <xf numFmtId="0" fontId="4" fillId="9" borderId="0" xfId="0" applyFont="1" applyFill="1" applyAlignment="1">
      <alignment horizontal="center" vertical="center"/>
    </xf>
    <xf numFmtId="0" fontId="5" fillId="10" borderId="0" xfId="0" applyFont="1" applyFill="1"/>
    <xf numFmtId="0" fontId="5" fillId="11" borderId="0" xfId="0" applyFont="1" applyFill="1"/>
    <xf numFmtId="0" fontId="5" fillId="0" borderId="0" xfId="0" applyFont="1"/>
    <xf numFmtId="0" fontId="5" fillId="1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11.xml"/><Relationship Id="rId6" Type="http://schemas.openxmlformats.org/officeDocument/2006/relationships/worksheet" Target="worksheets/sheet12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Relationship Id="rId13" Type="http://schemas.openxmlformats.org/officeDocument/2006/relationships/worksheet" Target="worksheets/sheet8.xml"/><Relationship Id="rId14" Type="http://schemas.openxmlformats.org/officeDocument/2006/relationships/worksheet" Target="worksheets/sheet9.xml"/><Relationship Id="rId15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workbookViewId="0" zoomScale="134" zoomScaleNormal="120">
      <selection activeCell="F21" sqref="F21"/>
    </sheetView>
  </sheetViews>
  <sheetFormatPr defaultRowHeight="0" outlineLevelRow="0" outlineLevelCol="0" x14ac:dyDescent="0.2" defaultColWidth="8.83203125" customHeight="1"/>
  <cols>
    <col min="1" max="1" width="44.33203125" customWidth="1"/>
    <col min="2" max="2" width="10.83203125" customWidth="1"/>
    <col min="3" max="3" width="8.83203125" style="1" customWidth="1"/>
    <col min="4" max="12" width="12.83203125" style="1" customWidth="1"/>
    <col min="13" max="13" width="8.83203125" style="1" customWidth="1"/>
  </cols>
  <sheetData>
    <row r="1" ht="15" customHeight="1" spans="1:13" x14ac:dyDescent="0.2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15" customHeight="1" spans="1:13" x14ac:dyDescent="0.25">
      <c r="A2" s="5" t="s">
        <v>13</v>
      </c>
      <c r="B2" s="5" t="s">
        <v>14</v>
      </c>
      <c r="C2" s="6"/>
      <c r="D2" s="7">
        <v>45953</v>
      </c>
      <c r="E2" s="7">
        <f t="shared" ref="E2:L2" si="0">D2+14</f>
        <v>45967</v>
      </c>
      <c r="F2" s="7">
        <f t="shared" si="0"/>
        <v>45981</v>
      </c>
      <c r="G2" s="7">
        <f t="shared" si="0"/>
        <v>45995</v>
      </c>
      <c r="H2" s="7">
        <f t="shared" si="0"/>
        <v>46009</v>
      </c>
      <c r="I2" s="7">
        <f t="shared" si="0"/>
        <v>46023</v>
      </c>
      <c r="J2" s="7">
        <f t="shared" si="0"/>
        <v>46037</v>
      </c>
      <c r="K2" s="7">
        <f t="shared" si="0"/>
        <v>46051</v>
      </c>
      <c r="L2" s="7">
        <f t="shared" si="0"/>
        <v>46065</v>
      </c>
      <c r="M2" s="6"/>
    </row>
    <row r="3" ht="15" customHeight="1" spans="1:13" x14ac:dyDescent="0.25">
      <c r="A3" s="8" t="s">
        <v>15</v>
      </c>
      <c r="B3" s="8" t="s">
        <v>16</v>
      </c>
      <c r="C3" s="9" t="s">
        <v>17</v>
      </c>
      <c r="D3" s="9">
        <v>18</v>
      </c>
      <c r="E3" s="9">
        <v>11</v>
      </c>
      <c r="F3" s="9">
        <v>5</v>
      </c>
      <c r="G3" s="9"/>
      <c r="H3" s="9"/>
      <c r="I3" s="9"/>
      <c r="J3" s="9"/>
      <c r="K3" s="9"/>
      <c r="L3" s="9"/>
      <c r="M3" s="9">
        <f>SUM(D3:L3)</f>
        <v>34</v>
      </c>
    </row>
    <row r="4" ht="15" customHeight="1" spans="1:13" x14ac:dyDescent="0.25">
      <c r="A4" s="8" t="s">
        <v>18</v>
      </c>
      <c r="B4" s="8" t="s">
        <v>16</v>
      </c>
      <c r="C4" s="9" t="s">
        <v>17</v>
      </c>
      <c r="D4" s="9">
        <v>26</v>
      </c>
      <c r="E4" s="9">
        <v>5</v>
      </c>
      <c r="F4" s="9"/>
      <c r="G4" s="9"/>
      <c r="H4" s="9"/>
      <c r="I4" s="9"/>
      <c r="J4" s="9"/>
      <c r="K4" s="9"/>
      <c r="L4" s="9"/>
      <c r="M4" s="9">
        <f t="shared" ref="M4:M47" si="1">SUM(D4:L4)</f>
        <v>31</v>
      </c>
    </row>
    <row r="5" ht="15" customHeight="1" spans="1:13" x14ac:dyDescent="0.25">
      <c r="A5" s="8" t="s">
        <v>19</v>
      </c>
      <c r="B5" s="8" t="s">
        <v>16</v>
      </c>
      <c r="C5" s="9" t="s">
        <v>17</v>
      </c>
      <c r="D5" s="9" t="s">
        <v>1</v>
      </c>
      <c r="E5" s="9" t="s">
        <v>1</v>
      </c>
      <c r="F5" s="9">
        <v>10</v>
      </c>
      <c r="G5" s="9">
        <v>10</v>
      </c>
      <c r="H5" s="9"/>
      <c r="I5" s="9"/>
      <c r="J5" s="9"/>
      <c r="K5" s="9"/>
      <c r="L5" s="9"/>
      <c r="M5" s="9">
        <f t="shared" si="1"/>
        <v>20</v>
      </c>
    </row>
    <row r="6" ht="15" customHeight="1" spans="1:13" x14ac:dyDescent="0.25">
      <c r="A6" s="8" t="s">
        <v>20</v>
      </c>
      <c r="B6" s="8" t="s">
        <v>16</v>
      </c>
      <c r="C6" s="9" t="s">
        <v>17</v>
      </c>
      <c r="D6" s="9"/>
      <c r="E6" s="9"/>
      <c r="F6" s="9"/>
      <c r="G6" s="9">
        <v>20</v>
      </c>
      <c r="H6" s="9"/>
      <c r="I6" s="9"/>
      <c r="J6" s="9"/>
      <c r="K6" s="9"/>
      <c r="L6" s="9"/>
      <c r="M6" s="9">
        <f t="shared" si="1"/>
        <v>20</v>
      </c>
    </row>
    <row r="7" ht="15" customHeight="1" spans="1:13" x14ac:dyDescent="0.25">
      <c r="A7" s="8" t="s">
        <v>21</v>
      </c>
      <c r="B7" s="8" t="s">
        <v>22</v>
      </c>
      <c r="C7" s="9" t="s">
        <v>17</v>
      </c>
      <c r="D7" s="9">
        <v>27</v>
      </c>
      <c r="E7" s="9">
        <v>20</v>
      </c>
      <c r="F7" s="9">
        <v>10</v>
      </c>
      <c r="G7" s="9" t="s">
        <v>1</v>
      </c>
      <c r="H7" s="9" t="s">
        <v>1</v>
      </c>
      <c r="I7" s="9"/>
      <c r="J7" s="9"/>
      <c r="K7" s="9"/>
      <c r="L7" s="9"/>
      <c r="M7" s="9">
        <f t="shared" si="1"/>
        <v>57</v>
      </c>
    </row>
    <row r="8" ht="15" customHeight="1" spans="1:13" x14ac:dyDescent="0.25">
      <c r="A8" s="8" t="s">
        <v>23</v>
      </c>
      <c r="B8" s="8" t="s">
        <v>24</v>
      </c>
      <c r="C8" s="9" t="s">
        <v>17</v>
      </c>
      <c r="D8" s="9">
        <v>4</v>
      </c>
      <c r="E8" s="9">
        <v>0</v>
      </c>
      <c r="F8" s="9">
        <v>10</v>
      </c>
      <c r="G8" s="9"/>
      <c r="H8" s="9"/>
      <c r="I8" s="9"/>
      <c r="J8" s="9"/>
      <c r="K8" s="9"/>
      <c r="L8" s="9"/>
      <c r="M8" s="9">
        <f t="shared" si="1"/>
        <v>14</v>
      </c>
    </row>
    <row r="9" ht="15" customHeight="1" spans="1:13" x14ac:dyDescent="0.25">
      <c r="A9" s="8" t="s">
        <v>25</v>
      </c>
      <c r="B9" s="8" t="s">
        <v>24</v>
      </c>
      <c r="C9" s="9" t="s">
        <v>17</v>
      </c>
      <c r="D9" s="9">
        <v>15</v>
      </c>
      <c r="E9" s="9">
        <v>20</v>
      </c>
      <c r="F9" s="9">
        <v>10</v>
      </c>
      <c r="G9" s="9" t="s">
        <v>1</v>
      </c>
      <c r="H9" s="9"/>
      <c r="I9" s="9"/>
      <c r="J9" s="9"/>
      <c r="K9" s="9"/>
      <c r="L9" s="9"/>
      <c r="M9" s="9">
        <f t="shared" si="1"/>
        <v>45</v>
      </c>
    </row>
    <row r="10" ht="15" customHeight="1" spans="1:13" x14ac:dyDescent="0.25">
      <c r="A10" s="8" t="s">
        <v>26</v>
      </c>
      <c r="B10" s="8" t="s">
        <v>24</v>
      </c>
      <c r="C10" s="9" t="s">
        <v>17</v>
      </c>
      <c r="D10" s="9">
        <v>8</v>
      </c>
      <c r="E10" s="9">
        <v>10</v>
      </c>
      <c r="F10" s="9">
        <v>20</v>
      </c>
      <c r="G10" s="9" t="s">
        <v>1</v>
      </c>
      <c r="H10" s="9"/>
      <c r="I10" s="9"/>
      <c r="J10" s="9"/>
      <c r="K10" s="9"/>
      <c r="L10" s="9"/>
      <c r="M10" s="9">
        <f t="shared" si="1"/>
        <v>38</v>
      </c>
    </row>
    <row r="11" ht="15" customHeight="1" spans="1:13" x14ac:dyDescent="0.25">
      <c r="A11" s="8" t="s">
        <v>27</v>
      </c>
      <c r="B11" s="8" t="s">
        <v>28</v>
      </c>
      <c r="C11" s="9" t="s">
        <v>17</v>
      </c>
      <c r="D11" s="9">
        <v>2</v>
      </c>
      <c r="E11" s="9">
        <v>2</v>
      </c>
      <c r="F11" s="9"/>
      <c r="G11" s="9"/>
      <c r="H11" s="9"/>
      <c r="I11" s="9"/>
      <c r="J11" s="9"/>
      <c r="K11" s="9"/>
      <c r="L11" s="9"/>
      <c r="M11" s="9">
        <f t="shared" si="1"/>
        <v>4</v>
      </c>
    </row>
    <row r="12" ht="15" customHeight="1" spans="1:13" x14ac:dyDescent="0.25">
      <c r="A12" s="8" t="s">
        <v>29</v>
      </c>
      <c r="B12" s="8" t="s">
        <v>28</v>
      </c>
      <c r="C12" s="9" t="s">
        <v>17</v>
      </c>
      <c r="D12" s="9">
        <v>7</v>
      </c>
      <c r="E12" s="9">
        <v>2</v>
      </c>
      <c r="F12" s="9"/>
      <c r="G12" s="9"/>
      <c r="H12" s="9"/>
      <c r="I12" s="9"/>
      <c r="J12" s="9"/>
      <c r="K12" s="9"/>
      <c r="L12" s="9"/>
      <c r="M12" s="9">
        <f t="shared" si="1"/>
        <v>9</v>
      </c>
    </row>
    <row r="13" ht="15" customHeight="1" spans="1:13" x14ac:dyDescent="0.25">
      <c r="A13" s="8" t="s">
        <v>30</v>
      </c>
      <c r="B13" s="8" t="s">
        <v>28</v>
      </c>
      <c r="C13" s="9" t="s">
        <v>17</v>
      </c>
      <c r="D13" s="9">
        <v>18</v>
      </c>
      <c r="E13" s="9">
        <v>8</v>
      </c>
      <c r="F13" s="9"/>
      <c r="G13" s="9"/>
      <c r="H13" s="9"/>
      <c r="I13" s="9"/>
      <c r="J13" s="9"/>
      <c r="K13" s="9"/>
      <c r="L13" s="9"/>
      <c r="M13" s="9">
        <f t="shared" si="1"/>
        <v>26</v>
      </c>
    </row>
    <row r="14" ht="15" customHeight="1" spans="1:13" x14ac:dyDescent="0.25">
      <c r="A14" s="8" t="s">
        <v>31</v>
      </c>
      <c r="B14" s="8" t="s">
        <v>28</v>
      </c>
      <c r="C14" s="9" t="s">
        <v>17</v>
      </c>
      <c r="D14" s="9">
        <v>19</v>
      </c>
      <c r="E14" s="9">
        <v>11</v>
      </c>
      <c r="F14" s="9"/>
      <c r="G14" s="9"/>
      <c r="H14" s="9"/>
      <c r="I14" s="9"/>
      <c r="J14" s="9"/>
      <c r="K14" s="9"/>
      <c r="L14" s="9"/>
      <c r="M14" s="9">
        <f t="shared" si="1"/>
        <v>30</v>
      </c>
    </row>
    <row r="15" ht="15" customHeight="1" spans="1:13" x14ac:dyDescent="0.25">
      <c r="A15" s="8" t="s">
        <v>32</v>
      </c>
      <c r="B15" s="8" t="s">
        <v>28</v>
      </c>
      <c r="C15" s="9" t="s">
        <v>17</v>
      </c>
      <c r="D15" s="9">
        <v>18</v>
      </c>
      <c r="E15" s="9">
        <v>10</v>
      </c>
      <c r="F15" s="9">
        <v>15</v>
      </c>
      <c r="G15" s="9"/>
      <c r="H15" s="9"/>
      <c r="I15" s="9"/>
      <c r="J15" s="9"/>
      <c r="K15" s="9"/>
      <c r="L15" s="9"/>
      <c r="M15" s="9">
        <f t="shared" si="1"/>
        <v>43</v>
      </c>
    </row>
    <row r="16" ht="15" customHeight="1" spans="1:13" x14ac:dyDescent="0.25">
      <c r="A16" s="8" t="s">
        <v>33</v>
      </c>
      <c r="B16" s="8" t="s">
        <v>28</v>
      </c>
      <c r="C16" s="9" t="s">
        <v>17</v>
      </c>
      <c r="D16" s="9"/>
      <c r="E16" s="9"/>
      <c r="F16" s="9"/>
      <c r="G16" s="9">
        <v>6</v>
      </c>
      <c r="H16" s="9"/>
      <c r="I16" s="9"/>
      <c r="J16" s="9"/>
      <c r="K16" s="9"/>
      <c r="L16" s="9"/>
      <c r="M16" s="9">
        <f t="shared" si="1"/>
        <v>6</v>
      </c>
    </row>
    <row r="17" ht="15" customHeight="1" spans="1:13" x14ac:dyDescent="0.25">
      <c r="A17" s="8" t="s">
        <v>34</v>
      </c>
      <c r="B17" s="8" t="s">
        <v>28</v>
      </c>
      <c r="C17" s="9" t="s">
        <v>17</v>
      </c>
      <c r="D17" s="9"/>
      <c r="E17" s="9"/>
      <c r="F17" s="9"/>
      <c r="G17" s="9">
        <v>20</v>
      </c>
      <c r="H17" s="9">
        <v>20</v>
      </c>
      <c r="I17" s="9"/>
      <c r="J17" s="9"/>
      <c r="K17" s="9"/>
      <c r="L17" s="9"/>
      <c r="M17" s="9">
        <f t="shared" si="1"/>
        <v>40</v>
      </c>
    </row>
    <row r="18" ht="15" customHeight="1" spans="1:13" x14ac:dyDescent="0.25">
      <c r="A18" s="8" t="s">
        <v>35</v>
      </c>
      <c r="B18" s="8" t="s">
        <v>28</v>
      </c>
      <c r="C18" s="9" t="s">
        <v>17</v>
      </c>
      <c r="D18" s="9"/>
      <c r="E18" s="9"/>
      <c r="F18" s="9"/>
      <c r="G18" s="9"/>
      <c r="H18" s="9">
        <v>10</v>
      </c>
      <c r="I18" s="9">
        <v>10</v>
      </c>
      <c r="J18" s="9"/>
      <c r="K18" s="9"/>
      <c r="L18" s="9"/>
      <c r="M18" s="9">
        <f t="shared" si="1"/>
        <v>20</v>
      </c>
    </row>
    <row r="19" ht="15" customHeight="1" spans="1:13" x14ac:dyDescent="0.25">
      <c r="A19" s="8" t="s">
        <v>36</v>
      </c>
      <c r="B19" s="8" t="s">
        <v>28</v>
      </c>
      <c r="C19" s="9" t="s">
        <v>17</v>
      </c>
      <c r="D19" s="9"/>
      <c r="E19" s="9"/>
      <c r="F19" s="9"/>
      <c r="G19" s="9"/>
      <c r="H19" s="9"/>
      <c r="I19" s="9">
        <v>20</v>
      </c>
      <c r="J19" s="9"/>
      <c r="K19" s="9"/>
      <c r="L19" s="9"/>
      <c r="M19" s="9">
        <f t="shared" si="1"/>
        <v>20</v>
      </c>
    </row>
    <row r="20" ht="15" customHeight="1" spans="1:13" x14ac:dyDescent="0.25">
      <c r="A20" s="8" t="s">
        <v>37</v>
      </c>
      <c r="B20" s="8" t="s">
        <v>28</v>
      </c>
      <c r="C20" s="9" t="s">
        <v>17</v>
      </c>
      <c r="D20" s="9"/>
      <c r="E20" s="9"/>
      <c r="F20" s="9">
        <v>9</v>
      </c>
      <c r="G20" s="9"/>
      <c r="H20" s="9"/>
      <c r="I20" s="9"/>
      <c r="J20" s="9"/>
      <c r="K20" s="9"/>
      <c r="L20" s="9"/>
      <c r="M20" s="9">
        <f t="shared" si="1"/>
        <v>9</v>
      </c>
    </row>
    <row r="21" ht="15" customHeight="1" spans="1:13" x14ac:dyDescent="0.25">
      <c r="A21" s="8" t="s">
        <v>38</v>
      </c>
      <c r="B21" s="8" t="s">
        <v>28</v>
      </c>
      <c r="C21" s="9" t="s">
        <v>17</v>
      </c>
      <c r="D21" s="9" t="s">
        <v>1</v>
      </c>
      <c r="E21" s="9">
        <v>10</v>
      </c>
      <c r="F21" s="9"/>
      <c r="G21" s="9"/>
      <c r="H21" s="9"/>
      <c r="I21" s="9"/>
      <c r="J21" s="9"/>
      <c r="K21" s="9"/>
      <c r="L21" s="9"/>
      <c r="M21" s="9">
        <f t="shared" si="1"/>
        <v>10</v>
      </c>
    </row>
    <row r="22" ht="15" customHeight="1" spans="1:13" x14ac:dyDescent="0.25">
      <c r="A22" s="8" t="s">
        <v>39</v>
      </c>
      <c r="B22" s="8" t="s">
        <v>40</v>
      </c>
      <c r="C22" s="9" t="s">
        <v>17</v>
      </c>
      <c r="D22" s="9">
        <v>4</v>
      </c>
      <c r="E22" s="9">
        <v>10</v>
      </c>
      <c r="F22" s="9"/>
      <c r="G22" s="9"/>
      <c r="H22" s="9"/>
      <c r="I22" s="9"/>
      <c r="J22" s="9"/>
      <c r="K22" s="9"/>
      <c r="L22" s="9"/>
      <c r="M22" s="9">
        <f t="shared" si="1"/>
        <v>14</v>
      </c>
    </row>
    <row r="23" ht="15" customHeight="1" spans="1:13" x14ac:dyDescent="0.25">
      <c r="A23" s="8" t="s">
        <v>41</v>
      </c>
      <c r="B23" s="8" t="s">
        <v>28</v>
      </c>
      <c r="C23" s="9" t="s">
        <v>17</v>
      </c>
      <c r="D23" s="9">
        <v>4</v>
      </c>
      <c r="E23" s="9">
        <v>3</v>
      </c>
      <c r="F23" s="9"/>
      <c r="G23" s="9"/>
      <c r="H23" s="9"/>
      <c r="I23" s="9"/>
      <c r="J23" s="9"/>
      <c r="K23" s="9"/>
      <c r="L23" s="9"/>
      <c r="M23" s="9">
        <f t="shared" si="1"/>
        <v>7</v>
      </c>
    </row>
    <row r="24" ht="15" customHeight="1" spans="1:13" x14ac:dyDescent="0.25">
      <c r="A24" s="8" t="s">
        <v>42</v>
      </c>
      <c r="B24" s="8" t="s">
        <v>28</v>
      </c>
      <c r="C24" s="9" t="s">
        <v>17</v>
      </c>
      <c r="D24" s="9"/>
      <c r="E24" s="9"/>
      <c r="F24" s="9"/>
      <c r="G24" s="9">
        <v>20</v>
      </c>
      <c r="H24" s="9"/>
      <c r="I24" s="9"/>
      <c r="J24" s="9"/>
      <c r="K24" s="9"/>
      <c r="L24" s="9"/>
      <c r="M24" s="9">
        <f t="shared" si="1"/>
        <v>20</v>
      </c>
    </row>
    <row r="25" ht="15" customHeight="1" spans="1:13" x14ac:dyDescent="0.25">
      <c r="A25" s="8" t="s">
        <v>43</v>
      </c>
      <c r="B25" s="8" t="s">
        <v>28</v>
      </c>
      <c r="C25" s="9" t="s">
        <v>17</v>
      </c>
      <c r="D25" s="9"/>
      <c r="E25" s="9"/>
      <c r="F25" s="9">
        <v>20</v>
      </c>
      <c r="G25" s="9">
        <v>20</v>
      </c>
      <c r="H25" s="9"/>
      <c r="I25" s="9"/>
      <c r="J25" s="9"/>
      <c r="K25" s="9"/>
      <c r="L25" s="9"/>
      <c r="M25" s="9">
        <f t="shared" si="1"/>
        <v>40</v>
      </c>
    </row>
    <row r="26" ht="15" customHeight="1" spans="1:13" x14ac:dyDescent="0.25">
      <c r="A26" s="8" t="s">
        <v>44</v>
      </c>
      <c r="B26" s="8" t="s">
        <v>28</v>
      </c>
      <c r="C26" s="9" t="s">
        <v>17</v>
      </c>
      <c r="D26" s="9" t="s">
        <v>1</v>
      </c>
      <c r="E26" s="9">
        <v>5</v>
      </c>
      <c r="F26" s="9">
        <v>10</v>
      </c>
      <c r="G26" s="9"/>
      <c r="H26" s="9"/>
      <c r="I26" s="9"/>
      <c r="J26" s="9"/>
      <c r="K26" s="9"/>
      <c r="L26" s="9"/>
      <c r="M26" s="9">
        <f t="shared" si="1"/>
        <v>15</v>
      </c>
    </row>
    <row r="27" ht="15" customHeight="1" spans="1:13" x14ac:dyDescent="0.25">
      <c r="A27" s="8" t="s">
        <v>45</v>
      </c>
      <c r="B27" s="8" t="s">
        <v>22</v>
      </c>
      <c r="C27" s="9" t="s">
        <v>46</v>
      </c>
      <c r="D27" s="9" t="s">
        <v>1</v>
      </c>
      <c r="E27" s="9"/>
      <c r="F27" s="9"/>
      <c r="G27" s="9"/>
      <c r="H27" s="9">
        <v>10</v>
      </c>
      <c r="I27" s="9">
        <v>20</v>
      </c>
      <c r="J27" s="9">
        <v>10</v>
      </c>
      <c r="K27" s="9"/>
      <c r="L27" s="9"/>
      <c r="M27" s="9">
        <f t="shared" si="1"/>
        <v>40</v>
      </c>
    </row>
    <row r="28" ht="15" customHeight="1" spans="1:13" x14ac:dyDescent="0.25">
      <c r="A28" s="8" t="s">
        <v>47</v>
      </c>
      <c r="B28" s="8" t="s">
        <v>22</v>
      </c>
      <c r="C28" s="9" t="s">
        <v>46</v>
      </c>
      <c r="D28" s="9"/>
      <c r="E28" s="9"/>
      <c r="F28" s="9"/>
      <c r="G28" s="9"/>
      <c r="H28" s="9">
        <v>10</v>
      </c>
      <c r="I28" s="9"/>
      <c r="J28" s="9"/>
      <c r="K28" s="9"/>
      <c r="L28" s="9"/>
      <c r="M28" s="9">
        <f t="shared" si="1"/>
        <v>10</v>
      </c>
    </row>
    <row r="29" ht="15" customHeight="1" spans="1:13" x14ac:dyDescent="0.25">
      <c r="A29" s="8" t="s">
        <v>48</v>
      </c>
      <c r="B29" s="8" t="s">
        <v>22</v>
      </c>
      <c r="C29" s="9" t="s">
        <v>46</v>
      </c>
      <c r="D29" s="9"/>
      <c r="E29" s="9"/>
      <c r="F29" s="9">
        <v>15</v>
      </c>
      <c r="G29" s="9">
        <v>20</v>
      </c>
      <c r="H29" s="9">
        <v>6</v>
      </c>
      <c r="I29" s="9"/>
      <c r="J29" s="9"/>
      <c r="K29" s="9"/>
      <c r="L29" s="9"/>
      <c r="M29" s="9">
        <f t="shared" si="1"/>
        <v>41</v>
      </c>
    </row>
    <row r="30" ht="15" customHeight="1" spans="1:13" x14ac:dyDescent="0.25">
      <c r="A30" s="8" t="s">
        <v>49</v>
      </c>
      <c r="B30" s="8" t="s">
        <v>22</v>
      </c>
      <c r="C30" s="9" t="s">
        <v>46</v>
      </c>
      <c r="D30" s="9"/>
      <c r="E30" s="9"/>
      <c r="F30" s="9"/>
      <c r="G30" s="9">
        <v>20</v>
      </c>
      <c r="H30" s="9">
        <v>12</v>
      </c>
      <c r="I30" s="9"/>
      <c r="J30" s="9"/>
      <c r="K30" s="9"/>
      <c r="L30" s="9"/>
      <c r="M30" s="9">
        <f t="shared" si="1"/>
        <v>32</v>
      </c>
    </row>
    <row r="31" ht="15" customHeight="1" spans="1:13" x14ac:dyDescent="0.25">
      <c r="A31" s="8" t="s">
        <v>50</v>
      </c>
      <c r="B31" s="8" t="s">
        <v>22</v>
      </c>
      <c r="C31" s="9" t="s">
        <v>46</v>
      </c>
      <c r="D31" s="9"/>
      <c r="E31" s="9"/>
      <c r="F31" s="9"/>
      <c r="G31" s="9">
        <v>10</v>
      </c>
      <c r="H31" s="9">
        <v>10</v>
      </c>
      <c r="I31" s="9"/>
      <c r="J31" s="9"/>
      <c r="K31" s="9"/>
      <c r="L31" s="9"/>
      <c r="M31" s="9">
        <f t="shared" si="1"/>
        <v>20</v>
      </c>
    </row>
    <row r="32" ht="15" customHeight="1" spans="1:13" x14ac:dyDescent="0.25">
      <c r="A32" s="8" t="s">
        <v>51</v>
      </c>
      <c r="B32" s="8" t="s">
        <v>24</v>
      </c>
      <c r="C32" s="9" t="s">
        <v>46</v>
      </c>
      <c r="D32" s="9" t="s">
        <v>1</v>
      </c>
      <c r="E32" s="9">
        <v>5</v>
      </c>
      <c r="F32" s="9"/>
      <c r="G32" s="9"/>
      <c r="H32" s="9">
        <v>5</v>
      </c>
      <c r="I32" s="9"/>
      <c r="J32" s="9"/>
      <c r="K32" s="9"/>
      <c r="L32" s="9"/>
      <c r="M32" s="9">
        <f t="shared" si="1"/>
        <v>10</v>
      </c>
    </row>
    <row r="33" ht="15" customHeight="1" spans="1:13" x14ac:dyDescent="0.25">
      <c r="A33" s="8" t="s">
        <v>52</v>
      </c>
      <c r="B33" s="8" t="s">
        <v>24</v>
      </c>
      <c r="C33" s="9" t="s">
        <v>46</v>
      </c>
      <c r="D33" s="9" t="s">
        <v>1</v>
      </c>
      <c r="E33" s="9">
        <v>5</v>
      </c>
      <c r="F33" s="9"/>
      <c r="G33" s="9"/>
      <c r="H33" s="9">
        <v>10</v>
      </c>
      <c r="I33" s="9">
        <v>10</v>
      </c>
      <c r="J33" s="9"/>
      <c r="K33" s="9"/>
      <c r="L33" s="9"/>
      <c r="M33" s="9">
        <f t="shared" si="1"/>
        <v>25</v>
      </c>
    </row>
    <row r="34" ht="15" customHeight="1" spans="1:13" x14ac:dyDescent="0.25">
      <c r="A34" s="8" t="s">
        <v>53</v>
      </c>
      <c r="B34" s="8" t="s">
        <v>24</v>
      </c>
      <c r="C34" s="9" t="s">
        <v>46</v>
      </c>
      <c r="D34" s="9"/>
      <c r="E34" s="9"/>
      <c r="F34" s="9"/>
      <c r="G34" s="9"/>
      <c r="H34" s="9">
        <v>20</v>
      </c>
      <c r="I34" s="9">
        <v>20</v>
      </c>
      <c r="J34" s="9">
        <v>20</v>
      </c>
      <c r="K34" s="9"/>
      <c r="L34" s="9"/>
      <c r="M34" s="9">
        <f t="shared" si="1"/>
        <v>60</v>
      </c>
    </row>
    <row r="35" ht="15" customHeight="1" spans="1:13" x14ac:dyDescent="0.25">
      <c r="A35" s="8" t="s">
        <v>54</v>
      </c>
      <c r="B35" s="8" t="s">
        <v>24</v>
      </c>
      <c r="C35" s="9" t="s">
        <v>46</v>
      </c>
      <c r="D35" s="9"/>
      <c r="E35" s="9"/>
      <c r="F35" s="9"/>
      <c r="G35" s="9"/>
      <c r="H35" s="9"/>
      <c r="I35" s="9">
        <v>20</v>
      </c>
      <c r="J35" s="9">
        <v>12</v>
      </c>
      <c r="K35" s="9"/>
      <c r="L35" s="9"/>
      <c r="M35" s="9">
        <f t="shared" si="1"/>
        <v>32</v>
      </c>
    </row>
    <row r="36" ht="15" customHeight="1" spans="1:13" x14ac:dyDescent="0.25">
      <c r="A36" s="8" t="s">
        <v>55</v>
      </c>
      <c r="B36" s="8" t="s">
        <v>24</v>
      </c>
      <c r="C36" s="9" t="s">
        <v>46</v>
      </c>
      <c r="D36" s="9"/>
      <c r="E36" s="9"/>
      <c r="F36" s="9"/>
      <c r="G36" s="9">
        <v>7</v>
      </c>
      <c r="H36" s="9">
        <v>10</v>
      </c>
      <c r="I36" s="9">
        <v>20</v>
      </c>
      <c r="J36" s="9">
        <v>10</v>
      </c>
      <c r="K36" s="9"/>
      <c r="L36" s="9"/>
      <c r="M36" s="9">
        <f t="shared" si="1"/>
        <v>47</v>
      </c>
    </row>
    <row r="37" ht="15" customHeight="1" spans="1:13" x14ac:dyDescent="0.25">
      <c r="A37" s="8" t="s">
        <v>56</v>
      </c>
      <c r="B37" s="8" t="s">
        <v>24</v>
      </c>
      <c r="C37" s="9" t="s">
        <v>46</v>
      </c>
      <c r="D37" s="9"/>
      <c r="E37" s="9">
        <v>3</v>
      </c>
      <c r="F37" s="9" t="s">
        <v>1</v>
      </c>
      <c r="G37" s="9"/>
      <c r="H37" s="9"/>
      <c r="I37" s="9"/>
      <c r="J37" s="9"/>
      <c r="K37" s="9"/>
      <c r="L37" s="9"/>
      <c r="M37" s="9">
        <f t="shared" si="1"/>
        <v>3</v>
      </c>
    </row>
    <row r="38" ht="15" customHeight="1" spans="1:13" x14ac:dyDescent="0.25">
      <c r="A38" s="8" t="s">
        <v>57</v>
      </c>
      <c r="B38" s="8" t="s">
        <v>24</v>
      </c>
      <c r="C38" s="9" t="s">
        <v>46</v>
      </c>
      <c r="D38" s="9"/>
      <c r="E38" s="9"/>
      <c r="F38" s="9"/>
      <c r="G38" s="9"/>
      <c r="H38" s="9"/>
      <c r="I38" s="9">
        <v>20</v>
      </c>
      <c r="J38" s="9">
        <v>20</v>
      </c>
      <c r="K38" s="9" t="s">
        <v>1</v>
      </c>
      <c r="L38" s="9"/>
      <c r="M38" s="9">
        <f t="shared" si="1"/>
        <v>40</v>
      </c>
    </row>
    <row r="39" ht="15" customHeight="1" spans="1:13" x14ac:dyDescent="0.25">
      <c r="A39" s="8" t="s">
        <v>58</v>
      </c>
      <c r="B39" s="8"/>
      <c r="C39" s="9" t="s">
        <v>46</v>
      </c>
      <c r="D39" s="9"/>
      <c r="E39" s="9"/>
      <c r="F39" s="9">
        <v>20</v>
      </c>
      <c r="G39" s="9">
        <v>20</v>
      </c>
      <c r="H39" s="9">
        <v>10</v>
      </c>
      <c r="I39" s="9">
        <v>20</v>
      </c>
      <c r="J39" s="9">
        <v>20</v>
      </c>
      <c r="K39" s="9" t="s">
        <v>1</v>
      </c>
      <c r="L39" s="9"/>
      <c r="M39" s="9">
        <f t="shared" si="1"/>
        <v>90</v>
      </c>
    </row>
    <row r="40" ht="15" customHeight="1" spans="1:13" x14ac:dyDescent="0.25">
      <c r="A40" s="8" t="s">
        <v>59</v>
      </c>
      <c r="B40" s="8"/>
      <c r="C40" s="9" t="s">
        <v>46</v>
      </c>
      <c r="D40" s="9"/>
      <c r="E40" s="9"/>
      <c r="F40" s="9"/>
      <c r="G40" s="9"/>
      <c r="H40" s="9"/>
      <c r="I40" s="9">
        <v>20</v>
      </c>
      <c r="J40" s="9">
        <v>20</v>
      </c>
      <c r="K40" s="9" t="s">
        <v>1</v>
      </c>
      <c r="L40" s="9"/>
      <c r="M40" s="9">
        <f t="shared" si="1"/>
        <v>40</v>
      </c>
    </row>
    <row r="41" ht="15" customHeight="1" spans="1:13" x14ac:dyDescent="0.25">
      <c r="A41" s="10" t="s">
        <v>60</v>
      </c>
      <c r="B41" s="10"/>
      <c r="C41" s="11" t="s">
        <v>46</v>
      </c>
      <c r="D41" s="11"/>
      <c r="E41" s="11"/>
      <c r="F41" s="11"/>
      <c r="G41" s="11"/>
      <c r="H41" s="11">
        <v>10</v>
      </c>
      <c r="I41" s="11">
        <v>20</v>
      </c>
      <c r="J41" s="11">
        <v>20</v>
      </c>
      <c r="K41" s="11"/>
      <c r="L41" s="11"/>
      <c r="M41" s="11">
        <f t="shared" si="1"/>
        <v>50</v>
      </c>
    </row>
    <row r="42" ht="15" customHeight="1" spans="1:13" x14ac:dyDescent="0.25">
      <c r="A42" s="12" t="s">
        <v>61</v>
      </c>
      <c r="B42" s="13"/>
      <c r="C42" s="14" t="s">
        <v>17</v>
      </c>
      <c r="D42" s="15"/>
      <c r="E42" s="15">
        <v>10</v>
      </c>
      <c r="F42" s="15">
        <v>20</v>
      </c>
      <c r="G42" s="15">
        <v>20</v>
      </c>
      <c r="H42" s="15"/>
      <c r="I42" s="15"/>
      <c r="J42" s="15"/>
      <c r="K42" s="15"/>
      <c r="L42" s="15"/>
      <c r="M42" s="16">
        <f t="shared" si="1"/>
        <v>50</v>
      </c>
    </row>
    <row r="43" ht="15" customHeight="1" spans="1:13" x14ac:dyDescent="0.25">
      <c r="A43" s="17" t="s">
        <v>61</v>
      </c>
      <c r="B43" s="18"/>
      <c r="C43" s="19" t="s">
        <v>46</v>
      </c>
      <c r="D43" s="20"/>
      <c r="E43" s="20"/>
      <c r="F43" s="20"/>
      <c r="G43" s="20"/>
      <c r="H43" s="20">
        <v>10</v>
      </c>
      <c r="I43" s="20">
        <v>20</v>
      </c>
      <c r="J43" s="20">
        <v>20</v>
      </c>
      <c r="K43" s="20"/>
      <c r="L43" s="20"/>
      <c r="M43" s="21">
        <f t="shared" si="1"/>
        <v>50</v>
      </c>
    </row>
    <row r="44" ht="15" customHeight="1" spans="1:13" x14ac:dyDescent="0.25">
      <c r="A44" s="22" t="s">
        <v>62</v>
      </c>
      <c r="B44" s="23"/>
      <c r="C44" s="24" t="s">
        <v>63</v>
      </c>
      <c r="D44" s="25">
        <v>20</v>
      </c>
      <c r="E44" s="25">
        <v>25</v>
      </c>
      <c r="F44" s="25">
        <v>25</v>
      </c>
      <c r="G44" s="25">
        <v>25</v>
      </c>
      <c r="H44" s="25" t="s">
        <v>1</v>
      </c>
      <c r="I44" s="25">
        <v>25</v>
      </c>
      <c r="J44" s="25"/>
      <c r="K44" s="25"/>
      <c r="L44" s="25"/>
      <c r="M44" s="26">
        <f t="shared" si="1"/>
        <v>120</v>
      </c>
    </row>
    <row r="45" ht="15" customHeight="1" spans="1:13" x14ac:dyDescent="0.25">
      <c r="A45" s="27" t="s">
        <v>64</v>
      </c>
      <c r="B45" s="28"/>
      <c r="C45" s="9" t="s">
        <v>64</v>
      </c>
      <c r="D45" s="29">
        <v>80</v>
      </c>
      <c r="E45" s="29">
        <v>45</v>
      </c>
      <c r="F45" s="29">
        <v>20</v>
      </c>
      <c r="G45" s="29">
        <v>10</v>
      </c>
      <c r="H45" s="29">
        <v>10</v>
      </c>
      <c r="I45" s="29">
        <v>20</v>
      </c>
      <c r="J45" s="29">
        <v>20</v>
      </c>
      <c r="K45" s="29">
        <v>40</v>
      </c>
      <c r="L45" s="29" t="s">
        <v>1</v>
      </c>
      <c r="M45" s="30">
        <f t="shared" si="1"/>
        <v>245</v>
      </c>
    </row>
    <row r="46" ht="15" customHeight="1" spans="1:13" x14ac:dyDescent="0.25">
      <c r="A46" s="17" t="s">
        <v>65</v>
      </c>
      <c r="B46" s="18"/>
      <c r="C46" s="19" t="s">
        <v>66</v>
      </c>
      <c r="D46" s="20" t="s">
        <v>1</v>
      </c>
      <c r="E46" s="20">
        <v>30</v>
      </c>
      <c r="F46" s="20">
        <v>20</v>
      </c>
      <c r="G46" s="20">
        <v>20</v>
      </c>
      <c r="H46" s="20">
        <v>10</v>
      </c>
      <c r="I46" s="20">
        <v>20</v>
      </c>
      <c r="J46" s="20">
        <v>20</v>
      </c>
      <c r="K46" s="20">
        <v>20</v>
      </c>
      <c r="L46" s="20"/>
      <c r="M46" s="21">
        <f t="shared" si="1"/>
        <v>140</v>
      </c>
    </row>
    <row r="47" ht="13" customHeight="1" spans="1:13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>
        <f t="shared" si="1"/>
        <v>0</v>
      </c>
    </row>
    <row r="48" ht="18" customHeight="1" spans="1:13" x14ac:dyDescent="0.25">
      <c r="A48" s="31" t="s">
        <v>67</v>
      </c>
      <c r="B48" s="31"/>
      <c r="C48" s="9"/>
      <c r="D48" s="9">
        <f>SUM(D3:D46)</f>
        <v>270</v>
      </c>
      <c r="E48" s="9">
        <f t="shared" ref="E48:J48" si="2">SUM(E3:E46)</f>
        <v>250</v>
      </c>
      <c r="F48" s="9">
        <f t="shared" si="2"/>
        <v>239</v>
      </c>
      <c r="G48" s="9">
        <f t="shared" si="2"/>
        <v>248</v>
      </c>
      <c r="H48" s="9">
        <f t="shared" si="2"/>
        <v>173</v>
      </c>
      <c r="I48" s="9">
        <f t="shared" si="2"/>
        <v>285</v>
      </c>
      <c r="J48" s="9">
        <f t="shared" si="2"/>
        <v>192</v>
      </c>
      <c r="K48" s="9">
        <f>SUM(K3:K45)</f>
        <v>40</v>
      </c>
      <c r="L48" s="9">
        <f>SUM(L3:L45)</f>
        <v>0</v>
      </c>
      <c r="M48" s="9"/>
    </row>
    <row r="49" ht="22" customHeight="1" spans="1:5" x14ac:dyDescent="0.25">
      <c r="A49" t="s">
        <v>68</v>
      </c>
      <c r="B49" s="29">
        <v>26</v>
      </c>
      <c r="C49" s="1"/>
      <c r="D49" s="1"/>
      <c r="E49" s="9" t="s">
        <v>1</v>
      </c>
    </row>
    <row r="50" ht="21" customHeight="1" spans="1:13" x14ac:dyDescent="0.25">
      <c r="A50" s="32" t="s">
        <v>69</v>
      </c>
      <c r="B50" s="32" t="s">
        <v>70</v>
      </c>
      <c r="C50" s="33"/>
      <c r="D50" s="34">
        <f>D44+D45+D52</f>
        <v>215</v>
      </c>
      <c r="E50" s="33">
        <v>76</v>
      </c>
      <c r="F50" s="33"/>
      <c r="G50" s="33"/>
      <c r="H50" s="33"/>
      <c r="I50" s="33"/>
      <c r="J50" s="33"/>
      <c r="K50" s="33"/>
      <c r="L50" s="33"/>
      <c r="M50" s="33"/>
    </row>
    <row r="51" ht="21" customHeight="1" spans="1:13" x14ac:dyDescent="0.25">
      <c r="A51" s="35" t="s">
        <v>71</v>
      </c>
      <c r="B51" s="35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 ht="26" customHeight="1" spans="1:4" x14ac:dyDescent="0.25">
      <c r="A52" t="s">
        <v>72</v>
      </c>
      <c r="C52" s="1"/>
      <c r="D52" s="1">
        <v>115</v>
      </c>
    </row>
    <row r="53" ht="15" customHeight="1" spans="1:8" x14ac:dyDescent="0.25">
      <c r="C53" s="1"/>
      <c r="D53" s="1"/>
      <c r="E53" s="1"/>
      <c r="F53" s="1"/>
      <c r="G53" s="1"/>
      <c r="H53" s="1" t="s">
        <v>73</v>
      </c>
    </row>
    <row r="54" ht="15" customHeight="1" spans="1:2" x14ac:dyDescent="0.25">
      <c r="A54" t="s">
        <v>74</v>
      </c>
      <c r="B54">
        <f>SUM(M3:M26)</f>
        <v>572</v>
      </c>
    </row>
    <row r="55" ht="15" customHeight="1" spans="1:2" x14ac:dyDescent="0.25">
      <c r="A55" t="s">
        <v>75</v>
      </c>
      <c r="B55">
        <f>SUM(M27:M41)</f>
        <v>540</v>
      </c>
    </row>
    <row r="56" ht="15" customHeight="1" spans="1:2" x14ac:dyDescent="0.25">
      <c r="A56" t="s">
        <v>76</v>
      </c>
      <c r="B56">
        <f>M45</f>
        <v>245</v>
      </c>
    </row>
    <row r="57" ht="15" customHeight="1" spans="1:2" x14ac:dyDescent="0.25">
      <c r="A57" t="s">
        <v>77</v>
      </c>
      <c r="B57">
        <f>SUM(M42:M43)</f>
        <v>100</v>
      </c>
    </row>
    <row r="58" ht="15" customHeight="1" spans="1:2" x14ac:dyDescent="0.25">
      <c r="A58" t="s">
        <v>78</v>
      </c>
      <c r="B58">
        <f>M46</f>
        <v>140</v>
      </c>
    </row>
    <row r="59" ht="15" customHeight="1" spans="1:2" x14ac:dyDescent="0.25">
      <c r="A59" t="s">
        <v>79</v>
      </c>
      <c r="B59">
        <f>SUM(B54:B58)</f>
        <v>1597</v>
      </c>
    </row>
  </sheetData>
  <autoFilter ref="A1:L5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FormatPr defaultRowHeight="15" outlineLevelRow="0" outlineLevelCol="0" x14ac:dyDescent="55"/>
  <cols>
    <col min="1" max="1" width="50" customWidth="1"/>
    <col min="2" max="15" width="12" customWidth="1"/>
  </cols>
  <sheetData>
    <row r="1" ht="20" customHeight="1" spans="1:15" s="45" customFormat="1" x14ac:dyDescent="0.25">
      <c r="A1" s="45" t="s">
        <v>0</v>
      </c>
      <c r="B1" s="45" t="s">
        <v>87</v>
      </c>
      <c r="C1" s="45" t="s">
        <v>88</v>
      </c>
      <c r="D1" s="45" t="s">
        <v>89</v>
      </c>
      <c r="E1" s="45" t="s">
        <v>90</v>
      </c>
      <c r="F1" s="45" t="s">
        <v>91</v>
      </c>
      <c r="G1" s="45" t="s">
        <v>92</v>
      </c>
      <c r="H1" s="45" t="s">
        <v>93</v>
      </c>
      <c r="I1" s="45" t="s">
        <v>94</v>
      </c>
      <c r="J1" s="45" t="s">
        <v>95</v>
      </c>
      <c r="K1" s="45" t="s">
        <v>96</v>
      </c>
      <c r="L1" s="45" t="s">
        <v>97</v>
      </c>
      <c r="M1" s="45" t="s">
        <v>98</v>
      </c>
      <c r="N1" s="45" t="s">
        <v>99</v>
      </c>
      <c r="O1" s="45" t="s">
        <v>100</v>
      </c>
    </row>
    <row r="2" spans="1:15" x14ac:dyDescent="0.25">
      <c r="A2" t="s">
        <v>15</v>
      </c>
      <c r="B2">
        <v>1.8</v>
      </c>
      <c r="C2">
        <v>1.8</v>
      </c>
      <c r="F2">
        <v>1.8</v>
      </c>
      <c r="G2">
        <v>1.8</v>
      </c>
      <c r="H2">
        <v>1.8</v>
      </c>
      <c r="I2">
        <v>1.8</v>
      </c>
      <c r="J2">
        <v>1.8</v>
      </c>
      <c r="M2">
        <v>1.8</v>
      </c>
      <c r="N2">
        <v>1.8</v>
      </c>
      <c r="O2">
        <v>1.8</v>
      </c>
    </row>
    <row r="3" spans="1:15" x14ac:dyDescent="0.25">
      <c r="A3" t="s">
        <v>18</v>
      </c>
      <c r="B3">
        <v>2.6</v>
      </c>
      <c r="C3">
        <v>2.6</v>
      </c>
      <c r="F3">
        <v>2.6</v>
      </c>
      <c r="G3">
        <v>2.6</v>
      </c>
      <c r="H3">
        <v>2.6</v>
      </c>
      <c r="I3">
        <v>2.6</v>
      </c>
      <c r="J3">
        <v>2.6</v>
      </c>
      <c r="M3">
        <v>2.6</v>
      </c>
      <c r="N3">
        <v>2.6</v>
      </c>
      <c r="O3">
        <v>2.6</v>
      </c>
    </row>
    <row r="4" spans="1:15" x14ac:dyDescent="0.25">
      <c r="A4" t="s">
        <v>21</v>
      </c>
      <c r="B4">
        <v>2.7</v>
      </c>
      <c r="C4">
        <v>2.7</v>
      </c>
      <c r="F4">
        <v>2.7</v>
      </c>
      <c r="G4">
        <v>2.7</v>
      </c>
      <c r="H4">
        <v>2.7</v>
      </c>
      <c r="I4">
        <v>2.7</v>
      </c>
      <c r="J4">
        <v>2.7</v>
      </c>
      <c r="M4">
        <v>2.7</v>
      </c>
      <c r="N4">
        <v>2.7</v>
      </c>
      <c r="O4">
        <v>2.7</v>
      </c>
    </row>
    <row r="5" spans="1:15" x14ac:dyDescent="0.25">
      <c r="A5" t="s">
        <v>23</v>
      </c>
      <c r="B5">
        <v>0.4</v>
      </c>
      <c r="C5">
        <v>0.4</v>
      </c>
      <c r="F5">
        <v>0.4</v>
      </c>
      <c r="G5">
        <v>0.4</v>
      </c>
      <c r="H5">
        <v>0.4</v>
      </c>
      <c r="I5">
        <v>0.4</v>
      </c>
      <c r="J5">
        <v>0.4</v>
      </c>
      <c r="M5">
        <v>0.4</v>
      </c>
      <c r="N5">
        <v>0.4</v>
      </c>
      <c r="O5">
        <v>0.4</v>
      </c>
    </row>
    <row r="6" spans="1:15" x14ac:dyDescent="0.25">
      <c r="A6" t="s">
        <v>25</v>
      </c>
      <c r="B6">
        <v>1.5</v>
      </c>
      <c r="C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M6">
        <v>1.5</v>
      </c>
      <c r="N6">
        <v>1.5</v>
      </c>
      <c r="O6">
        <v>1.5</v>
      </c>
    </row>
    <row r="7" spans="1:15" x14ac:dyDescent="0.25">
      <c r="A7" t="s">
        <v>26</v>
      </c>
      <c r="B7">
        <v>0.8</v>
      </c>
      <c r="C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M7">
        <v>0.8</v>
      </c>
      <c r="N7">
        <v>0.8</v>
      </c>
      <c r="O7">
        <v>0.8</v>
      </c>
    </row>
    <row r="8" spans="1:15" x14ac:dyDescent="0.25">
      <c r="A8" t="s">
        <v>27</v>
      </c>
      <c r="B8">
        <v>0.2</v>
      </c>
      <c r="C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M8">
        <v>0.2</v>
      </c>
      <c r="N8">
        <v>0.2</v>
      </c>
      <c r="O8">
        <v>0.2</v>
      </c>
    </row>
    <row r="9" spans="1:15" x14ac:dyDescent="0.25">
      <c r="A9" t="s">
        <v>29</v>
      </c>
      <c r="B9">
        <v>0.7</v>
      </c>
      <c r="C9">
        <v>0.7</v>
      </c>
      <c r="F9">
        <v>0.7</v>
      </c>
      <c r="G9">
        <v>0.7</v>
      </c>
      <c r="H9">
        <v>0.7</v>
      </c>
      <c r="I9">
        <v>0.7</v>
      </c>
      <c r="J9">
        <v>0.7</v>
      </c>
      <c r="M9">
        <v>0.7</v>
      </c>
      <c r="N9">
        <v>0.7</v>
      </c>
      <c r="O9">
        <v>0.7</v>
      </c>
    </row>
    <row r="10" spans="1:15" x14ac:dyDescent="0.25">
      <c r="A10" t="s">
        <v>30</v>
      </c>
      <c r="B10">
        <v>1.8</v>
      </c>
      <c r="C10">
        <v>1.8</v>
      </c>
      <c r="F10">
        <v>1.8</v>
      </c>
      <c r="G10">
        <v>1.8</v>
      </c>
      <c r="H10">
        <v>1.8</v>
      </c>
      <c r="I10">
        <v>1.8</v>
      </c>
      <c r="J10">
        <v>1.8</v>
      </c>
      <c r="M10">
        <v>1.8</v>
      </c>
      <c r="N10">
        <v>1.8</v>
      </c>
      <c r="O10">
        <v>1.8</v>
      </c>
    </row>
    <row r="11" spans="1:15" x14ac:dyDescent="0.25">
      <c r="A11" t="s">
        <v>31</v>
      </c>
      <c r="B11">
        <v>1.9</v>
      </c>
      <c r="C11">
        <v>1.9</v>
      </c>
      <c r="F11">
        <v>1.9</v>
      </c>
      <c r="G11">
        <v>1.9</v>
      </c>
      <c r="H11">
        <v>1.9</v>
      </c>
      <c r="I11">
        <v>1.9</v>
      </c>
      <c r="J11">
        <v>1.9</v>
      </c>
      <c r="M11">
        <v>1.9</v>
      </c>
      <c r="N11">
        <v>1.9</v>
      </c>
      <c r="O11">
        <v>1.9</v>
      </c>
    </row>
    <row r="12" spans="1:15" x14ac:dyDescent="0.25">
      <c r="A12" t="s">
        <v>32</v>
      </c>
      <c r="B12">
        <v>1.8</v>
      </c>
      <c r="C12">
        <v>1.8</v>
      </c>
      <c r="F12">
        <v>1.8</v>
      </c>
      <c r="G12">
        <v>1.8</v>
      </c>
      <c r="H12">
        <v>1.8</v>
      </c>
      <c r="I12">
        <v>1.8</v>
      </c>
      <c r="J12">
        <v>1.8</v>
      </c>
      <c r="M12">
        <v>1.8</v>
      </c>
      <c r="N12">
        <v>1.8</v>
      </c>
      <c r="O12">
        <v>1.8</v>
      </c>
    </row>
    <row r="13" spans="1:15" x14ac:dyDescent="0.25">
      <c r="A13" t="s">
        <v>39</v>
      </c>
      <c r="B13">
        <v>0.4</v>
      </c>
      <c r="C13">
        <v>0.4</v>
      </c>
      <c r="F13">
        <v>0.4</v>
      </c>
      <c r="G13">
        <v>0.4</v>
      </c>
      <c r="H13">
        <v>0.4</v>
      </c>
      <c r="I13">
        <v>0.4</v>
      </c>
      <c r="J13">
        <v>0.4</v>
      </c>
      <c r="M13">
        <v>0.4</v>
      </c>
      <c r="N13">
        <v>0.4</v>
      </c>
      <c r="O13">
        <v>0.4</v>
      </c>
    </row>
    <row r="14" spans="1:15" x14ac:dyDescent="0.25">
      <c r="A14" t="s">
        <v>41</v>
      </c>
      <c r="B14">
        <v>0.4</v>
      </c>
      <c r="C14">
        <v>0.4</v>
      </c>
      <c r="F14">
        <v>0.4</v>
      </c>
      <c r="G14">
        <v>0.4</v>
      </c>
      <c r="H14">
        <v>0.4</v>
      </c>
      <c r="I14">
        <v>0.4</v>
      </c>
      <c r="J14">
        <v>0.4</v>
      </c>
      <c r="M14">
        <v>0.4</v>
      </c>
      <c r="N14">
        <v>0.4</v>
      </c>
      <c r="O14">
        <v>0.4</v>
      </c>
    </row>
    <row r="15" spans="1:15" x14ac:dyDescent="0.25">
      <c r="A15" t="s">
        <v>62</v>
      </c>
      <c r="B15">
        <v>2</v>
      </c>
      <c r="C15">
        <v>2</v>
      </c>
      <c r="F15">
        <v>2</v>
      </c>
      <c r="G15">
        <v>2</v>
      </c>
      <c r="H15">
        <v>2</v>
      </c>
      <c r="I15">
        <v>2</v>
      </c>
      <c r="J15">
        <v>2</v>
      </c>
      <c r="M15">
        <v>2</v>
      </c>
      <c r="N15">
        <v>2</v>
      </c>
      <c r="O15">
        <v>2</v>
      </c>
    </row>
    <row r="16" spans="1:15" x14ac:dyDescent="0.25">
      <c r="A16" t="s">
        <v>64</v>
      </c>
      <c r="B16">
        <v>8</v>
      </c>
      <c r="C16">
        <v>8</v>
      </c>
      <c r="F16">
        <v>8</v>
      </c>
      <c r="G16">
        <v>8</v>
      </c>
      <c r="H16">
        <v>8</v>
      </c>
      <c r="I16">
        <v>8</v>
      </c>
      <c r="J16">
        <v>8</v>
      </c>
      <c r="M16">
        <v>8</v>
      </c>
      <c r="N16">
        <v>8</v>
      </c>
      <c r="O16">
        <v>8</v>
      </c>
    </row>
    <row r="17" spans="1:15" s="46" customFormat="1" x14ac:dyDescent="0.25">
      <c r="A17" s="46" t="s">
        <v>101</v>
      </c>
      <c r="B17" s="46">
        <v>26.999999999999996</v>
      </c>
      <c r="C17" s="46">
        <v>26.999999999999996</v>
      </c>
      <c r="D17" s="46"/>
      <c r="E17" s="46"/>
      <c r="F17" s="46">
        <v>26.999999999999996</v>
      </c>
      <c r="G17" s="46">
        <v>26.999999999999996</v>
      </c>
      <c r="H17" s="46">
        <v>26.999999999999996</v>
      </c>
      <c r="I17" s="46">
        <v>26.999999999999996</v>
      </c>
      <c r="J17" s="46">
        <v>26.999999999999996</v>
      </c>
      <c r="K17" s="46"/>
      <c r="L17" s="46"/>
      <c r="M17" s="46">
        <v>26.999999999999996</v>
      </c>
      <c r="N17" s="46">
        <v>26.999999999999996</v>
      </c>
      <c r="O17" s="46">
        <v>26.999999999999996</v>
      </c>
    </row>
    <row r="18" spans="1:15" s="47" customFormat="1" x14ac:dyDescent="0.25">
      <c r="A18" s="47" t="s">
        <v>69</v>
      </c>
      <c r="B18" s="47">
        <v>21.5</v>
      </c>
      <c r="C18" s="47">
        <v>21.5</v>
      </c>
      <c r="D18" s="47"/>
      <c r="E18" s="47"/>
      <c r="F18" s="47">
        <v>21.5</v>
      </c>
      <c r="G18" s="47">
        <v>21.5</v>
      </c>
      <c r="H18" s="47">
        <v>21.5</v>
      </c>
      <c r="I18" s="47">
        <v>21.5</v>
      </c>
      <c r="J18" s="47">
        <v>21.5</v>
      </c>
      <c r="K18" s="47"/>
      <c r="L18" s="47"/>
      <c r="M18" s="47">
        <v>21.5</v>
      </c>
      <c r="N18" s="47">
        <v>21.5</v>
      </c>
      <c r="O18" s="47">
        <v>21.5</v>
      </c>
    </row>
    <row r="20" spans="1:15" s="48" customFormat="1" x14ac:dyDescent="0.25">
      <c r="A20" s="48" t="s">
        <v>102</v>
      </c>
      <c r="B20" s="48">
        <f>SUM($B$17:B$17)-SUM($B$18:B$18)</f>
      </c>
      <c r="C20" s="48">
        <f>SUM($B$17:C$17)-SUM($B$18:C$18)</f>
      </c>
      <c r="D20" s="48">
        <f>SUM($B$17:D$17)-SUM($B$18:D$18)</f>
      </c>
      <c r="E20" s="48">
        <f>SUM($B$17:E$17)-SUM($B$18:E$18)</f>
      </c>
      <c r="F20" s="48">
        <f>SUM($B$17:F$17)-SUM($B$18:F$18)</f>
      </c>
      <c r="G20" s="48">
        <f>SUM($B$17:G$17)-SUM($B$18:G$18)</f>
      </c>
      <c r="H20" s="48">
        <f>SUM($B$17:H$17)-SUM($B$18:H$18)</f>
      </c>
      <c r="I20" s="48">
        <f>SUM($B$17:I$17)-SUM($B$18:I$18)</f>
      </c>
      <c r="J20" s="48">
        <f>SUM($B$17:J$17)-SUM($B$18:J$18)</f>
      </c>
      <c r="K20" s="48">
        <f>SUM($B$17:K$17)-SUM($B$18:K$18)</f>
      </c>
      <c r="L20" s="48">
        <f>SUM($B$17:L$17)-SUM($B$18:L$18)</f>
      </c>
      <c r="M20" s="48">
        <f>SUM($B$17:M$17)-SUM($B$18:M$18)</f>
      </c>
      <c r="N20" s="48">
        <f>SUM($B$17:N$17)-SUM($B$18:N$18)</f>
      </c>
      <c r="O20" s="48">
        <f>SUM($B$17:O$17)-SUM($B$18:O$18)</f>
      </c>
    </row>
    <row r="22" spans="1:15" s="49" customFormat="1" x14ac:dyDescent="0.25">
      <c r="A22" s="49" t="s">
        <v>103</v>
      </c>
      <c r="B22" s="49">
        <v>1</v>
      </c>
      <c r="C22" s="49">
        <v>2</v>
      </c>
      <c r="D22" s="49">
        <v>3</v>
      </c>
      <c r="E22" s="49">
        <v>4</v>
      </c>
      <c r="F22" s="49">
        <v>5</v>
      </c>
      <c r="G22" s="49">
        <v>6</v>
      </c>
      <c r="H22" s="49">
        <v>7</v>
      </c>
      <c r="I22" s="49">
        <v>8</v>
      </c>
      <c r="J22" s="49">
        <v>9</v>
      </c>
      <c r="K22" s="49">
        <v>10</v>
      </c>
      <c r="L22" s="49">
        <v>11</v>
      </c>
      <c r="M22" s="49">
        <v>12</v>
      </c>
      <c r="N22" s="49">
        <v>13</v>
      </c>
      <c r="O22" s="49">
        <v>14</v>
      </c>
    </row>
    <row r="23" spans="1:15" x14ac:dyDescent="0.25">
      <c r="A23" t="s">
        <v>104</v>
      </c>
      <c r="B23">
        <f>B20</f>
      </c>
      <c r="C23">
        <f>C20</f>
      </c>
      <c r="D23">
        <f>D20</f>
      </c>
      <c r="E23">
        <f>E20</f>
      </c>
      <c r="F23">
        <f>F20</f>
      </c>
      <c r="G23">
        <f>G20</f>
      </c>
      <c r="H23">
        <f>H20</f>
      </c>
      <c r="I23">
        <f>I20</f>
      </c>
      <c r="J23">
        <f>J20</f>
      </c>
      <c r="K23">
        <f>K20</f>
      </c>
      <c r="L23">
        <f>L20</f>
      </c>
      <c r="M23">
        <f>M20</f>
      </c>
      <c r="N23">
        <f>N20</f>
      </c>
      <c r="O23">
        <f>O20</f>
      </c>
    </row>
    <row r="25" spans="1:1" s="50" customFormat="1" x14ac:dyDescent="0.25">
      <c r="A25" s="50" t="s">
        <v>105</v>
      </c>
    </row>
    <row r="26" spans="1:1" x14ac:dyDescent="0.25">
      <c r="A26" t="s">
        <v>106</v>
      </c>
    </row>
    <row r="27" spans="1:1" x14ac:dyDescent="0.25">
      <c r="A27" t="s">
        <v>107</v>
      </c>
    </row>
    <row r="28" spans="1:1" x14ac:dyDescent="0.25">
      <c r="A28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FormatPr defaultRowHeight="15" outlineLevelRow="0" outlineLevelCol="0" x14ac:dyDescent="55"/>
  <cols>
    <col min="1" max="1" width="50" customWidth="1"/>
    <col min="2" max="15" width="12" customWidth="1"/>
  </cols>
  <sheetData>
    <row r="1" ht="20" customHeight="1" spans="1:15" s="45" customFormat="1" x14ac:dyDescent="0.25">
      <c r="A1" s="45" t="s">
        <v>0</v>
      </c>
      <c r="B1" s="45" t="s">
        <v>109</v>
      </c>
      <c r="C1" s="45" t="s">
        <v>110</v>
      </c>
      <c r="D1" s="45" t="s">
        <v>111</v>
      </c>
      <c r="E1" s="45" t="s">
        <v>112</v>
      </c>
      <c r="F1" s="45" t="s">
        <v>113</v>
      </c>
      <c r="G1" s="45" t="s">
        <v>114</v>
      </c>
      <c r="H1" s="45" t="s">
        <v>115</v>
      </c>
      <c r="I1" s="45" t="s">
        <v>116</v>
      </c>
      <c r="J1" s="45" t="s">
        <v>117</v>
      </c>
      <c r="K1" s="45" t="s">
        <v>118</v>
      </c>
      <c r="L1" s="45" t="s">
        <v>119</v>
      </c>
      <c r="M1" s="45" t="s">
        <v>120</v>
      </c>
      <c r="N1" s="45" t="s">
        <v>121</v>
      </c>
      <c r="O1" s="45" t="s">
        <v>122</v>
      </c>
    </row>
    <row r="2" spans="1:15" x14ac:dyDescent="0.25">
      <c r="A2" t="s">
        <v>15</v>
      </c>
      <c r="B2">
        <v>1.1</v>
      </c>
      <c r="C2">
        <v>1.1</v>
      </c>
      <c r="F2">
        <v>1.1</v>
      </c>
      <c r="G2">
        <v>1.1</v>
      </c>
      <c r="H2">
        <v>1.1</v>
      </c>
      <c r="I2">
        <v>1.1</v>
      </c>
      <c r="J2">
        <v>1.1</v>
      </c>
      <c r="M2">
        <v>1.1</v>
      </c>
      <c r="N2">
        <v>1.1</v>
      </c>
      <c r="O2">
        <v>1.1</v>
      </c>
    </row>
    <row r="3" spans="1:15" x14ac:dyDescent="0.25">
      <c r="A3" t="s">
        <v>18</v>
      </c>
      <c r="B3">
        <v>0.5</v>
      </c>
      <c r="C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M3">
        <v>0.5</v>
      </c>
      <c r="N3">
        <v>0.5</v>
      </c>
      <c r="O3">
        <v>0.5</v>
      </c>
    </row>
    <row r="4" spans="1:15" x14ac:dyDescent="0.25">
      <c r="A4" t="s">
        <v>21</v>
      </c>
      <c r="B4">
        <v>2</v>
      </c>
      <c r="C4">
        <v>2</v>
      </c>
      <c r="F4">
        <v>2</v>
      </c>
      <c r="G4">
        <v>2</v>
      </c>
      <c r="H4">
        <v>2</v>
      </c>
      <c r="I4">
        <v>2</v>
      </c>
      <c r="J4">
        <v>2</v>
      </c>
      <c r="M4">
        <v>2</v>
      </c>
      <c r="N4">
        <v>2</v>
      </c>
      <c r="O4">
        <v>2</v>
      </c>
    </row>
    <row r="5" spans="1:15" x14ac:dyDescent="0.25">
      <c r="A5" t="s">
        <v>25</v>
      </c>
      <c r="B5">
        <v>2</v>
      </c>
      <c r="C5">
        <v>2</v>
      </c>
      <c r="F5">
        <v>2</v>
      </c>
      <c r="G5">
        <v>2</v>
      </c>
      <c r="H5">
        <v>2</v>
      </c>
      <c r="I5">
        <v>2</v>
      </c>
      <c r="J5">
        <v>2</v>
      </c>
      <c r="M5">
        <v>2</v>
      </c>
      <c r="N5">
        <v>2</v>
      </c>
      <c r="O5">
        <v>2</v>
      </c>
    </row>
    <row r="6" spans="1:15" x14ac:dyDescent="0.25">
      <c r="A6" t="s">
        <v>26</v>
      </c>
      <c r="B6">
        <v>1</v>
      </c>
      <c r="C6">
        <v>1</v>
      </c>
      <c r="F6">
        <v>1</v>
      </c>
      <c r="G6">
        <v>1</v>
      </c>
      <c r="H6">
        <v>1</v>
      </c>
      <c r="I6">
        <v>1</v>
      </c>
      <c r="J6">
        <v>1</v>
      </c>
      <c r="M6">
        <v>1</v>
      </c>
      <c r="N6">
        <v>1</v>
      </c>
      <c r="O6">
        <v>1</v>
      </c>
    </row>
    <row r="7" spans="1:15" x14ac:dyDescent="0.25">
      <c r="A7" t="s">
        <v>27</v>
      </c>
      <c r="B7">
        <v>0.2</v>
      </c>
      <c r="C7">
        <v>0.2</v>
      </c>
      <c r="F7">
        <v>0.2</v>
      </c>
      <c r="G7">
        <v>0.2</v>
      </c>
      <c r="H7">
        <v>0.2</v>
      </c>
      <c r="I7">
        <v>0.2</v>
      </c>
      <c r="J7">
        <v>0.2</v>
      </c>
      <c r="M7">
        <v>0.2</v>
      </c>
      <c r="N7">
        <v>0.2</v>
      </c>
      <c r="O7">
        <v>0.2</v>
      </c>
    </row>
    <row r="8" spans="1:15" x14ac:dyDescent="0.25">
      <c r="A8" t="s">
        <v>29</v>
      </c>
      <c r="B8">
        <v>0.2</v>
      </c>
      <c r="C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M8">
        <v>0.2</v>
      </c>
      <c r="N8">
        <v>0.2</v>
      </c>
      <c r="O8">
        <v>0.2</v>
      </c>
    </row>
    <row r="9" spans="1:15" x14ac:dyDescent="0.25">
      <c r="A9" t="s">
        <v>30</v>
      </c>
      <c r="B9">
        <v>0.8</v>
      </c>
      <c r="C9">
        <v>0.8</v>
      </c>
      <c r="F9">
        <v>0.8</v>
      </c>
      <c r="G9">
        <v>0.8</v>
      </c>
      <c r="H9">
        <v>0.8</v>
      </c>
      <c r="I9">
        <v>0.8</v>
      </c>
      <c r="J9">
        <v>0.8</v>
      </c>
      <c r="M9">
        <v>0.8</v>
      </c>
      <c r="N9">
        <v>0.8</v>
      </c>
      <c r="O9">
        <v>0.8</v>
      </c>
    </row>
    <row r="10" spans="1:15" x14ac:dyDescent="0.25">
      <c r="A10" t="s">
        <v>31</v>
      </c>
      <c r="B10">
        <v>1.1</v>
      </c>
      <c r="C10">
        <v>1.1</v>
      </c>
      <c r="F10">
        <v>1.1</v>
      </c>
      <c r="G10">
        <v>1.1</v>
      </c>
      <c r="H10">
        <v>1.1</v>
      </c>
      <c r="I10">
        <v>1.1</v>
      </c>
      <c r="J10">
        <v>1.1</v>
      </c>
      <c r="M10">
        <v>1.1</v>
      </c>
      <c r="N10">
        <v>1.1</v>
      </c>
      <c r="O10">
        <v>1.1</v>
      </c>
    </row>
    <row r="11" spans="1:15" x14ac:dyDescent="0.25">
      <c r="A11" t="s">
        <v>32</v>
      </c>
      <c r="B11">
        <v>1</v>
      </c>
      <c r="C11">
        <v>1</v>
      </c>
      <c r="F11">
        <v>1</v>
      </c>
      <c r="G11">
        <v>1</v>
      </c>
      <c r="H11">
        <v>1</v>
      </c>
      <c r="I11">
        <v>1</v>
      </c>
      <c r="J11">
        <v>1</v>
      </c>
      <c r="M11">
        <v>1</v>
      </c>
      <c r="N11">
        <v>1</v>
      </c>
      <c r="O11">
        <v>1</v>
      </c>
    </row>
    <row r="12" spans="1:15" x14ac:dyDescent="0.25">
      <c r="A12" t="s">
        <v>38</v>
      </c>
      <c r="B12">
        <v>1</v>
      </c>
      <c r="C12">
        <v>1</v>
      </c>
      <c r="F12">
        <v>1</v>
      </c>
      <c r="G12">
        <v>1</v>
      </c>
      <c r="H12">
        <v>1</v>
      </c>
      <c r="I12">
        <v>1</v>
      </c>
      <c r="J12">
        <v>1</v>
      </c>
      <c r="M12">
        <v>1</v>
      </c>
      <c r="N12">
        <v>1</v>
      </c>
      <c r="O12">
        <v>1</v>
      </c>
    </row>
    <row r="13" spans="1:15" x14ac:dyDescent="0.25">
      <c r="A13" t="s">
        <v>39</v>
      </c>
      <c r="B13">
        <v>1</v>
      </c>
      <c r="C13">
        <v>1</v>
      </c>
      <c r="F13">
        <v>1</v>
      </c>
      <c r="G13">
        <v>1</v>
      </c>
      <c r="H13">
        <v>1</v>
      </c>
      <c r="I13">
        <v>1</v>
      </c>
      <c r="J13">
        <v>1</v>
      </c>
      <c r="M13">
        <v>1</v>
      </c>
      <c r="N13">
        <v>1</v>
      </c>
      <c r="O13">
        <v>1</v>
      </c>
    </row>
    <row r="14" spans="1:15" x14ac:dyDescent="0.25">
      <c r="A14" t="s">
        <v>41</v>
      </c>
      <c r="B14">
        <v>0.3</v>
      </c>
      <c r="C14">
        <v>0.3</v>
      </c>
      <c r="F14">
        <v>0.3</v>
      </c>
      <c r="G14">
        <v>0.3</v>
      </c>
      <c r="H14">
        <v>0.3</v>
      </c>
      <c r="I14">
        <v>0.3</v>
      </c>
      <c r="J14">
        <v>0.3</v>
      </c>
      <c r="M14">
        <v>0.3</v>
      </c>
      <c r="N14">
        <v>0.3</v>
      </c>
      <c r="O14">
        <v>0.3</v>
      </c>
    </row>
    <row r="15" spans="1:15" x14ac:dyDescent="0.25">
      <c r="A15" t="s">
        <v>44</v>
      </c>
      <c r="B15">
        <v>0.5</v>
      </c>
      <c r="C15">
        <v>0.5</v>
      </c>
      <c r="F15">
        <v>0.5</v>
      </c>
      <c r="G15">
        <v>0.5</v>
      </c>
      <c r="H15">
        <v>0.5</v>
      </c>
      <c r="I15">
        <v>0.5</v>
      </c>
      <c r="J15">
        <v>0.5</v>
      </c>
      <c r="M15">
        <v>0.5</v>
      </c>
      <c r="N15">
        <v>0.5</v>
      </c>
      <c r="O15">
        <v>0.5</v>
      </c>
    </row>
    <row r="16" spans="1:15" x14ac:dyDescent="0.25">
      <c r="A16" t="s">
        <v>51</v>
      </c>
      <c r="B16">
        <v>0.5</v>
      </c>
      <c r="C16">
        <v>0.5</v>
      </c>
      <c r="F16">
        <v>0.5</v>
      </c>
      <c r="G16">
        <v>0.5</v>
      </c>
      <c r="H16">
        <v>0.5</v>
      </c>
      <c r="I16">
        <v>0.5</v>
      </c>
      <c r="J16">
        <v>0.5</v>
      </c>
      <c r="M16">
        <v>0.5</v>
      </c>
      <c r="N16">
        <v>0.5</v>
      </c>
      <c r="O16">
        <v>0.5</v>
      </c>
    </row>
    <row r="17" spans="1:15" x14ac:dyDescent="0.25">
      <c r="A17" t="s">
        <v>52</v>
      </c>
      <c r="B17">
        <v>0.5</v>
      </c>
      <c r="C17">
        <v>0.5</v>
      </c>
      <c r="F17">
        <v>0.5</v>
      </c>
      <c r="G17">
        <v>0.5</v>
      </c>
      <c r="H17">
        <v>0.5</v>
      </c>
      <c r="I17">
        <v>0.5</v>
      </c>
      <c r="J17">
        <v>0.5</v>
      </c>
      <c r="M17">
        <v>0.5</v>
      </c>
      <c r="N17">
        <v>0.5</v>
      </c>
      <c r="O17">
        <v>0.5</v>
      </c>
    </row>
    <row r="18" spans="1:15" x14ac:dyDescent="0.25">
      <c r="A18" t="s">
        <v>56</v>
      </c>
      <c r="B18">
        <v>0.3</v>
      </c>
      <c r="C18">
        <v>0.3</v>
      </c>
      <c r="F18">
        <v>0.3</v>
      </c>
      <c r="G18">
        <v>0.3</v>
      </c>
      <c r="H18">
        <v>0.3</v>
      </c>
      <c r="I18">
        <v>0.3</v>
      </c>
      <c r="J18">
        <v>0.3</v>
      </c>
      <c r="M18">
        <v>0.3</v>
      </c>
      <c r="N18">
        <v>0.3</v>
      </c>
      <c r="O18">
        <v>0.3</v>
      </c>
    </row>
    <row r="19" spans="1:15" x14ac:dyDescent="0.25">
      <c r="A19" t="s">
        <v>61</v>
      </c>
      <c r="B19">
        <v>1</v>
      </c>
      <c r="C19">
        <v>1</v>
      </c>
      <c r="F19">
        <v>1</v>
      </c>
      <c r="G19">
        <v>1</v>
      </c>
      <c r="H19">
        <v>1</v>
      </c>
      <c r="I19">
        <v>1</v>
      </c>
      <c r="J19">
        <v>1</v>
      </c>
      <c r="M19">
        <v>1</v>
      </c>
      <c r="N19">
        <v>1</v>
      </c>
      <c r="O19">
        <v>1</v>
      </c>
    </row>
    <row r="20" spans="1:15" x14ac:dyDescent="0.25">
      <c r="A20" t="s">
        <v>62</v>
      </c>
      <c r="B20">
        <v>2.5</v>
      </c>
      <c r="C20">
        <v>2.5</v>
      </c>
      <c r="F20">
        <v>2.5</v>
      </c>
      <c r="G20">
        <v>2.5</v>
      </c>
      <c r="H20">
        <v>2.5</v>
      </c>
      <c r="I20">
        <v>2.5</v>
      </c>
      <c r="J20">
        <v>2.5</v>
      </c>
      <c r="M20">
        <v>2.5</v>
      </c>
      <c r="N20">
        <v>2.5</v>
      </c>
      <c r="O20">
        <v>2.5</v>
      </c>
    </row>
    <row r="21" spans="1:15" x14ac:dyDescent="0.25">
      <c r="A21" t="s">
        <v>64</v>
      </c>
      <c r="B21">
        <v>4.5</v>
      </c>
      <c r="C21">
        <v>4.5</v>
      </c>
      <c r="F21">
        <v>4.5</v>
      </c>
      <c r="G21">
        <v>4.5</v>
      </c>
      <c r="H21">
        <v>4.5</v>
      </c>
      <c r="I21">
        <v>4.5</v>
      </c>
      <c r="J21">
        <v>4.5</v>
      </c>
      <c r="M21">
        <v>4.5</v>
      </c>
      <c r="N21">
        <v>4.5</v>
      </c>
      <c r="O21">
        <v>4.5</v>
      </c>
    </row>
    <row r="22" spans="1:15" x14ac:dyDescent="0.25">
      <c r="A22" t="s">
        <v>65</v>
      </c>
      <c r="B22">
        <v>3</v>
      </c>
      <c r="C22">
        <v>3</v>
      </c>
      <c r="F22">
        <v>3</v>
      </c>
      <c r="G22">
        <v>3</v>
      </c>
      <c r="H22">
        <v>3</v>
      </c>
      <c r="I22">
        <v>3</v>
      </c>
      <c r="J22">
        <v>3</v>
      </c>
      <c r="M22">
        <v>3</v>
      </c>
      <c r="N22">
        <v>3</v>
      </c>
      <c r="O22">
        <v>3</v>
      </c>
    </row>
    <row r="23" spans="1:15" s="46" customFormat="1" x14ac:dyDescent="0.25">
      <c r="A23" s="46" t="s">
        <v>101</v>
      </c>
      <c r="B23" s="46">
        <v>25</v>
      </c>
      <c r="C23" s="46">
        <v>25</v>
      </c>
      <c r="D23" s="46"/>
      <c r="E23" s="46"/>
      <c r="F23" s="46">
        <v>25</v>
      </c>
      <c r="G23" s="46">
        <v>25</v>
      </c>
      <c r="H23" s="46">
        <v>25</v>
      </c>
      <c r="I23" s="46">
        <v>25</v>
      </c>
      <c r="J23" s="46">
        <v>25</v>
      </c>
      <c r="K23" s="46"/>
      <c r="L23" s="46"/>
      <c r="M23" s="46">
        <v>25</v>
      </c>
      <c r="N23" s="46">
        <v>25</v>
      </c>
      <c r="O23" s="46">
        <v>25</v>
      </c>
    </row>
    <row r="24" spans="1:15" s="47" customFormat="1" x14ac:dyDescent="0.25">
      <c r="A24" s="47" t="s">
        <v>69</v>
      </c>
      <c r="B24" s="47">
        <v>13</v>
      </c>
      <c r="C24" s="47">
        <v>22</v>
      </c>
      <c r="D24" s="47">
        <v>3</v>
      </c>
      <c r="E24" s="47">
        <v>0</v>
      </c>
      <c r="F24" s="47">
        <v>9</v>
      </c>
      <c r="G24" s="47">
        <v>19</v>
      </c>
      <c r="H24" s="47">
        <v>11</v>
      </c>
      <c r="I24" s="47">
        <v>8</v>
      </c>
      <c r="J24" s="47">
        <v>4</v>
      </c>
      <c r="K24" s="47">
        <v>1</v>
      </c>
      <c r="L24" s="47">
        <v>0</v>
      </c>
      <c r="M24" s="47">
        <v>10</v>
      </c>
      <c r="N24" s="47">
        <v>4</v>
      </c>
      <c r="O24" s="47">
        <v>15</v>
      </c>
    </row>
    <row r="26" spans="1:15" s="48" customFormat="1" x14ac:dyDescent="0.25">
      <c r="A26" s="48" t="s">
        <v>102</v>
      </c>
      <c r="B26" s="48">
        <f>SUM($B$23:B$23)-SUM($B$24:B$24)</f>
      </c>
      <c r="C26" s="48">
        <f>SUM($B$23:C$23)-SUM($B$24:C$24)</f>
      </c>
      <c r="D26" s="48">
        <f>SUM($B$23:D$23)-SUM($B$24:D$24)</f>
      </c>
      <c r="E26" s="48">
        <f>SUM($B$23:E$23)-SUM($B$24:E$24)</f>
      </c>
      <c r="F26" s="48">
        <f>SUM($B$23:F$23)-SUM($B$24:F$24)</f>
      </c>
      <c r="G26" s="48">
        <f>SUM($B$23:G$23)-SUM($B$24:G$24)</f>
      </c>
      <c r="H26" s="48">
        <f>SUM($B$23:H$23)-SUM($B$24:H$24)</f>
      </c>
      <c r="I26" s="48">
        <f>SUM($B$23:I$23)-SUM($B$24:I$24)</f>
      </c>
      <c r="J26" s="48">
        <f>SUM($B$23:J$23)-SUM($B$24:J$24)</f>
      </c>
      <c r="K26" s="48">
        <f>SUM($B$23:K$23)-SUM($B$24:K$24)</f>
      </c>
      <c r="L26" s="48">
        <f>SUM($B$23:L$23)-SUM($B$24:L$24)</f>
      </c>
      <c r="M26" s="48">
        <f>SUM($B$23:M$23)-SUM($B$24:M$24)</f>
      </c>
      <c r="N26" s="48">
        <f>SUM($B$23:N$23)-SUM($B$24:N$24)</f>
      </c>
      <c r="O26" s="48">
        <f>SUM($B$23:O$23)-SUM($B$24:O$24)</f>
      </c>
    </row>
    <row r="28" spans="1:15" s="49" customFormat="1" x14ac:dyDescent="0.25">
      <c r="A28" s="49" t="s">
        <v>103</v>
      </c>
      <c r="B28" s="49">
        <v>1</v>
      </c>
      <c r="C28" s="49">
        <v>2</v>
      </c>
      <c r="D28" s="49">
        <v>3</v>
      </c>
      <c r="E28" s="49">
        <v>4</v>
      </c>
      <c r="F28" s="49">
        <v>5</v>
      </c>
      <c r="G28" s="49">
        <v>6</v>
      </c>
      <c r="H28" s="49">
        <v>7</v>
      </c>
      <c r="I28" s="49">
        <v>8</v>
      </c>
      <c r="J28" s="49">
        <v>9</v>
      </c>
      <c r="K28" s="49">
        <v>10</v>
      </c>
      <c r="L28" s="49">
        <v>11</v>
      </c>
      <c r="M28" s="49">
        <v>12</v>
      </c>
      <c r="N28" s="49">
        <v>13</v>
      </c>
      <c r="O28" s="49">
        <v>14</v>
      </c>
    </row>
    <row r="29" spans="1:15" x14ac:dyDescent="0.25">
      <c r="A29" t="s">
        <v>104</v>
      </c>
      <c r="B29">
        <f>B26</f>
      </c>
      <c r="C29">
        <f>C26</f>
      </c>
      <c r="D29">
        <f>D26</f>
      </c>
      <c r="E29">
        <f>E26</f>
      </c>
      <c r="F29">
        <f>F26</f>
      </c>
      <c r="G29">
        <f>G26</f>
      </c>
      <c r="H29">
        <f>H26</f>
      </c>
      <c r="I29">
        <f>I26</f>
      </c>
      <c r="J29">
        <f>J26</f>
      </c>
      <c r="K29">
        <f>K26</f>
      </c>
      <c r="L29">
        <f>L26</f>
      </c>
      <c r="M29">
        <f>M26</f>
      </c>
      <c r="N29">
        <f>N26</f>
      </c>
      <c r="O29">
        <f>O26</f>
      </c>
    </row>
    <row r="31" spans="1:1" s="50" customFormat="1" x14ac:dyDescent="0.25">
      <c r="A31" s="50" t="s">
        <v>123</v>
      </c>
    </row>
    <row r="32" spans="1:1" x14ac:dyDescent="0.25">
      <c r="A32" t="s">
        <v>106</v>
      </c>
    </row>
    <row r="33" spans="1:1" x14ac:dyDescent="0.25">
      <c r="A33" t="s">
        <v>107</v>
      </c>
    </row>
    <row r="34" spans="1:1" x14ac:dyDescent="0.25">
      <c r="A34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FormatPr defaultRowHeight="15" outlineLevelRow="0" outlineLevelCol="0" x14ac:dyDescent="55"/>
  <cols>
    <col min="1" max="1" width="50" customWidth="1"/>
    <col min="2" max="15" width="12" customWidth="1"/>
  </cols>
  <sheetData>
    <row r="1" ht="20" customHeight="1" spans="1:15" s="45" customFormat="1" x14ac:dyDescent="0.25">
      <c r="A1" s="45" t="s">
        <v>0</v>
      </c>
      <c r="B1" s="45" t="s">
        <v>125</v>
      </c>
      <c r="C1" s="45" t="s">
        <v>126</v>
      </c>
      <c r="D1" s="45" t="s">
        <v>127</v>
      </c>
      <c r="E1" s="45" t="s">
        <v>128</v>
      </c>
      <c r="F1" s="45" t="s">
        <v>129</v>
      </c>
      <c r="G1" s="45" t="s">
        <v>130</v>
      </c>
      <c r="H1" s="45" t="s">
        <v>131</v>
      </c>
      <c r="I1" s="45" t="s">
        <v>132</v>
      </c>
      <c r="J1" s="45" t="s">
        <v>133</v>
      </c>
      <c r="K1" s="45" t="s">
        <v>134</v>
      </c>
      <c r="L1" s="45" t="s">
        <v>135</v>
      </c>
      <c r="M1" s="45" t="s">
        <v>136</v>
      </c>
      <c r="N1" s="45" t="s">
        <v>137</v>
      </c>
      <c r="O1" s="45" t="s">
        <v>138</v>
      </c>
    </row>
    <row r="2" spans="1:15" x14ac:dyDescent="0.25">
      <c r="A2" t="s">
        <v>15</v>
      </c>
      <c r="B2">
        <v>0.5</v>
      </c>
      <c r="C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M2">
        <v>0.5</v>
      </c>
      <c r="N2">
        <v>0.5</v>
      </c>
      <c r="O2">
        <v>0.5</v>
      </c>
    </row>
    <row r="3" spans="1:15" x14ac:dyDescent="0.25">
      <c r="A3" t="s">
        <v>19</v>
      </c>
      <c r="B3">
        <v>1</v>
      </c>
      <c r="C3">
        <v>1</v>
      </c>
      <c r="F3">
        <v>1</v>
      </c>
      <c r="G3">
        <v>1</v>
      </c>
      <c r="H3">
        <v>1</v>
      </c>
      <c r="I3">
        <v>1</v>
      </c>
      <c r="J3">
        <v>1</v>
      </c>
      <c r="M3">
        <v>1</v>
      </c>
      <c r="N3">
        <v>1</v>
      </c>
      <c r="O3">
        <v>1</v>
      </c>
    </row>
    <row r="4" spans="1:15" x14ac:dyDescent="0.25">
      <c r="A4" t="s">
        <v>21</v>
      </c>
      <c r="B4">
        <v>1</v>
      </c>
      <c r="C4">
        <v>1</v>
      </c>
      <c r="F4">
        <v>1</v>
      </c>
      <c r="G4">
        <v>1</v>
      </c>
      <c r="H4">
        <v>1</v>
      </c>
      <c r="I4">
        <v>1</v>
      </c>
      <c r="J4">
        <v>1</v>
      </c>
      <c r="M4">
        <v>1</v>
      </c>
      <c r="N4">
        <v>1</v>
      </c>
      <c r="O4">
        <v>1</v>
      </c>
    </row>
    <row r="5" spans="1:15" x14ac:dyDescent="0.25">
      <c r="A5" t="s">
        <v>23</v>
      </c>
      <c r="B5">
        <v>1</v>
      </c>
      <c r="C5">
        <v>1</v>
      </c>
      <c r="F5">
        <v>1</v>
      </c>
      <c r="G5">
        <v>1</v>
      </c>
      <c r="H5">
        <v>1</v>
      </c>
      <c r="I5">
        <v>1</v>
      </c>
      <c r="J5">
        <v>1</v>
      </c>
      <c r="M5">
        <v>1</v>
      </c>
      <c r="N5">
        <v>1</v>
      </c>
      <c r="O5">
        <v>1</v>
      </c>
    </row>
    <row r="6" spans="1:15" x14ac:dyDescent="0.25">
      <c r="A6" t="s">
        <v>25</v>
      </c>
      <c r="B6">
        <v>1</v>
      </c>
      <c r="C6">
        <v>1</v>
      </c>
      <c r="F6">
        <v>1</v>
      </c>
      <c r="G6">
        <v>1</v>
      </c>
      <c r="H6">
        <v>1</v>
      </c>
      <c r="I6">
        <v>1</v>
      </c>
      <c r="J6">
        <v>1</v>
      </c>
      <c r="M6">
        <v>1</v>
      </c>
      <c r="N6">
        <v>1</v>
      </c>
      <c r="O6">
        <v>1</v>
      </c>
    </row>
    <row r="7" spans="1:15" x14ac:dyDescent="0.25">
      <c r="A7" t="s">
        <v>26</v>
      </c>
      <c r="B7">
        <v>2</v>
      </c>
      <c r="C7">
        <v>2</v>
      </c>
      <c r="F7">
        <v>2</v>
      </c>
      <c r="G7">
        <v>2</v>
      </c>
      <c r="H7">
        <v>2</v>
      </c>
      <c r="I7">
        <v>2</v>
      </c>
      <c r="J7">
        <v>2</v>
      </c>
      <c r="M7">
        <v>2</v>
      </c>
      <c r="N7">
        <v>2</v>
      </c>
      <c r="O7">
        <v>2</v>
      </c>
    </row>
    <row r="8" spans="1:15" x14ac:dyDescent="0.25">
      <c r="A8" t="s">
        <v>32</v>
      </c>
      <c r="B8">
        <v>1.5</v>
      </c>
      <c r="C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M8">
        <v>1.5</v>
      </c>
      <c r="N8">
        <v>1.5</v>
      </c>
      <c r="O8">
        <v>1.5</v>
      </c>
    </row>
    <row r="9" spans="1:15" x14ac:dyDescent="0.25">
      <c r="A9" t="s">
        <v>37</v>
      </c>
      <c r="B9">
        <v>0.9</v>
      </c>
      <c r="C9">
        <v>0.9</v>
      </c>
      <c r="F9">
        <v>0.9</v>
      </c>
      <c r="G9">
        <v>0.9</v>
      </c>
      <c r="H9">
        <v>0.9</v>
      </c>
      <c r="I9">
        <v>0.9</v>
      </c>
      <c r="J9">
        <v>0.9</v>
      </c>
      <c r="M9">
        <v>0.9</v>
      </c>
      <c r="N9">
        <v>0.9</v>
      </c>
      <c r="O9">
        <v>0.9</v>
      </c>
    </row>
    <row r="10" spans="1:15" x14ac:dyDescent="0.25">
      <c r="A10" t="s">
        <v>43</v>
      </c>
      <c r="B10">
        <v>2</v>
      </c>
      <c r="C10">
        <v>2</v>
      </c>
      <c r="F10">
        <v>2</v>
      </c>
      <c r="G10">
        <v>2</v>
      </c>
      <c r="H10">
        <v>2</v>
      </c>
      <c r="I10">
        <v>2</v>
      </c>
      <c r="J10">
        <v>2</v>
      </c>
      <c r="M10">
        <v>2</v>
      </c>
      <c r="N10">
        <v>2</v>
      </c>
      <c r="O10">
        <v>2</v>
      </c>
    </row>
    <row r="11" spans="1:15" x14ac:dyDescent="0.25">
      <c r="A11" t="s">
        <v>44</v>
      </c>
      <c r="B11">
        <v>1</v>
      </c>
      <c r="C11">
        <v>1</v>
      </c>
      <c r="F11">
        <v>1</v>
      </c>
      <c r="G11">
        <v>1</v>
      </c>
      <c r="H11">
        <v>1</v>
      </c>
      <c r="I11">
        <v>1</v>
      </c>
      <c r="J11">
        <v>1</v>
      </c>
      <c r="M11">
        <v>1</v>
      </c>
      <c r="N11">
        <v>1</v>
      </c>
      <c r="O11">
        <v>1</v>
      </c>
    </row>
    <row r="12" spans="1:15" x14ac:dyDescent="0.25">
      <c r="A12" t="s">
        <v>48</v>
      </c>
      <c r="B12">
        <v>1.5</v>
      </c>
      <c r="C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M12">
        <v>1.5</v>
      </c>
      <c r="N12">
        <v>1.5</v>
      </c>
      <c r="O12">
        <v>1.5</v>
      </c>
    </row>
    <row r="13" spans="1:15" x14ac:dyDescent="0.25">
      <c r="A13" t="s">
        <v>58</v>
      </c>
      <c r="B13">
        <v>2</v>
      </c>
      <c r="C13">
        <v>2</v>
      </c>
      <c r="F13">
        <v>2</v>
      </c>
      <c r="G13">
        <v>2</v>
      </c>
      <c r="H13">
        <v>2</v>
      </c>
      <c r="I13">
        <v>2</v>
      </c>
      <c r="J13">
        <v>2</v>
      </c>
      <c r="M13">
        <v>2</v>
      </c>
      <c r="N13">
        <v>2</v>
      </c>
      <c r="O13">
        <v>2</v>
      </c>
    </row>
    <row r="14" spans="1:15" x14ac:dyDescent="0.25">
      <c r="A14" t="s">
        <v>61</v>
      </c>
      <c r="B14">
        <v>2</v>
      </c>
      <c r="C14">
        <v>2</v>
      </c>
      <c r="F14">
        <v>2</v>
      </c>
      <c r="G14">
        <v>2</v>
      </c>
      <c r="H14">
        <v>2</v>
      </c>
      <c r="I14">
        <v>2</v>
      </c>
      <c r="J14">
        <v>2</v>
      </c>
      <c r="M14">
        <v>2</v>
      </c>
      <c r="N14">
        <v>2</v>
      </c>
      <c r="O14">
        <v>2</v>
      </c>
    </row>
    <row r="15" spans="1:15" x14ac:dyDescent="0.25">
      <c r="A15" t="s">
        <v>62</v>
      </c>
      <c r="B15">
        <v>2.5</v>
      </c>
      <c r="C15">
        <v>2.5</v>
      </c>
      <c r="F15">
        <v>2.5</v>
      </c>
      <c r="G15">
        <v>2.5</v>
      </c>
      <c r="H15">
        <v>2.5</v>
      </c>
      <c r="I15">
        <v>2.5</v>
      </c>
      <c r="J15">
        <v>2.5</v>
      </c>
      <c r="M15">
        <v>2.5</v>
      </c>
      <c r="N15">
        <v>2.5</v>
      </c>
      <c r="O15">
        <v>2.5</v>
      </c>
    </row>
    <row r="16" spans="1:15" x14ac:dyDescent="0.25">
      <c r="A16" t="s">
        <v>64</v>
      </c>
      <c r="B16">
        <v>2</v>
      </c>
      <c r="C16">
        <v>2</v>
      </c>
      <c r="F16">
        <v>2</v>
      </c>
      <c r="G16">
        <v>2</v>
      </c>
      <c r="H16">
        <v>2</v>
      </c>
      <c r="I16">
        <v>2</v>
      </c>
      <c r="J16">
        <v>2</v>
      </c>
      <c r="M16">
        <v>2</v>
      </c>
      <c r="N16">
        <v>2</v>
      </c>
      <c r="O16">
        <v>2</v>
      </c>
    </row>
    <row r="17" spans="1:15" x14ac:dyDescent="0.25">
      <c r="A17" t="s">
        <v>65</v>
      </c>
      <c r="B17">
        <v>2</v>
      </c>
      <c r="C17">
        <v>2</v>
      </c>
      <c r="F17">
        <v>2</v>
      </c>
      <c r="G17">
        <v>2</v>
      </c>
      <c r="H17">
        <v>2</v>
      </c>
      <c r="I17">
        <v>2</v>
      </c>
      <c r="J17">
        <v>2</v>
      </c>
      <c r="M17">
        <v>2</v>
      </c>
      <c r="N17">
        <v>2</v>
      </c>
      <c r="O17">
        <v>2</v>
      </c>
    </row>
    <row r="18" spans="1:15" s="46" customFormat="1" x14ac:dyDescent="0.25">
      <c r="A18" s="46" t="s">
        <v>101</v>
      </c>
      <c r="B18" s="46">
        <v>23.9</v>
      </c>
      <c r="C18" s="46">
        <v>23.9</v>
      </c>
      <c r="D18" s="46"/>
      <c r="E18" s="46"/>
      <c r="F18" s="46">
        <v>23.9</v>
      </c>
      <c r="G18" s="46">
        <v>23.9</v>
      </c>
      <c r="H18" s="46">
        <v>23.9</v>
      </c>
      <c r="I18" s="46">
        <v>23.9</v>
      </c>
      <c r="J18" s="46">
        <v>23.9</v>
      </c>
      <c r="K18" s="46"/>
      <c r="L18" s="46"/>
      <c r="M18" s="46">
        <v>23.9</v>
      </c>
      <c r="N18" s="46">
        <v>23.9</v>
      </c>
      <c r="O18" s="46">
        <v>23.9</v>
      </c>
    </row>
    <row r="19" spans="1:2" s="47" customFormat="1" x14ac:dyDescent="0.25">
      <c r="A19" s="47" t="s">
        <v>69</v>
      </c>
      <c r="B19" s="47">
        <v>6</v>
      </c>
    </row>
    <row r="21" spans="1:15" s="48" customFormat="1" x14ac:dyDescent="0.25">
      <c r="A21" s="48" t="s">
        <v>102</v>
      </c>
      <c r="B21" s="48">
        <f>SUM($B$18:B$18)-SUM($B$19:B$19)</f>
      </c>
      <c r="C21" s="48">
        <f>SUM($B$18:C$18)-SUM($B$19:C$19)</f>
      </c>
      <c r="D21" s="48">
        <f>SUM($B$18:D$18)-SUM($B$19:D$19)</f>
      </c>
      <c r="E21" s="48">
        <f>SUM($B$18:E$18)-SUM($B$19:E$19)</f>
      </c>
      <c r="F21" s="48">
        <f>SUM($B$18:F$18)-SUM($B$19:F$19)</f>
      </c>
      <c r="G21" s="48">
        <f>SUM($B$18:G$18)-SUM($B$19:G$19)</f>
      </c>
      <c r="H21" s="48">
        <f>SUM($B$18:H$18)-SUM($B$19:H$19)</f>
      </c>
      <c r="I21" s="48">
        <f>SUM($B$18:I$18)-SUM($B$19:I$19)</f>
      </c>
      <c r="J21" s="48">
        <f>SUM($B$18:J$18)-SUM($B$19:J$19)</f>
      </c>
      <c r="K21" s="48">
        <f>SUM($B$18:K$18)-SUM($B$19:K$19)</f>
      </c>
      <c r="L21" s="48">
        <f>SUM($B$18:L$18)-SUM($B$19:L$19)</f>
      </c>
      <c r="M21" s="48">
        <f>SUM($B$18:M$18)-SUM($B$19:M$19)</f>
      </c>
      <c r="N21" s="48">
        <f>SUM($B$18:N$18)-SUM($B$19:N$19)</f>
      </c>
      <c r="O21" s="48">
        <f>SUM($B$18:O$18)-SUM($B$19:O$19)</f>
      </c>
    </row>
    <row r="23" spans="1:15" s="49" customFormat="1" x14ac:dyDescent="0.25">
      <c r="A23" s="49" t="s">
        <v>103</v>
      </c>
      <c r="B23" s="49">
        <v>1</v>
      </c>
      <c r="C23" s="49">
        <v>2</v>
      </c>
      <c r="D23" s="49">
        <v>3</v>
      </c>
      <c r="E23" s="49">
        <v>4</v>
      </c>
      <c r="F23" s="49">
        <v>5</v>
      </c>
      <c r="G23" s="49">
        <v>6</v>
      </c>
      <c r="H23" s="49">
        <v>7</v>
      </c>
      <c r="I23" s="49">
        <v>8</v>
      </c>
      <c r="J23" s="49">
        <v>9</v>
      </c>
      <c r="K23" s="49">
        <v>10</v>
      </c>
      <c r="L23" s="49">
        <v>11</v>
      </c>
      <c r="M23" s="49">
        <v>12</v>
      </c>
      <c r="N23" s="49">
        <v>13</v>
      </c>
      <c r="O23" s="49">
        <v>14</v>
      </c>
    </row>
    <row r="24" spans="1:15" x14ac:dyDescent="0.25">
      <c r="A24" t="s">
        <v>104</v>
      </c>
      <c r="B24">
        <f>B21</f>
      </c>
      <c r="C24">
        <f>C21</f>
      </c>
      <c r="D24">
        <f>D21</f>
      </c>
      <c r="E24">
        <f>E21</f>
      </c>
      <c r="F24">
        <f>F21</f>
      </c>
      <c r="G24">
        <f>G21</f>
      </c>
      <c r="H24">
        <f>H21</f>
      </c>
      <c r="I24">
        <f>I21</f>
      </c>
      <c r="J24">
        <f>J21</f>
      </c>
      <c r="K24">
        <f>K21</f>
      </c>
      <c r="L24">
        <f>L21</f>
      </c>
      <c r="M24">
        <f>M21</f>
      </c>
      <c r="N24">
        <f>N21</f>
      </c>
      <c r="O24">
        <f>O21</f>
      </c>
    </row>
    <row r="26" spans="1:1" s="50" customFormat="1" x14ac:dyDescent="0.25">
      <c r="A26" s="50" t="s">
        <v>139</v>
      </c>
    </row>
    <row r="27" spans="1:1" x14ac:dyDescent="0.25">
      <c r="A27" t="s">
        <v>106</v>
      </c>
    </row>
    <row r="28" spans="1:1" x14ac:dyDescent="0.25">
      <c r="A28" t="s">
        <v>107</v>
      </c>
    </row>
    <row r="29" spans="1:1" x14ac:dyDescent="0.25">
      <c r="A29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FormatPr defaultRowHeight="15" outlineLevelRow="0" outlineLevelCol="0" x14ac:dyDescent="55"/>
  <cols>
    <col min="1" max="1" width="50" customWidth="1"/>
    <col min="2" max="15" width="12" customWidth="1"/>
  </cols>
  <sheetData>
    <row r="1" ht="20" customHeight="1" spans="1:15" s="45" customFormat="1" x14ac:dyDescent="0.25">
      <c r="A1" s="45" t="s">
        <v>0</v>
      </c>
      <c r="B1" s="45" t="s">
        <v>141</v>
      </c>
      <c r="C1" s="45" t="s">
        <v>142</v>
      </c>
      <c r="D1" s="45" t="s">
        <v>143</v>
      </c>
      <c r="E1" s="45" t="s">
        <v>144</v>
      </c>
      <c r="F1" s="45" t="s">
        <v>145</v>
      </c>
      <c r="G1" s="45" t="s">
        <v>146</v>
      </c>
      <c r="H1" s="45" t="s">
        <v>147</v>
      </c>
      <c r="I1" s="45" t="s">
        <v>148</v>
      </c>
      <c r="J1" s="45" t="s">
        <v>149</v>
      </c>
      <c r="K1" s="45" t="s">
        <v>150</v>
      </c>
      <c r="L1" s="45" t="s">
        <v>151</v>
      </c>
      <c r="M1" s="45" t="s">
        <v>152</v>
      </c>
      <c r="N1" s="45" t="s">
        <v>153</v>
      </c>
      <c r="O1" s="45" t="s">
        <v>154</v>
      </c>
    </row>
    <row r="2" spans="1:15" x14ac:dyDescent="0.25">
      <c r="A2" t="s">
        <v>19</v>
      </c>
      <c r="B2">
        <v>1</v>
      </c>
      <c r="C2">
        <v>1</v>
      </c>
      <c r="F2">
        <v>1</v>
      </c>
      <c r="G2">
        <v>1</v>
      </c>
      <c r="H2">
        <v>1</v>
      </c>
      <c r="I2">
        <v>1</v>
      </c>
      <c r="J2">
        <v>1</v>
      </c>
      <c r="M2">
        <v>1</v>
      </c>
      <c r="N2">
        <v>1</v>
      </c>
      <c r="O2">
        <v>1</v>
      </c>
    </row>
    <row r="3" spans="1:15" x14ac:dyDescent="0.25">
      <c r="A3" t="s">
        <v>20</v>
      </c>
      <c r="B3">
        <v>2</v>
      </c>
      <c r="C3">
        <v>2</v>
      </c>
      <c r="F3">
        <v>2</v>
      </c>
      <c r="G3">
        <v>2</v>
      </c>
      <c r="H3">
        <v>2</v>
      </c>
      <c r="I3">
        <v>2</v>
      </c>
      <c r="J3">
        <v>2</v>
      </c>
      <c r="M3">
        <v>2</v>
      </c>
      <c r="N3">
        <v>2</v>
      </c>
      <c r="O3">
        <v>2</v>
      </c>
    </row>
    <row r="4" spans="1:15" x14ac:dyDescent="0.25">
      <c r="A4" t="s">
        <v>33</v>
      </c>
      <c r="B4">
        <v>0.6</v>
      </c>
      <c r="C4">
        <v>0.6</v>
      </c>
      <c r="F4">
        <v>0.6</v>
      </c>
      <c r="G4">
        <v>0.6</v>
      </c>
      <c r="H4">
        <v>0.6</v>
      </c>
      <c r="I4">
        <v>0.6</v>
      </c>
      <c r="J4">
        <v>0.6</v>
      </c>
      <c r="M4">
        <v>0.6</v>
      </c>
      <c r="N4">
        <v>0.6</v>
      </c>
      <c r="O4">
        <v>0.6</v>
      </c>
    </row>
    <row r="5" spans="1:15" x14ac:dyDescent="0.25">
      <c r="A5" t="s">
        <v>34</v>
      </c>
      <c r="B5">
        <v>2</v>
      </c>
      <c r="C5">
        <v>2</v>
      </c>
      <c r="F5">
        <v>2</v>
      </c>
      <c r="G5">
        <v>2</v>
      </c>
      <c r="H5">
        <v>2</v>
      </c>
      <c r="I5">
        <v>2</v>
      </c>
      <c r="J5">
        <v>2</v>
      </c>
      <c r="M5">
        <v>2</v>
      </c>
      <c r="N5">
        <v>2</v>
      </c>
      <c r="O5">
        <v>2</v>
      </c>
    </row>
    <row r="6" spans="1:15" x14ac:dyDescent="0.25">
      <c r="A6" t="s">
        <v>42</v>
      </c>
      <c r="B6">
        <v>2</v>
      </c>
      <c r="C6">
        <v>2</v>
      </c>
      <c r="F6">
        <v>2</v>
      </c>
      <c r="G6">
        <v>2</v>
      </c>
      <c r="H6">
        <v>2</v>
      </c>
      <c r="I6">
        <v>2</v>
      </c>
      <c r="J6">
        <v>2</v>
      </c>
      <c r="M6">
        <v>2</v>
      </c>
      <c r="N6">
        <v>2</v>
      </c>
      <c r="O6">
        <v>2</v>
      </c>
    </row>
    <row r="7" spans="1:15" x14ac:dyDescent="0.25">
      <c r="A7" t="s">
        <v>43</v>
      </c>
      <c r="B7">
        <v>2</v>
      </c>
      <c r="C7">
        <v>2</v>
      </c>
      <c r="F7">
        <v>2</v>
      </c>
      <c r="G7">
        <v>2</v>
      </c>
      <c r="H7">
        <v>2</v>
      </c>
      <c r="I7">
        <v>2</v>
      </c>
      <c r="J7">
        <v>2</v>
      </c>
      <c r="M7">
        <v>2</v>
      </c>
      <c r="N7">
        <v>2</v>
      </c>
      <c r="O7">
        <v>2</v>
      </c>
    </row>
    <row r="8" spans="1:15" x14ac:dyDescent="0.25">
      <c r="A8" t="s">
        <v>48</v>
      </c>
      <c r="B8">
        <v>2</v>
      </c>
      <c r="C8">
        <v>2</v>
      </c>
      <c r="F8">
        <v>2</v>
      </c>
      <c r="G8">
        <v>2</v>
      </c>
      <c r="H8">
        <v>2</v>
      </c>
      <c r="I8">
        <v>2</v>
      </c>
      <c r="J8">
        <v>2</v>
      </c>
      <c r="M8">
        <v>2</v>
      </c>
      <c r="N8">
        <v>2</v>
      </c>
      <c r="O8">
        <v>2</v>
      </c>
    </row>
    <row r="9" spans="1:15" x14ac:dyDescent="0.25">
      <c r="A9" t="s">
        <v>49</v>
      </c>
      <c r="B9">
        <v>2</v>
      </c>
      <c r="C9">
        <v>2</v>
      </c>
      <c r="F9">
        <v>2</v>
      </c>
      <c r="G9">
        <v>2</v>
      </c>
      <c r="H9">
        <v>2</v>
      </c>
      <c r="I9">
        <v>2</v>
      </c>
      <c r="J9">
        <v>2</v>
      </c>
      <c r="M9">
        <v>2</v>
      </c>
      <c r="N9">
        <v>2</v>
      </c>
      <c r="O9">
        <v>2</v>
      </c>
    </row>
    <row r="10" spans="1:15" x14ac:dyDescent="0.25">
      <c r="A10" t="s">
        <v>50</v>
      </c>
      <c r="B10">
        <v>1</v>
      </c>
      <c r="C10">
        <v>1</v>
      </c>
      <c r="F10">
        <v>1</v>
      </c>
      <c r="G10">
        <v>1</v>
      </c>
      <c r="H10">
        <v>1</v>
      </c>
      <c r="I10">
        <v>1</v>
      </c>
      <c r="J10">
        <v>1</v>
      </c>
      <c r="M10">
        <v>1</v>
      </c>
      <c r="N10">
        <v>1</v>
      </c>
      <c r="O10">
        <v>1</v>
      </c>
    </row>
    <row r="11" spans="1:15" x14ac:dyDescent="0.25">
      <c r="A11" t="s">
        <v>55</v>
      </c>
      <c r="B11">
        <v>0.7</v>
      </c>
      <c r="C11">
        <v>0.7</v>
      </c>
      <c r="F11">
        <v>0.7</v>
      </c>
      <c r="G11">
        <v>0.7</v>
      </c>
      <c r="H11">
        <v>0.7</v>
      </c>
      <c r="I11">
        <v>0.7</v>
      </c>
      <c r="J11">
        <v>0.7</v>
      </c>
      <c r="M11">
        <v>0.7</v>
      </c>
      <c r="N11">
        <v>0.7</v>
      </c>
      <c r="O11">
        <v>0.7</v>
      </c>
    </row>
    <row r="12" spans="1:15" x14ac:dyDescent="0.25">
      <c r="A12" t="s">
        <v>58</v>
      </c>
      <c r="B12">
        <v>2</v>
      </c>
      <c r="C12">
        <v>2</v>
      </c>
      <c r="F12">
        <v>2</v>
      </c>
      <c r="G12">
        <v>2</v>
      </c>
      <c r="H12">
        <v>2</v>
      </c>
      <c r="I12">
        <v>2</v>
      </c>
      <c r="J12">
        <v>2</v>
      </c>
      <c r="M12">
        <v>2</v>
      </c>
      <c r="N12">
        <v>2</v>
      </c>
      <c r="O12">
        <v>2</v>
      </c>
    </row>
    <row r="13" spans="1:15" x14ac:dyDescent="0.25">
      <c r="A13" t="s">
        <v>61</v>
      </c>
      <c r="B13">
        <v>2</v>
      </c>
      <c r="C13">
        <v>2</v>
      </c>
      <c r="F13">
        <v>2</v>
      </c>
      <c r="G13">
        <v>2</v>
      </c>
      <c r="H13">
        <v>2</v>
      </c>
      <c r="I13">
        <v>2</v>
      </c>
      <c r="J13">
        <v>2</v>
      </c>
      <c r="M13">
        <v>2</v>
      </c>
      <c r="N13">
        <v>2</v>
      </c>
      <c r="O13">
        <v>2</v>
      </c>
    </row>
    <row r="14" spans="1:15" x14ac:dyDescent="0.25">
      <c r="A14" t="s">
        <v>62</v>
      </c>
      <c r="B14">
        <v>2.5</v>
      </c>
      <c r="C14">
        <v>2.5</v>
      </c>
      <c r="F14">
        <v>2.5</v>
      </c>
      <c r="G14">
        <v>2.5</v>
      </c>
      <c r="H14">
        <v>2.5</v>
      </c>
      <c r="I14">
        <v>2.5</v>
      </c>
      <c r="J14">
        <v>2.5</v>
      </c>
      <c r="M14">
        <v>2.5</v>
      </c>
      <c r="N14">
        <v>2.5</v>
      </c>
      <c r="O14">
        <v>2.5</v>
      </c>
    </row>
    <row r="15" spans="1:15" x14ac:dyDescent="0.25">
      <c r="A15" t="s">
        <v>64</v>
      </c>
      <c r="B15">
        <v>1</v>
      </c>
      <c r="C15">
        <v>1</v>
      </c>
      <c r="F15">
        <v>1</v>
      </c>
      <c r="G15">
        <v>1</v>
      </c>
      <c r="H15">
        <v>1</v>
      </c>
      <c r="I15">
        <v>1</v>
      </c>
      <c r="J15">
        <v>1</v>
      </c>
      <c r="M15">
        <v>1</v>
      </c>
      <c r="N15">
        <v>1</v>
      </c>
      <c r="O15">
        <v>1</v>
      </c>
    </row>
    <row r="16" spans="1:15" x14ac:dyDescent="0.25">
      <c r="A16" t="s">
        <v>65</v>
      </c>
      <c r="B16">
        <v>2</v>
      </c>
      <c r="C16">
        <v>2</v>
      </c>
      <c r="F16">
        <v>2</v>
      </c>
      <c r="G16">
        <v>2</v>
      </c>
      <c r="H16">
        <v>2</v>
      </c>
      <c r="I16">
        <v>2</v>
      </c>
      <c r="J16">
        <v>2</v>
      </c>
      <c r="M16">
        <v>2</v>
      </c>
      <c r="N16">
        <v>2</v>
      </c>
      <c r="O16">
        <v>2</v>
      </c>
    </row>
    <row r="17" spans="1:15" s="46" customFormat="1" x14ac:dyDescent="0.25">
      <c r="A17" s="46" t="s">
        <v>101</v>
      </c>
      <c r="B17" s="46">
        <v>24.799999999999997</v>
      </c>
      <c r="C17" s="46">
        <v>24.799999999999997</v>
      </c>
      <c r="D17" s="46"/>
      <c r="E17" s="46"/>
      <c r="F17" s="46">
        <v>24.799999999999997</v>
      </c>
      <c r="G17" s="46">
        <v>24.799999999999997</v>
      </c>
      <c r="H17" s="46">
        <v>24.799999999999997</v>
      </c>
      <c r="I17" s="46">
        <v>24.799999999999997</v>
      </c>
      <c r="J17" s="46">
        <v>24.799999999999997</v>
      </c>
      <c r="K17" s="46"/>
      <c r="L17" s="46"/>
      <c r="M17" s="46">
        <v>24.799999999999997</v>
      </c>
      <c r="N17" s="46">
        <v>24.799999999999997</v>
      </c>
      <c r="O17" s="46">
        <v>24.799999999999997</v>
      </c>
    </row>
    <row r="18" spans="1:1" s="47" customFormat="1" x14ac:dyDescent="0.25">
      <c r="A18" s="47" t="s">
        <v>69</v>
      </c>
    </row>
    <row r="20" spans="1:15" s="48" customFormat="1" x14ac:dyDescent="0.25">
      <c r="A20" s="48" t="s">
        <v>102</v>
      </c>
      <c r="B20" s="48">
        <f>SUM($B$17:B$17)-SUM($B$18:B$18)</f>
      </c>
      <c r="C20" s="48">
        <f>SUM($B$17:C$17)-SUM($B$18:C$18)</f>
      </c>
      <c r="D20" s="48">
        <f>SUM($B$17:D$17)-SUM($B$18:D$18)</f>
      </c>
      <c r="E20" s="48">
        <f>SUM($B$17:E$17)-SUM($B$18:E$18)</f>
      </c>
      <c r="F20" s="48">
        <f>SUM($B$17:F$17)-SUM($B$18:F$18)</f>
      </c>
      <c r="G20" s="48">
        <f>SUM($B$17:G$17)-SUM($B$18:G$18)</f>
      </c>
      <c r="H20" s="48">
        <f>SUM($B$17:H$17)-SUM($B$18:H$18)</f>
      </c>
      <c r="I20" s="48">
        <f>SUM($B$17:I$17)-SUM($B$18:I$18)</f>
      </c>
      <c r="J20" s="48">
        <f>SUM($B$17:J$17)-SUM($B$18:J$18)</f>
      </c>
      <c r="K20" s="48">
        <f>SUM($B$17:K$17)-SUM($B$18:K$18)</f>
      </c>
      <c r="L20" s="48">
        <f>SUM($B$17:L$17)-SUM($B$18:L$18)</f>
      </c>
      <c r="M20" s="48">
        <f>SUM($B$17:M$17)-SUM($B$18:M$18)</f>
      </c>
      <c r="N20" s="48">
        <f>SUM($B$17:N$17)-SUM($B$18:N$18)</f>
      </c>
      <c r="O20" s="48">
        <f>SUM($B$17:O$17)-SUM($B$18:O$18)</f>
      </c>
    </row>
    <row r="22" spans="1:15" s="49" customFormat="1" x14ac:dyDescent="0.25">
      <c r="A22" s="49" t="s">
        <v>103</v>
      </c>
      <c r="B22" s="49">
        <v>1</v>
      </c>
      <c r="C22" s="49">
        <v>2</v>
      </c>
      <c r="D22" s="49">
        <v>3</v>
      </c>
      <c r="E22" s="49">
        <v>4</v>
      </c>
      <c r="F22" s="49">
        <v>5</v>
      </c>
      <c r="G22" s="49">
        <v>6</v>
      </c>
      <c r="H22" s="49">
        <v>7</v>
      </c>
      <c r="I22" s="49">
        <v>8</v>
      </c>
      <c r="J22" s="49">
        <v>9</v>
      </c>
      <c r="K22" s="49">
        <v>10</v>
      </c>
      <c r="L22" s="49">
        <v>11</v>
      </c>
      <c r="M22" s="49">
        <v>12</v>
      </c>
      <c r="N22" s="49">
        <v>13</v>
      </c>
      <c r="O22" s="49">
        <v>14</v>
      </c>
    </row>
    <row r="23" spans="1:15" x14ac:dyDescent="0.25">
      <c r="A23" t="s">
        <v>104</v>
      </c>
      <c r="B23">
        <f>B20</f>
      </c>
      <c r="C23">
        <f>C20</f>
      </c>
      <c r="D23">
        <f>D20</f>
      </c>
      <c r="E23">
        <f>E20</f>
      </c>
      <c r="F23">
        <f>F20</f>
      </c>
      <c r="G23">
        <f>G20</f>
      </c>
      <c r="H23">
        <f>H20</f>
      </c>
      <c r="I23">
        <f>I20</f>
      </c>
      <c r="J23">
        <f>J20</f>
      </c>
      <c r="K23">
        <f>K20</f>
      </c>
      <c r="L23">
        <f>L20</f>
      </c>
      <c r="M23">
        <f>M20</f>
      </c>
      <c r="N23">
        <f>N20</f>
      </c>
      <c r="O23">
        <f>O20</f>
      </c>
    </row>
    <row r="25" spans="1:1" s="50" customFormat="1" x14ac:dyDescent="0.25">
      <c r="A25" s="50" t="s">
        <v>155</v>
      </c>
    </row>
    <row r="26" spans="1:1" x14ac:dyDescent="0.25">
      <c r="A26" t="s">
        <v>106</v>
      </c>
    </row>
    <row r="27" spans="1:1" x14ac:dyDescent="0.25">
      <c r="A27" t="s">
        <v>107</v>
      </c>
    </row>
    <row r="28" spans="1:1" x14ac:dyDescent="0.25">
      <c r="A28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FormatPr defaultRowHeight="15" outlineLevelRow="0" outlineLevelCol="0" x14ac:dyDescent="55"/>
  <cols>
    <col min="1" max="1" width="50" customWidth="1"/>
    <col min="2" max="15" width="12" customWidth="1"/>
  </cols>
  <sheetData>
    <row r="1" ht="20" customHeight="1" spans="1:15" s="45" customFormat="1" x14ac:dyDescent="0.25">
      <c r="A1" s="45" t="s">
        <v>0</v>
      </c>
      <c r="B1" s="45" t="s">
        <v>157</v>
      </c>
      <c r="C1" s="45" t="s">
        <v>158</v>
      </c>
      <c r="D1" s="45" t="s">
        <v>159</v>
      </c>
      <c r="E1" s="45" t="s">
        <v>160</v>
      </c>
      <c r="F1" s="45" t="s">
        <v>161</v>
      </c>
      <c r="G1" s="45" t="s">
        <v>162</v>
      </c>
      <c r="H1" s="45" t="s">
        <v>163</v>
      </c>
      <c r="I1" s="45" t="s">
        <v>164</v>
      </c>
      <c r="J1" s="45" t="s">
        <v>165</v>
      </c>
      <c r="K1" s="45" t="s">
        <v>166</v>
      </c>
      <c r="L1" s="45" t="s">
        <v>167</v>
      </c>
      <c r="M1" s="45" t="s">
        <v>168</v>
      </c>
      <c r="N1" s="45" t="s">
        <v>169</v>
      </c>
      <c r="O1" s="45" t="s">
        <v>170</v>
      </c>
    </row>
    <row r="2" spans="1:15" x14ac:dyDescent="0.25">
      <c r="A2" t="s">
        <v>34</v>
      </c>
      <c r="B2">
        <v>2</v>
      </c>
      <c r="C2">
        <v>2</v>
      </c>
      <c r="F2">
        <v>2</v>
      </c>
      <c r="G2">
        <v>2</v>
      </c>
      <c r="H2">
        <v>2</v>
      </c>
      <c r="I2">
        <v>2</v>
      </c>
      <c r="J2">
        <v>2</v>
      </c>
      <c r="M2">
        <v>2</v>
      </c>
      <c r="N2">
        <v>2</v>
      </c>
      <c r="O2">
        <v>2</v>
      </c>
    </row>
    <row r="3" spans="1:15" x14ac:dyDescent="0.25">
      <c r="A3" t="s">
        <v>35</v>
      </c>
      <c r="B3">
        <v>1</v>
      </c>
      <c r="C3">
        <v>1</v>
      </c>
      <c r="F3">
        <v>1</v>
      </c>
      <c r="G3">
        <v>1</v>
      </c>
      <c r="H3">
        <v>1</v>
      </c>
      <c r="I3">
        <v>1</v>
      </c>
      <c r="J3">
        <v>1</v>
      </c>
      <c r="M3">
        <v>1</v>
      </c>
      <c r="N3">
        <v>1</v>
      </c>
      <c r="O3">
        <v>1</v>
      </c>
    </row>
    <row r="4" spans="1:15" x14ac:dyDescent="0.25">
      <c r="A4" t="s">
        <v>45</v>
      </c>
      <c r="B4">
        <v>1</v>
      </c>
      <c r="C4">
        <v>1</v>
      </c>
      <c r="F4">
        <v>1</v>
      </c>
      <c r="G4">
        <v>1</v>
      </c>
      <c r="H4">
        <v>1</v>
      </c>
      <c r="I4">
        <v>1</v>
      </c>
      <c r="J4">
        <v>1</v>
      </c>
      <c r="M4">
        <v>1</v>
      </c>
      <c r="N4">
        <v>1</v>
      </c>
      <c r="O4">
        <v>1</v>
      </c>
    </row>
    <row r="5" spans="1:15" x14ac:dyDescent="0.25">
      <c r="A5" t="s">
        <v>47</v>
      </c>
      <c r="B5">
        <v>1</v>
      </c>
      <c r="C5">
        <v>1</v>
      </c>
      <c r="F5">
        <v>1</v>
      </c>
      <c r="G5">
        <v>1</v>
      </c>
      <c r="H5">
        <v>1</v>
      </c>
      <c r="I5">
        <v>1</v>
      </c>
      <c r="J5">
        <v>1</v>
      </c>
      <c r="M5">
        <v>1</v>
      </c>
      <c r="N5">
        <v>1</v>
      </c>
      <c r="O5">
        <v>1</v>
      </c>
    </row>
    <row r="6" spans="1:15" x14ac:dyDescent="0.25">
      <c r="A6" t="s">
        <v>48</v>
      </c>
      <c r="B6">
        <v>0.6</v>
      </c>
      <c r="C6">
        <v>0.6</v>
      </c>
      <c r="F6">
        <v>0.6</v>
      </c>
      <c r="G6">
        <v>0.6</v>
      </c>
      <c r="H6">
        <v>0.6</v>
      </c>
      <c r="I6">
        <v>0.6</v>
      </c>
      <c r="J6">
        <v>0.6</v>
      </c>
      <c r="M6">
        <v>0.6</v>
      </c>
      <c r="N6">
        <v>0.6</v>
      </c>
      <c r="O6">
        <v>0.6</v>
      </c>
    </row>
    <row r="7" spans="1:15" x14ac:dyDescent="0.25">
      <c r="A7" t="s">
        <v>49</v>
      </c>
      <c r="B7">
        <v>1.2</v>
      </c>
      <c r="C7">
        <v>1.2</v>
      </c>
      <c r="F7">
        <v>1.2</v>
      </c>
      <c r="G7">
        <v>1.2</v>
      </c>
      <c r="H7">
        <v>1.2</v>
      </c>
      <c r="I7">
        <v>1.2</v>
      </c>
      <c r="J7">
        <v>1.2</v>
      </c>
      <c r="M7">
        <v>1.2</v>
      </c>
      <c r="N7">
        <v>1.2</v>
      </c>
      <c r="O7">
        <v>1.2</v>
      </c>
    </row>
    <row r="8" spans="1:15" x14ac:dyDescent="0.25">
      <c r="A8" t="s">
        <v>50</v>
      </c>
      <c r="B8">
        <v>1</v>
      </c>
      <c r="C8">
        <v>1</v>
      </c>
      <c r="F8">
        <v>1</v>
      </c>
      <c r="G8">
        <v>1</v>
      </c>
      <c r="H8">
        <v>1</v>
      </c>
      <c r="I8">
        <v>1</v>
      </c>
      <c r="J8">
        <v>1</v>
      </c>
      <c r="M8">
        <v>1</v>
      </c>
      <c r="N8">
        <v>1</v>
      </c>
      <c r="O8">
        <v>1</v>
      </c>
    </row>
    <row r="9" spans="1:15" x14ac:dyDescent="0.25">
      <c r="A9" t="s">
        <v>51</v>
      </c>
      <c r="B9">
        <v>0.5</v>
      </c>
      <c r="C9">
        <v>0.5</v>
      </c>
      <c r="F9">
        <v>0.5</v>
      </c>
      <c r="G9">
        <v>0.5</v>
      </c>
      <c r="H9">
        <v>0.5</v>
      </c>
      <c r="I9">
        <v>0.5</v>
      </c>
      <c r="J9">
        <v>0.5</v>
      </c>
      <c r="M9">
        <v>0.5</v>
      </c>
      <c r="N9">
        <v>0.5</v>
      </c>
      <c r="O9">
        <v>0.5</v>
      </c>
    </row>
    <row r="10" spans="1:15" x14ac:dyDescent="0.25">
      <c r="A10" t="s">
        <v>52</v>
      </c>
      <c r="B10">
        <v>1</v>
      </c>
      <c r="C10">
        <v>1</v>
      </c>
      <c r="F10">
        <v>1</v>
      </c>
      <c r="G10">
        <v>1</v>
      </c>
      <c r="H10">
        <v>1</v>
      </c>
      <c r="I10">
        <v>1</v>
      </c>
      <c r="J10">
        <v>1</v>
      </c>
      <c r="M10">
        <v>1</v>
      </c>
      <c r="N10">
        <v>1</v>
      </c>
      <c r="O10">
        <v>1</v>
      </c>
    </row>
    <row r="11" spans="1:15" x14ac:dyDescent="0.25">
      <c r="A11" t="s">
        <v>53</v>
      </c>
      <c r="B11">
        <v>2</v>
      </c>
      <c r="C11">
        <v>2</v>
      </c>
      <c r="F11">
        <v>2</v>
      </c>
      <c r="G11">
        <v>2</v>
      </c>
      <c r="H11">
        <v>2</v>
      </c>
      <c r="I11">
        <v>2</v>
      </c>
      <c r="J11">
        <v>2</v>
      </c>
      <c r="M11">
        <v>2</v>
      </c>
      <c r="N11">
        <v>2</v>
      </c>
      <c r="O11">
        <v>2</v>
      </c>
    </row>
    <row r="12" spans="1:15" x14ac:dyDescent="0.25">
      <c r="A12" t="s">
        <v>55</v>
      </c>
      <c r="B12">
        <v>1</v>
      </c>
      <c r="C12">
        <v>1</v>
      </c>
      <c r="F12">
        <v>1</v>
      </c>
      <c r="G12">
        <v>1</v>
      </c>
      <c r="H12">
        <v>1</v>
      </c>
      <c r="I12">
        <v>1</v>
      </c>
      <c r="J12">
        <v>1</v>
      </c>
      <c r="M12">
        <v>1</v>
      </c>
      <c r="N12">
        <v>1</v>
      </c>
      <c r="O12">
        <v>1</v>
      </c>
    </row>
    <row r="13" spans="1:15" x14ac:dyDescent="0.25">
      <c r="A13" t="s">
        <v>58</v>
      </c>
      <c r="B13">
        <v>1</v>
      </c>
      <c r="C13">
        <v>1</v>
      </c>
      <c r="F13">
        <v>1</v>
      </c>
      <c r="G13">
        <v>1</v>
      </c>
      <c r="H13">
        <v>1</v>
      </c>
      <c r="I13">
        <v>1</v>
      </c>
      <c r="J13">
        <v>1</v>
      </c>
      <c r="M13">
        <v>1</v>
      </c>
      <c r="N13">
        <v>1</v>
      </c>
      <c r="O13">
        <v>1</v>
      </c>
    </row>
    <row r="14" spans="1:15" x14ac:dyDescent="0.25">
      <c r="A14" t="s">
        <v>60</v>
      </c>
      <c r="B14">
        <v>1</v>
      </c>
      <c r="C14">
        <v>1</v>
      </c>
      <c r="F14">
        <v>1</v>
      </c>
      <c r="G14">
        <v>1</v>
      </c>
      <c r="H14">
        <v>1</v>
      </c>
      <c r="I14">
        <v>1</v>
      </c>
      <c r="J14">
        <v>1</v>
      </c>
      <c r="M14">
        <v>1</v>
      </c>
      <c r="N14">
        <v>1</v>
      </c>
      <c r="O14">
        <v>1</v>
      </c>
    </row>
    <row r="15" spans="1:15" x14ac:dyDescent="0.25">
      <c r="A15" t="s">
        <v>61</v>
      </c>
      <c r="B15">
        <v>1</v>
      </c>
      <c r="C15">
        <v>1</v>
      </c>
      <c r="F15">
        <v>1</v>
      </c>
      <c r="G15">
        <v>1</v>
      </c>
      <c r="H15">
        <v>1</v>
      </c>
      <c r="I15">
        <v>1</v>
      </c>
      <c r="J15">
        <v>1</v>
      </c>
      <c r="M15">
        <v>1</v>
      </c>
      <c r="N15">
        <v>1</v>
      </c>
      <c r="O15">
        <v>1</v>
      </c>
    </row>
    <row r="16" spans="1:15" x14ac:dyDescent="0.25">
      <c r="A16" t="s">
        <v>64</v>
      </c>
      <c r="B16">
        <v>1</v>
      </c>
      <c r="C16">
        <v>1</v>
      </c>
      <c r="F16">
        <v>1</v>
      </c>
      <c r="G16">
        <v>1</v>
      </c>
      <c r="H16">
        <v>1</v>
      </c>
      <c r="I16">
        <v>1</v>
      </c>
      <c r="J16">
        <v>1</v>
      </c>
      <c r="M16">
        <v>1</v>
      </c>
      <c r="N16">
        <v>1</v>
      </c>
      <c r="O16">
        <v>1</v>
      </c>
    </row>
    <row r="17" spans="1:15" x14ac:dyDescent="0.25">
      <c r="A17" t="s">
        <v>65</v>
      </c>
      <c r="B17">
        <v>1</v>
      </c>
      <c r="C17">
        <v>1</v>
      </c>
      <c r="F17">
        <v>1</v>
      </c>
      <c r="G17">
        <v>1</v>
      </c>
      <c r="H17">
        <v>1</v>
      </c>
      <c r="I17">
        <v>1</v>
      </c>
      <c r="J17">
        <v>1</v>
      </c>
      <c r="M17">
        <v>1</v>
      </c>
      <c r="N17">
        <v>1</v>
      </c>
      <c r="O17">
        <v>1</v>
      </c>
    </row>
    <row r="18" spans="1:15" s="46" customFormat="1" x14ac:dyDescent="0.25">
      <c r="A18" s="46" t="s">
        <v>101</v>
      </c>
      <c r="B18" s="46">
        <v>17.3</v>
      </c>
      <c r="C18" s="46">
        <v>17.3</v>
      </c>
      <c r="D18" s="46"/>
      <c r="E18" s="46"/>
      <c r="F18" s="46">
        <v>17.3</v>
      </c>
      <c r="G18" s="46">
        <v>17.3</v>
      </c>
      <c r="H18" s="46">
        <v>17.3</v>
      </c>
      <c r="I18" s="46">
        <v>17.3</v>
      </c>
      <c r="J18" s="46">
        <v>17.3</v>
      </c>
      <c r="K18" s="46"/>
      <c r="L18" s="46"/>
      <c r="M18" s="46">
        <v>17.3</v>
      </c>
      <c r="N18" s="46">
        <v>17.3</v>
      </c>
      <c r="O18" s="46">
        <v>17.3</v>
      </c>
    </row>
    <row r="19" spans="1:1" s="47" customFormat="1" x14ac:dyDescent="0.25">
      <c r="A19" s="47" t="s">
        <v>69</v>
      </c>
    </row>
    <row r="21" spans="1:15" s="48" customFormat="1" x14ac:dyDescent="0.25">
      <c r="A21" s="48" t="s">
        <v>102</v>
      </c>
      <c r="B21" s="48">
        <f>SUM($B$18:B$18)-SUM($B$19:B$19)</f>
      </c>
      <c r="C21" s="48">
        <f>SUM($B$18:C$18)-SUM($B$19:C$19)</f>
      </c>
      <c r="D21" s="48">
        <f>SUM($B$18:D$18)-SUM($B$19:D$19)</f>
      </c>
      <c r="E21" s="48">
        <f>SUM($B$18:E$18)-SUM($B$19:E$19)</f>
      </c>
      <c r="F21" s="48">
        <f>SUM($B$18:F$18)-SUM($B$19:F$19)</f>
      </c>
      <c r="G21" s="48">
        <f>SUM($B$18:G$18)-SUM($B$19:G$19)</f>
      </c>
      <c r="H21" s="48">
        <f>SUM($B$18:H$18)-SUM($B$19:H$19)</f>
      </c>
      <c r="I21" s="48">
        <f>SUM($B$18:I$18)-SUM($B$19:I$19)</f>
      </c>
      <c r="J21" s="48">
        <f>SUM($B$18:J$18)-SUM($B$19:J$19)</f>
      </c>
      <c r="K21" s="48">
        <f>SUM($B$18:K$18)-SUM($B$19:K$19)</f>
      </c>
      <c r="L21" s="48">
        <f>SUM($B$18:L$18)-SUM($B$19:L$19)</f>
      </c>
      <c r="M21" s="48">
        <f>SUM($B$18:M$18)-SUM($B$19:M$19)</f>
      </c>
      <c r="N21" s="48">
        <f>SUM($B$18:N$18)-SUM($B$19:N$19)</f>
      </c>
      <c r="O21" s="48">
        <f>SUM($B$18:O$18)-SUM($B$19:O$19)</f>
      </c>
    </row>
    <row r="23" spans="1:15" s="49" customFormat="1" x14ac:dyDescent="0.25">
      <c r="A23" s="49" t="s">
        <v>103</v>
      </c>
      <c r="B23" s="49">
        <v>1</v>
      </c>
      <c r="C23" s="49">
        <v>2</v>
      </c>
      <c r="D23" s="49">
        <v>3</v>
      </c>
      <c r="E23" s="49">
        <v>4</v>
      </c>
      <c r="F23" s="49">
        <v>5</v>
      </c>
      <c r="G23" s="49">
        <v>6</v>
      </c>
      <c r="H23" s="49">
        <v>7</v>
      </c>
      <c r="I23" s="49">
        <v>8</v>
      </c>
      <c r="J23" s="49">
        <v>9</v>
      </c>
      <c r="K23" s="49">
        <v>10</v>
      </c>
      <c r="L23" s="49">
        <v>11</v>
      </c>
      <c r="M23" s="49">
        <v>12</v>
      </c>
      <c r="N23" s="49">
        <v>13</v>
      </c>
      <c r="O23" s="49">
        <v>14</v>
      </c>
    </row>
    <row r="24" spans="1:15" x14ac:dyDescent="0.25">
      <c r="A24" t="s">
        <v>104</v>
      </c>
      <c r="B24">
        <f>B21</f>
      </c>
      <c r="C24">
        <f>C21</f>
      </c>
      <c r="D24">
        <f>D21</f>
      </c>
      <c r="E24">
        <f>E21</f>
      </c>
      <c r="F24">
        <f>F21</f>
      </c>
      <c r="G24">
        <f>G21</f>
      </c>
      <c r="H24">
        <f>H21</f>
      </c>
      <c r="I24">
        <f>I21</f>
      </c>
      <c r="J24">
        <f>J21</f>
      </c>
      <c r="K24">
        <f>K21</f>
      </c>
      <c r="L24">
        <f>L21</f>
      </c>
      <c r="M24">
        <f>M21</f>
      </c>
      <c r="N24">
        <f>N21</f>
      </c>
      <c r="O24">
        <f>O21</f>
      </c>
    </row>
    <row r="26" spans="1:1" s="50" customFormat="1" x14ac:dyDescent="0.25">
      <c r="A26" s="50" t="s">
        <v>171</v>
      </c>
    </row>
    <row r="27" spans="1:1" x14ac:dyDescent="0.25">
      <c r="A27" t="s">
        <v>106</v>
      </c>
    </row>
    <row r="28" spans="1:1" x14ac:dyDescent="0.25">
      <c r="A28" t="s">
        <v>107</v>
      </c>
    </row>
    <row r="29" spans="1:1" x14ac:dyDescent="0.25">
      <c r="A29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FormatPr defaultRowHeight="15" outlineLevelRow="0" outlineLevelCol="0" x14ac:dyDescent="55"/>
  <cols>
    <col min="1" max="1" width="50" customWidth="1"/>
    <col min="2" max="15" width="12" customWidth="1"/>
  </cols>
  <sheetData>
    <row r="1" ht="20" customHeight="1" spans="1:15" s="45" customFormat="1" x14ac:dyDescent="0.25">
      <c r="A1" s="45" t="s">
        <v>0</v>
      </c>
      <c r="B1" s="45" t="s">
        <v>173</v>
      </c>
      <c r="C1" s="45" t="s">
        <v>174</v>
      </c>
      <c r="D1" s="45" t="s">
        <v>175</v>
      </c>
      <c r="E1" s="45" t="s">
        <v>176</v>
      </c>
      <c r="F1" s="45" t="s">
        <v>177</v>
      </c>
      <c r="G1" s="45" t="s">
        <v>178</v>
      </c>
      <c r="H1" s="45" t="s">
        <v>179</v>
      </c>
      <c r="I1" s="45" t="s">
        <v>180</v>
      </c>
      <c r="J1" s="45" t="s">
        <v>181</v>
      </c>
      <c r="K1" s="45" t="s">
        <v>182</v>
      </c>
      <c r="L1" s="45" t="s">
        <v>183</v>
      </c>
      <c r="M1" s="45" t="s">
        <v>184</v>
      </c>
      <c r="N1" s="45" t="s">
        <v>185</v>
      </c>
      <c r="O1" s="45" t="s">
        <v>186</v>
      </c>
    </row>
    <row r="2" spans="1:15" x14ac:dyDescent="0.25">
      <c r="A2" t="s">
        <v>35</v>
      </c>
      <c r="B2">
        <v>1</v>
      </c>
      <c r="C2">
        <v>1</v>
      </c>
      <c r="F2">
        <v>1</v>
      </c>
      <c r="G2">
        <v>1</v>
      </c>
      <c r="H2">
        <v>1</v>
      </c>
      <c r="I2">
        <v>1</v>
      </c>
      <c r="J2">
        <v>1</v>
      </c>
      <c r="M2">
        <v>1</v>
      </c>
      <c r="N2">
        <v>1</v>
      </c>
      <c r="O2">
        <v>1</v>
      </c>
    </row>
    <row r="3" spans="1:15" x14ac:dyDescent="0.25">
      <c r="A3" t="s">
        <v>36</v>
      </c>
      <c r="B3">
        <v>2</v>
      </c>
      <c r="C3">
        <v>2</v>
      </c>
      <c r="F3">
        <v>2</v>
      </c>
      <c r="G3">
        <v>2</v>
      </c>
      <c r="H3">
        <v>2</v>
      </c>
      <c r="I3">
        <v>2</v>
      </c>
      <c r="J3">
        <v>2</v>
      </c>
      <c r="M3">
        <v>2</v>
      </c>
      <c r="N3">
        <v>2</v>
      </c>
      <c r="O3">
        <v>2</v>
      </c>
    </row>
    <row r="4" spans="1:15" x14ac:dyDescent="0.25">
      <c r="A4" t="s">
        <v>45</v>
      </c>
      <c r="B4">
        <v>2</v>
      </c>
      <c r="C4">
        <v>2</v>
      </c>
      <c r="F4">
        <v>2</v>
      </c>
      <c r="G4">
        <v>2</v>
      </c>
      <c r="H4">
        <v>2</v>
      </c>
      <c r="I4">
        <v>2</v>
      </c>
      <c r="J4">
        <v>2</v>
      </c>
      <c r="M4">
        <v>2</v>
      </c>
      <c r="N4">
        <v>2</v>
      </c>
      <c r="O4">
        <v>2</v>
      </c>
    </row>
    <row r="5" spans="1:15" x14ac:dyDescent="0.25">
      <c r="A5" t="s">
        <v>52</v>
      </c>
      <c r="B5">
        <v>1</v>
      </c>
      <c r="C5">
        <v>1</v>
      </c>
      <c r="F5">
        <v>1</v>
      </c>
      <c r="G5">
        <v>1</v>
      </c>
      <c r="H5">
        <v>1</v>
      </c>
      <c r="I5">
        <v>1</v>
      </c>
      <c r="J5">
        <v>1</v>
      </c>
      <c r="M5">
        <v>1</v>
      </c>
      <c r="N5">
        <v>1</v>
      </c>
      <c r="O5">
        <v>1</v>
      </c>
    </row>
    <row r="6" spans="1:15" x14ac:dyDescent="0.25">
      <c r="A6" t="s">
        <v>53</v>
      </c>
      <c r="B6">
        <v>2</v>
      </c>
      <c r="C6">
        <v>2</v>
      </c>
      <c r="F6">
        <v>2</v>
      </c>
      <c r="G6">
        <v>2</v>
      </c>
      <c r="H6">
        <v>2</v>
      </c>
      <c r="I6">
        <v>2</v>
      </c>
      <c r="J6">
        <v>2</v>
      </c>
      <c r="M6">
        <v>2</v>
      </c>
      <c r="N6">
        <v>2</v>
      </c>
      <c r="O6">
        <v>2</v>
      </c>
    </row>
    <row r="7" spans="1:15" x14ac:dyDescent="0.25">
      <c r="A7" t="s">
        <v>54</v>
      </c>
      <c r="B7">
        <v>2</v>
      </c>
      <c r="C7">
        <v>2</v>
      </c>
      <c r="F7">
        <v>2</v>
      </c>
      <c r="G7">
        <v>2</v>
      </c>
      <c r="H7">
        <v>2</v>
      </c>
      <c r="I7">
        <v>2</v>
      </c>
      <c r="J7">
        <v>2</v>
      </c>
      <c r="M7">
        <v>2</v>
      </c>
      <c r="N7">
        <v>2</v>
      </c>
      <c r="O7">
        <v>2</v>
      </c>
    </row>
    <row r="8" spans="1:15" x14ac:dyDescent="0.25">
      <c r="A8" t="s">
        <v>55</v>
      </c>
      <c r="B8">
        <v>2</v>
      </c>
      <c r="C8">
        <v>2</v>
      </c>
      <c r="F8">
        <v>2</v>
      </c>
      <c r="G8">
        <v>2</v>
      </c>
      <c r="H8">
        <v>2</v>
      </c>
      <c r="I8">
        <v>2</v>
      </c>
      <c r="J8">
        <v>2</v>
      </c>
      <c r="M8">
        <v>2</v>
      </c>
      <c r="N8">
        <v>2</v>
      </c>
      <c r="O8">
        <v>2</v>
      </c>
    </row>
    <row r="9" spans="1:15" x14ac:dyDescent="0.25">
      <c r="A9" t="s">
        <v>57</v>
      </c>
      <c r="B9">
        <v>2</v>
      </c>
      <c r="C9">
        <v>2</v>
      </c>
      <c r="F9">
        <v>2</v>
      </c>
      <c r="G9">
        <v>2</v>
      </c>
      <c r="H9">
        <v>2</v>
      </c>
      <c r="I9">
        <v>2</v>
      </c>
      <c r="J9">
        <v>2</v>
      </c>
      <c r="M9">
        <v>2</v>
      </c>
      <c r="N9">
        <v>2</v>
      </c>
      <c r="O9">
        <v>2</v>
      </c>
    </row>
    <row r="10" spans="1:15" x14ac:dyDescent="0.25">
      <c r="A10" t="s">
        <v>58</v>
      </c>
      <c r="B10">
        <v>2</v>
      </c>
      <c r="C10">
        <v>2</v>
      </c>
      <c r="F10">
        <v>2</v>
      </c>
      <c r="G10">
        <v>2</v>
      </c>
      <c r="H10">
        <v>2</v>
      </c>
      <c r="I10">
        <v>2</v>
      </c>
      <c r="J10">
        <v>2</v>
      </c>
      <c r="M10">
        <v>2</v>
      </c>
      <c r="N10">
        <v>2</v>
      </c>
      <c r="O10">
        <v>2</v>
      </c>
    </row>
    <row r="11" spans="1:15" x14ac:dyDescent="0.25">
      <c r="A11" t="s">
        <v>59</v>
      </c>
      <c r="B11">
        <v>2</v>
      </c>
      <c r="C11">
        <v>2</v>
      </c>
      <c r="F11">
        <v>2</v>
      </c>
      <c r="G11">
        <v>2</v>
      </c>
      <c r="H11">
        <v>2</v>
      </c>
      <c r="I11">
        <v>2</v>
      </c>
      <c r="J11">
        <v>2</v>
      </c>
      <c r="M11">
        <v>2</v>
      </c>
      <c r="N11">
        <v>2</v>
      </c>
      <c r="O11">
        <v>2</v>
      </c>
    </row>
    <row r="12" spans="1:15" x14ac:dyDescent="0.25">
      <c r="A12" t="s">
        <v>60</v>
      </c>
      <c r="B12">
        <v>2</v>
      </c>
      <c r="C12">
        <v>2</v>
      </c>
      <c r="F12">
        <v>2</v>
      </c>
      <c r="G12">
        <v>2</v>
      </c>
      <c r="H12">
        <v>2</v>
      </c>
      <c r="I12">
        <v>2</v>
      </c>
      <c r="J12">
        <v>2</v>
      </c>
      <c r="M12">
        <v>2</v>
      </c>
      <c r="N12">
        <v>2</v>
      </c>
      <c r="O12">
        <v>2</v>
      </c>
    </row>
    <row r="13" spans="1:15" x14ac:dyDescent="0.25">
      <c r="A13" t="s">
        <v>61</v>
      </c>
      <c r="B13">
        <v>2</v>
      </c>
      <c r="C13">
        <v>2</v>
      </c>
      <c r="F13">
        <v>2</v>
      </c>
      <c r="G13">
        <v>2</v>
      </c>
      <c r="H13">
        <v>2</v>
      </c>
      <c r="I13">
        <v>2</v>
      </c>
      <c r="J13">
        <v>2</v>
      </c>
      <c r="M13">
        <v>2</v>
      </c>
      <c r="N13">
        <v>2</v>
      </c>
      <c r="O13">
        <v>2</v>
      </c>
    </row>
    <row r="14" spans="1:15" x14ac:dyDescent="0.25">
      <c r="A14" t="s">
        <v>62</v>
      </c>
      <c r="B14">
        <v>2.5</v>
      </c>
      <c r="C14">
        <v>2.5</v>
      </c>
      <c r="F14">
        <v>2.5</v>
      </c>
      <c r="G14">
        <v>2.5</v>
      </c>
      <c r="H14">
        <v>2.5</v>
      </c>
      <c r="I14">
        <v>2.5</v>
      </c>
      <c r="J14">
        <v>2.5</v>
      </c>
      <c r="M14">
        <v>2.5</v>
      </c>
      <c r="N14">
        <v>2.5</v>
      </c>
      <c r="O14">
        <v>2.5</v>
      </c>
    </row>
    <row r="15" spans="1:15" x14ac:dyDescent="0.25">
      <c r="A15" t="s">
        <v>64</v>
      </c>
      <c r="B15">
        <v>2</v>
      </c>
      <c r="C15">
        <v>2</v>
      </c>
      <c r="F15">
        <v>2</v>
      </c>
      <c r="G15">
        <v>2</v>
      </c>
      <c r="H15">
        <v>2</v>
      </c>
      <c r="I15">
        <v>2</v>
      </c>
      <c r="J15">
        <v>2</v>
      </c>
      <c r="M15">
        <v>2</v>
      </c>
      <c r="N15">
        <v>2</v>
      </c>
      <c r="O15">
        <v>2</v>
      </c>
    </row>
    <row r="16" spans="1:15" x14ac:dyDescent="0.25">
      <c r="A16" t="s">
        <v>65</v>
      </c>
      <c r="B16">
        <v>2</v>
      </c>
      <c r="C16">
        <v>2</v>
      </c>
      <c r="F16">
        <v>2</v>
      </c>
      <c r="G16">
        <v>2</v>
      </c>
      <c r="H16">
        <v>2</v>
      </c>
      <c r="I16">
        <v>2</v>
      </c>
      <c r="J16">
        <v>2</v>
      </c>
      <c r="M16">
        <v>2</v>
      </c>
      <c r="N16">
        <v>2</v>
      </c>
      <c r="O16">
        <v>2</v>
      </c>
    </row>
    <row r="17" spans="1:15" s="46" customFormat="1" x14ac:dyDescent="0.25">
      <c r="A17" s="46" t="s">
        <v>101</v>
      </c>
      <c r="B17" s="46">
        <v>28.5</v>
      </c>
      <c r="C17" s="46">
        <v>28.5</v>
      </c>
      <c r="D17" s="46"/>
      <c r="E17" s="46"/>
      <c r="F17" s="46">
        <v>28.5</v>
      </c>
      <c r="G17" s="46">
        <v>28.5</v>
      </c>
      <c r="H17" s="46">
        <v>28.5</v>
      </c>
      <c r="I17" s="46">
        <v>28.5</v>
      </c>
      <c r="J17" s="46">
        <v>28.5</v>
      </c>
      <c r="K17" s="46"/>
      <c r="L17" s="46"/>
      <c r="M17" s="46">
        <v>28.5</v>
      </c>
      <c r="N17" s="46">
        <v>28.5</v>
      </c>
      <c r="O17" s="46">
        <v>28.5</v>
      </c>
    </row>
    <row r="18" spans="1:1" s="47" customFormat="1" x14ac:dyDescent="0.25">
      <c r="A18" s="47" t="s">
        <v>69</v>
      </c>
    </row>
    <row r="20" spans="1:15" s="48" customFormat="1" x14ac:dyDescent="0.25">
      <c r="A20" s="48" t="s">
        <v>102</v>
      </c>
      <c r="B20" s="48">
        <f>SUM($B$17:B$17)-SUM($B$18:B$18)</f>
      </c>
      <c r="C20" s="48">
        <f>SUM($B$17:C$17)-SUM($B$18:C$18)</f>
      </c>
      <c r="D20" s="48">
        <f>SUM($B$17:D$17)-SUM($B$18:D$18)</f>
      </c>
      <c r="E20" s="48">
        <f>SUM($B$17:E$17)-SUM($B$18:E$18)</f>
      </c>
      <c r="F20" s="48">
        <f>SUM($B$17:F$17)-SUM($B$18:F$18)</f>
      </c>
      <c r="G20" s="48">
        <f>SUM($B$17:G$17)-SUM($B$18:G$18)</f>
      </c>
      <c r="H20" s="48">
        <f>SUM($B$17:H$17)-SUM($B$18:H$18)</f>
      </c>
      <c r="I20" s="48">
        <f>SUM($B$17:I$17)-SUM($B$18:I$18)</f>
      </c>
      <c r="J20" s="48">
        <f>SUM($B$17:J$17)-SUM($B$18:J$18)</f>
      </c>
      <c r="K20" s="48">
        <f>SUM($B$17:K$17)-SUM($B$18:K$18)</f>
      </c>
      <c r="L20" s="48">
        <f>SUM($B$17:L$17)-SUM($B$18:L$18)</f>
      </c>
      <c r="M20" s="48">
        <f>SUM($B$17:M$17)-SUM($B$18:M$18)</f>
      </c>
      <c r="N20" s="48">
        <f>SUM($B$17:N$17)-SUM($B$18:N$18)</f>
      </c>
      <c r="O20" s="48">
        <f>SUM($B$17:O$17)-SUM($B$18:O$18)</f>
      </c>
    </row>
    <row r="22" spans="1:15" s="49" customFormat="1" x14ac:dyDescent="0.25">
      <c r="A22" s="49" t="s">
        <v>103</v>
      </c>
      <c r="B22" s="49">
        <v>1</v>
      </c>
      <c r="C22" s="49">
        <v>2</v>
      </c>
      <c r="D22" s="49">
        <v>3</v>
      </c>
      <c r="E22" s="49">
        <v>4</v>
      </c>
      <c r="F22" s="49">
        <v>5</v>
      </c>
      <c r="G22" s="49">
        <v>6</v>
      </c>
      <c r="H22" s="49">
        <v>7</v>
      </c>
      <c r="I22" s="49">
        <v>8</v>
      </c>
      <c r="J22" s="49">
        <v>9</v>
      </c>
      <c r="K22" s="49">
        <v>10</v>
      </c>
      <c r="L22" s="49">
        <v>11</v>
      </c>
      <c r="M22" s="49">
        <v>12</v>
      </c>
      <c r="N22" s="49">
        <v>13</v>
      </c>
      <c r="O22" s="49">
        <v>14</v>
      </c>
    </row>
    <row r="23" spans="1:15" x14ac:dyDescent="0.25">
      <c r="A23" t="s">
        <v>104</v>
      </c>
      <c r="B23">
        <f>B20</f>
      </c>
      <c r="C23">
        <f>C20</f>
      </c>
      <c r="D23">
        <f>D20</f>
      </c>
      <c r="E23">
        <f>E20</f>
      </c>
      <c r="F23">
        <f>F20</f>
      </c>
      <c r="G23">
        <f>G20</f>
      </c>
      <c r="H23">
        <f>H20</f>
      </c>
      <c r="I23">
        <f>I20</f>
      </c>
      <c r="J23">
        <f>J20</f>
      </c>
      <c r="K23">
        <f>K20</f>
      </c>
      <c r="L23">
        <f>L20</f>
      </c>
      <c r="M23">
        <f>M20</f>
      </c>
      <c r="N23">
        <f>N20</f>
      </c>
      <c r="O23">
        <f>O20</f>
      </c>
    </row>
    <row r="25" spans="1:1" s="50" customFormat="1" x14ac:dyDescent="0.25">
      <c r="A25" s="50" t="s">
        <v>187</v>
      </c>
    </row>
    <row r="26" spans="1:1" x14ac:dyDescent="0.25">
      <c r="A26" t="s">
        <v>106</v>
      </c>
    </row>
    <row r="27" spans="1:1" x14ac:dyDescent="0.25">
      <c r="A27" t="s">
        <v>107</v>
      </c>
    </row>
    <row r="28" spans="1:1" x14ac:dyDescent="0.25">
      <c r="A28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FormatPr defaultRowHeight="15" outlineLevelRow="0" outlineLevelCol="0" x14ac:dyDescent="55"/>
  <cols>
    <col min="1" max="1" width="50" customWidth="1"/>
    <col min="2" max="15" width="12" customWidth="1"/>
  </cols>
  <sheetData>
    <row r="1" ht="20" customHeight="1" spans="1:15" s="45" customFormat="1" x14ac:dyDescent="0.25">
      <c r="A1" s="45" t="s">
        <v>0</v>
      </c>
      <c r="B1" s="45" t="s">
        <v>189</v>
      </c>
      <c r="C1" s="45" t="s">
        <v>190</v>
      </c>
      <c r="D1" s="45" t="s">
        <v>191</v>
      </c>
      <c r="E1" s="45" t="s">
        <v>192</v>
      </c>
      <c r="F1" s="45" t="s">
        <v>193</v>
      </c>
      <c r="G1" s="45" t="s">
        <v>194</v>
      </c>
      <c r="H1" s="45" t="s">
        <v>195</v>
      </c>
      <c r="I1" s="45" t="s">
        <v>196</v>
      </c>
      <c r="J1" s="45" t="s">
        <v>197</v>
      </c>
      <c r="K1" s="45" t="s">
        <v>198</v>
      </c>
      <c r="L1" s="45" t="s">
        <v>199</v>
      </c>
      <c r="M1" s="45" t="s">
        <v>200</v>
      </c>
      <c r="N1" s="45" t="s">
        <v>201</v>
      </c>
      <c r="O1" s="45" t="s">
        <v>202</v>
      </c>
    </row>
    <row r="2" spans="1:15" x14ac:dyDescent="0.25">
      <c r="A2" t="s">
        <v>45</v>
      </c>
      <c r="B2">
        <v>1</v>
      </c>
      <c r="C2">
        <v>1</v>
      </c>
      <c r="F2">
        <v>1</v>
      </c>
      <c r="G2">
        <v>1</v>
      </c>
      <c r="H2">
        <v>1</v>
      </c>
      <c r="I2">
        <v>1</v>
      </c>
      <c r="J2">
        <v>1</v>
      </c>
      <c r="M2">
        <v>1</v>
      </c>
      <c r="N2">
        <v>1</v>
      </c>
      <c r="O2">
        <v>1</v>
      </c>
    </row>
    <row r="3" spans="1:15" x14ac:dyDescent="0.25">
      <c r="A3" t="s">
        <v>53</v>
      </c>
      <c r="B3">
        <v>2</v>
      </c>
      <c r="C3">
        <v>2</v>
      </c>
      <c r="F3">
        <v>2</v>
      </c>
      <c r="G3">
        <v>2</v>
      </c>
      <c r="H3">
        <v>2</v>
      </c>
      <c r="I3">
        <v>2</v>
      </c>
      <c r="J3">
        <v>2</v>
      </c>
      <c r="M3">
        <v>2</v>
      </c>
      <c r="N3">
        <v>2</v>
      </c>
      <c r="O3">
        <v>2</v>
      </c>
    </row>
    <row r="4" spans="1:15" x14ac:dyDescent="0.25">
      <c r="A4" t="s">
        <v>54</v>
      </c>
      <c r="B4">
        <v>1.2</v>
      </c>
      <c r="C4">
        <v>1.2</v>
      </c>
      <c r="F4">
        <v>1.2</v>
      </c>
      <c r="G4">
        <v>1.2</v>
      </c>
      <c r="H4">
        <v>1.2</v>
      </c>
      <c r="I4">
        <v>1.2</v>
      </c>
      <c r="J4">
        <v>1.2</v>
      </c>
      <c r="M4">
        <v>1.2</v>
      </c>
      <c r="N4">
        <v>1.2</v>
      </c>
      <c r="O4">
        <v>1.2</v>
      </c>
    </row>
    <row r="5" spans="1:15" x14ac:dyDescent="0.25">
      <c r="A5" t="s">
        <v>55</v>
      </c>
      <c r="B5">
        <v>1</v>
      </c>
      <c r="C5">
        <v>1</v>
      </c>
      <c r="F5">
        <v>1</v>
      </c>
      <c r="G5">
        <v>1</v>
      </c>
      <c r="H5">
        <v>1</v>
      </c>
      <c r="I5">
        <v>1</v>
      </c>
      <c r="J5">
        <v>1</v>
      </c>
      <c r="M5">
        <v>1</v>
      </c>
      <c r="N5">
        <v>1</v>
      </c>
      <c r="O5">
        <v>1</v>
      </c>
    </row>
    <row r="6" spans="1:15" x14ac:dyDescent="0.25">
      <c r="A6" t="s">
        <v>57</v>
      </c>
      <c r="B6">
        <v>2</v>
      </c>
      <c r="C6">
        <v>2</v>
      </c>
      <c r="F6">
        <v>2</v>
      </c>
      <c r="G6">
        <v>2</v>
      </c>
      <c r="H6">
        <v>2</v>
      </c>
      <c r="I6">
        <v>2</v>
      </c>
      <c r="J6">
        <v>2</v>
      </c>
      <c r="M6">
        <v>2</v>
      </c>
      <c r="N6">
        <v>2</v>
      </c>
      <c r="O6">
        <v>2</v>
      </c>
    </row>
    <row r="7" spans="1:15" x14ac:dyDescent="0.25">
      <c r="A7" t="s">
        <v>58</v>
      </c>
      <c r="B7">
        <v>2</v>
      </c>
      <c r="C7">
        <v>2</v>
      </c>
      <c r="F7">
        <v>2</v>
      </c>
      <c r="G7">
        <v>2</v>
      </c>
      <c r="H7">
        <v>2</v>
      </c>
      <c r="I7">
        <v>2</v>
      </c>
      <c r="J7">
        <v>2</v>
      </c>
      <c r="M7">
        <v>2</v>
      </c>
      <c r="N7">
        <v>2</v>
      </c>
      <c r="O7">
        <v>2</v>
      </c>
    </row>
    <row r="8" spans="1:15" x14ac:dyDescent="0.25">
      <c r="A8" t="s">
        <v>59</v>
      </c>
      <c r="B8">
        <v>2</v>
      </c>
      <c r="C8">
        <v>2</v>
      </c>
      <c r="F8">
        <v>2</v>
      </c>
      <c r="G8">
        <v>2</v>
      </c>
      <c r="H8">
        <v>2</v>
      </c>
      <c r="I8">
        <v>2</v>
      </c>
      <c r="J8">
        <v>2</v>
      </c>
      <c r="M8">
        <v>2</v>
      </c>
      <c r="N8">
        <v>2</v>
      </c>
      <c r="O8">
        <v>2</v>
      </c>
    </row>
    <row r="9" spans="1:15" x14ac:dyDescent="0.25">
      <c r="A9" t="s">
        <v>60</v>
      </c>
      <c r="B9">
        <v>2</v>
      </c>
      <c r="C9">
        <v>2</v>
      </c>
      <c r="F9">
        <v>2</v>
      </c>
      <c r="G9">
        <v>2</v>
      </c>
      <c r="H9">
        <v>2</v>
      </c>
      <c r="I9">
        <v>2</v>
      </c>
      <c r="J9">
        <v>2</v>
      </c>
      <c r="M9">
        <v>2</v>
      </c>
      <c r="N9">
        <v>2</v>
      </c>
      <c r="O9">
        <v>2</v>
      </c>
    </row>
    <row r="10" spans="1:15" x14ac:dyDescent="0.25">
      <c r="A10" t="s">
        <v>61</v>
      </c>
      <c r="B10">
        <v>2</v>
      </c>
      <c r="C10">
        <v>2</v>
      </c>
      <c r="F10">
        <v>2</v>
      </c>
      <c r="G10">
        <v>2</v>
      </c>
      <c r="H10">
        <v>2</v>
      </c>
      <c r="I10">
        <v>2</v>
      </c>
      <c r="J10">
        <v>2</v>
      </c>
      <c r="M10">
        <v>2</v>
      </c>
      <c r="N10">
        <v>2</v>
      </c>
      <c r="O10">
        <v>2</v>
      </c>
    </row>
    <row r="11" spans="1:15" x14ac:dyDescent="0.25">
      <c r="A11" t="s">
        <v>64</v>
      </c>
      <c r="B11">
        <v>2</v>
      </c>
      <c r="C11">
        <v>2</v>
      </c>
      <c r="F11">
        <v>2</v>
      </c>
      <c r="G11">
        <v>2</v>
      </c>
      <c r="H11">
        <v>2</v>
      </c>
      <c r="I11">
        <v>2</v>
      </c>
      <c r="J11">
        <v>2</v>
      </c>
      <c r="M11">
        <v>2</v>
      </c>
      <c r="N11">
        <v>2</v>
      </c>
      <c r="O11">
        <v>2</v>
      </c>
    </row>
    <row r="12" spans="1:15" x14ac:dyDescent="0.25">
      <c r="A12" t="s">
        <v>65</v>
      </c>
      <c r="B12">
        <v>2</v>
      </c>
      <c r="C12">
        <v>2</v>
      </c>
      <c r="F12">
        <v>2</v>
      </c>
      <c r="G12">
        <v>2</v>
      </c>
      <c r="H12">
        <v>2</v>
      </c>
      <c r="I12">
        <v>2</v>
      </c>
      <c r="J12">
        <v>2</v>
      </c>
      <c r="M12">
        <v>2</v>
      </c>
      <c r="N12">
        <v>2</v>
      </c>
      <c r="O12">
        <v>2</v>
      </c>
    </row>
    <row r="13" spans="1:15" s="46" customFormat="1" x14ac:dyDescent="0.25">
      <c r="A13" s="46" t="s">
        <v>101</v>
      </c>
      <c r="B13" s="46">
        <v>19.2</v>
      </c>
      <c r="C13" s="46">
        <v>19.2</v>
      </c>
      <c r="D13" s="46"/>
      <c r="E13" s="46"/>
      <c r="F13" s="46">
        <v>19.2</v>
      </c>
      <c r="G13" s="46">
        <v>19.2</v>
      </c>
      <c r="H13" s="46">
        <v>19.2</v>
      </c>
      <c r="I13" s="46">
        <v>19.2</v>
      </c>
      <c r="J13" s="46">
        <v>19.2</v>
      </c>
      <c r="K13" s="46"/>
      <c r="L13" s="46"/>
      <c r="M13" s="46">
        <v>19.2</v>
      </c>
      <c r="N13" s="46">
        <v>19.2</v>
      </c>
      <c r="O13" s="46">
        <v>19.2</v>
      </c>
    </row>
    <row r="14" spans="1:1" s="47" customFormat="1" x14ac:dyDescent="0.25">
      <c r="A14" s="47" t="s">
        <v>69</v>
      </c>
    </row>
    <row r="16" spans="1:15" s="48" customFormat="1" x14ac:dyDescent="0.25">
      <c r="A16" s="48" t="s">
        <v>102</v>
      </c>
      <c r="B16" s="48">
        <f>SUM($B$13:B$13)-SUM($B$14:B$14)</f>
      </c>
      <c r="C16" s="48">
        <f>SUM($B$13:C$13)-SUM($B$14:C$14)</f>
      </c>
      <c r="D16" s="48">
        <f>SUM($B$13:D$13)-SUM($B$14:D$14)</f>
      </c>
      <c r="E16" s="48">
        <f>SUM($B$13:E$13)-SUM($B$14:E$14)</f>
      </c>
      <c r="F16" s="48">
        <f>SUM($B$13:F$13)-SUM($B$14:F$14)</f>
      </c>
      <c r="G16" s="48">
        <f>SUM($B$13:G$13)-SUM($B$14:G$14)</f>
      </c>
      <c r="H16" s="48">
        <f>SUM($B$13:H$13)-SUM($B$14:H$14)</f>
      </c>
      <c r="I16" s="48">
        <f>SUM($B$13:I$13)-SUM($B$14:I$14)</f>
      </c>
      <c r="J16" s="48">
        <f>SUM($B$13:J$13)-SUM($B$14:J$14)</f>
      </c>
      <c r="K16" s="48">
        <f>SUM($B$13:K$13)-SUM($B$14:K$14)</f>
      </c>
      <c r="L16" s="48">
        <f>SUM($B$13:L$13)-SUM($B$14:L$14)</f>
      </c>
      <c r="M16" s="48">
        <f>SUM($B$13:M$13)-SUM($B$14:M$14)</f>
      </c>
      <c r="N16" s="48">
        <f>SUM($B$13:N$13)-SUM($B$14:N$14)</f>
      </c>
      <c r="O16" s="48">
        <f>SUM($B$13:O$13)-SUM($B$14:O$14)</f>
      </c>
    </row>
    <row r="18" spans="1:15" s="49" customFormat="1" x14ac:dyDescent="0.25">
      <c r="A18" s="49" t="s">
        <v>103</v>
      </c>
      <c r="B18" s="49">
        <v>1</v>
      </c>
      <c r="C18" s="49">
        <v>2</v>
      </c>
      <c r="D18" s="49">
        <v>3</v>
      </c>
      <c r="E18" s="49">
        <v>4</v>
      </c>
      <c r="F18" s="49">
        <v>5</v>
      </c>
      <c r="G18" s="49">
        <v>6</v>
      </c>
      <c r="H18" s="49">
        <v>7</v>
      </c>
      <c r="I18" s="49">
        <v>8</v>
      </c>
      <c r="J18" s="49">
        <v>9</v>
      </c>
      <c r="K18" s="49">
        <v>10</v>
      </c>
      <c r="L18" s="49">
        <v>11</v>
      </c>
      <c r="M18" s="49">
        <v>12</v>
      </c>
      <c r="N18" s="49">
        <v>13</v>
      </c>
      <c r="O18" s="49">
        <v>14</v>
      </c>
    </row>
    <row r="19" spans="1:15" x14ac:dyDescent="0.25">
      <c r="A19" t="s">
        <v>104</v>
      </c>
      <c r="B19">
        <f>B16</f>
      </c>
      <c r="C19">
        <f>C16</f>
      </c>
      <c r="D19">
        <f>D16</f>
      </c>
      <c r="E19">
        <f>E16</f>
      </c>
      <c r="F19">
        <f>F16</f>
      </c>
      <c r="G19">
        <f>G16</f>
      </c>
      <c r="H19">
        <f>H16</f>
      </c>
      <c r="I19">
        <f>I16</f>
      </c>
      <c r="J19">
        <f>J16</f>
      </c>
      <c r="K19">
        <f>K16</f>
      </c>
      <c r="L19">
        <f>L16</f>
      </c>
      <c r="M19">
        <f>M16</f>
      </c>
      <c r="N19">
        <f>N16</f>
      </c>
      <c r="O19">
        <f>O16</f>
      </c>
    </row>
    <row r="21" spans="1:1" s="50" customFormat="1" x14ac:dyDescent="0.25">
      <c r="A21" s="50" t="s">
        <v>203</v>
      </c>
    </row>
    <row r="22" spans="1:1" x14ac:dyDescent="0.25">
      <c r="A22" t="s">
        <v>106</v>
      </c>
    </row>
    <row r="23" spans="1:1" x14ac:dyDescent="0.25">
      <c r="A23" t="s">
        <v>107</v>
      </c>
    </row>
    <row r="24" spans="1:1" x14ac:dyDescent="0.25">
      <c r="A24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FormatPr defaultRowHeight="15" outlineLevelRow="0" outlineLevelCol="0" x14ac:dyDescent="55"/>
  <cols>
    <col min="1" max="1" width="50" customWidth="1"/>
    <col min="2" max="15" width="12" customWidth="1"/>
  </cols>
  <sheetData>
    <row r="1" ht="20" customHeight="1" spans="1:15" s="45" customFormat="1" x14ac:dyDescent="0.25">
      <c r="A1" s="45" t="s">
        <v>0</v>
      </c>
      <c r="B1" s="45" t="s">
        <v>205</v>
      </c>
      <c r="C1" s="45" t="s">
        <v>206</v>
      </c>
      <c r="D1" s="45" t="s">
        <v>207</v>
      </c>
      <c r="E1" s="45" t="s">
        <v>208</v>
      </c>
      <c r="F1" s="45" t="s">
        <v>209</v>
      </c>
      <c r="G1" s="45" t="s">
        <v>210</v>
      </c>
      <c r="H1" s="45" t="s">
        <v>211</v>
      </c>
      <c r="I1" s="45" t="s">
        <v>212</v>
      </c>
      <c r="J1" s="45" t="s">
        <v>213</v>
      </c>
      <c r="K1" s="45" t="s">
        <v>214</v>
      </c>
      <c r="L1" s="45" t="s">
        <v>215</v>
      </c>
      <c r="M1" s="45" t="s">
        <v>216</v>
      </c>
      <c r="N1" s="45" t="s">
        <v>217</v>
      </c>
      <c r="O1" s="45" t="s">
        <v>218</v>
      </c>
    </row>
    <row r="2" spans="1:15" x14ac:dyDescent="0.25">
      <c r="A2" t="s">
        <v>64</v>
      </c>
      <c r="B2">
        <v>4</v>
      </c>
      <c r="C2">
        <v>4</v>
      </c>
      <c r="F2">
        <v>4</v>
      </c>
      <c r="G2">
        <v>4</v>
      </c>
      <c r="H2">
        <v>4</v>
      </c>
      <c r="I2">
        <v>4</v>
      </c>
      <c r="J2">
        <v>4</v>
      </c>
      <c r="M2">
        <v>4</v>
      </c>
      <c r="N2">
        <v>4</v>
      </c>
      <c r="O2">
        <v>4</v>
      </c>
    </row>
    <row r="3" spans="1:15" x14ac:dyDescent="0.25">
      <c r="A3" t="s">
        <v>65</v>
      </c>
      <c r="B3">
        <v>2</v>
      </c>
      <c r="C3">
        <v>2</v>
      </c>
      <c r="F3">
        <v>2</v>
      </c>
      <c r="G3">
        <v>2</v>
      </c>
      <c r="H3">
        <v>2</v>
      </c>
      <c r="I3">
        <v>2</v>
      </c>
      <c r="J3">
        <v>2</v>
      </c>
      <c r="M3">
        <v>2</v>
      </c>
      <c r="N3">
        <v>2</v>
      </c>
      <c r="O3">
        <v>2</v>
      </c>
    </row>
    <row r="4" spans="1:15" s="46" customFormat="1" x14ac:dyDescent="0.25">
      <c r="A4" s="46" t="s">
        <v>101</v>
      </c>
      <c r="B4" s="46">
        <v>6</v>
      </c>
      <c r="C4" s="46">
        <v>6</v>
      </c>
      <c r="D4" s="46"/>
      <c r="E4" s="46"/>
      <c r="F4" s="46">
        <v>6</v>
      </c>
      <c r="G4" s="46">
        <v>6</v>
      </c>
      <c r="H4" s="46">
        <v>6</v>
      </c>
      <c r="I4" s="46">
        <v>6</v>
      </c>
      <c r="J4" s="46">
        <v>6</v>
      </c>
      <c r="K4" s="46"/>
      <c r="L4" s="46"/>
      <c r="M4" s="46">
        <v>6</v>
      </c>
      <c r="N4" s="46">
        <v>6</v>
      </c>
      <c r="O4" s="46">
        <v>6</v>
      </c>
    </row>
    <row r="5" spans="1:1" s="47" customFormat="1" x14ac:dyDescent="0.25">
      <c r="A5" s="47" t="s">
        <v>69</v>
      </c>
    </row>
    <row r="7" spans="1:15" s="48" customFormat="1" x14ac:dyDescent="0.25">
      <c r="A7" s="48" t="s">
        <v>102</v>
      </c>
      <c r="B7" s="48">
        <f>SUM($B$4:B$4)-SUM($B$5:B$5)</f>
      </c>
      <c r="C7" s="48">
        <f>SUM($B$4:C$4)-SUM($B$5:C$5)</f>
      </c>
      <c r="D7" s="48">
        <f>SUM($B$4:D$4)-SUM($B$5:D$5)</f>
      </c>
      <c r="E7" s="48">
        <f>SUM($B$4:E$4)-SUM($B$5:E$5)</f>
      </c>
      <c r="F7" s="48">
        <f>SUM($B$4:F$4)-SUM($B$5:F$5)</f>
      </c>
      <c r="G7" s="48">
        <f>SUM($B$4:G$4)-SUM($B$5:G$5)</f>
      </c>
      <c r="H7" s="48">
        <f>SUM($B$4:H$4)-SUM($B$5:H$5)</f>
      </c>
      <c r="I7" s="48">
        <f>SUM($B$4:I$4)-SUM($B$5:I$5)</f>
      </c>
      <c r="J7" s="48">
        <f>SUM($B$4:J$4)-SUM($B$5:J$5)</f>
      </c>
      <c r="K7" s="48">
        <f>SUM($B$4:K$4)-SUM($B$5:K$5)</f>
      </c>
      <c r="L7" s="48">
        <f>SUM($B$4:L$4)-SUM($B$5:L$5)</f>
      </c>
      <c r="M7" s="48">
        <f>SUM($B$4:M$4)-SUM($B$5:M$5)</f>
      </c>
      <c r="N7" s="48">
        <f>SUM($B$4:N$4)-SUM($B$5:N$5)</f>
      </c>
      <c r="O7" s="48">
        <f>SUM($B$4:O$4)-SUM($B$5:O$5)</f>
      </c>
    </row>
    <row r="9" spans="1:15" s="49" customFormat="1" x14ac:dyDescent="0.25">
      <c r="A9" s="49" t="s">
        <v>103</v>
      </c>
      <c r="B9" s="49">
        <v>1</v>
      </c>
      <c r="C9" s="49">
        <v>2</v>
      </c>
      <c r="D9" s="49">
        <v>3</v>
      </c>
      <c r="E9" s="49">
        <v>4</v>
      </c>
      <c r="F9" s="49">
        <v>5</v>
      </c>
      <c r="G9" s="49">
        <v>6</v>
      </c>
      <c r="H9" s="49">
        <v>7</v>
      </c>
      <c r="I9" s="49">
        <v>8</v>
      </c>
      <c r="J9" s="49">
        <v>9</v>
      </c>
      <c r="K9" s="49">
        <v>10</v>
      </c>
      <c r="L9" s="49">
        <v>11</v>
      </c>
      <c r="M9" s="49">
        <v>12</v>
      </c>
      <c r="N9" s="49">
        <v>13</v>
      </c>
      <c r="O9" s="49">
        <v>14</v>
      </c>
    </row>
    <row r="10" spans="1:15" x14ac:dyDescent="0.25">
      <c r="A10" t="s">
        <v>104</v>
      </c>
      <c r="B10">
        <f>B7</f>
      </c>
      <c r="C10">
        <f>C7</f>
      </c>
      <c r="D10">
        <f>D7</f>
      </c>
      <c r="E10">
        <f>E7</f>
      </c>
      <c r="F10">
        <f>F7</f>
      </c>
      <c r="G10">
        <f>G7</f>
      </c>
      <c r="H10">
        <f>H7</f>
      </c>
      <c r="I10">
        <f>I7</f>
      </c>
      <c r="J10">
        <f>J7</f>
      </c>
      <c r="K10">
        <f>K7</f>
      </c>
      <c r="L10">
        <f>L7</f>
      </c>
      <c r="M10">
        <f>M7</f>
      </c>
      <c r="N10">
        <f>N7</f>
      </c>
      <c r="O10">
        <f>O7</f>
      </c>
    </row>
    <row r="12" spans="1:1" s="50" customFormat="1" x14ac:dyDescent="0.25">
      <c r="A12" s="50" t="s">
        <v>219</v>
      </c>
    </row>
    <row r="13" spans="1:1" x14ac:dyDescent="0.25">
      <c r="A13" t="s">
        <v>106</v>
      </c>
    </row>
    <row r="14" spans="1:1" x14ac:dyDescent="0.25">
      <c r="A14" t="s">
        <v>107</v>
      </c>
    </row>
    <row r="15" spans="1:1" x14ac:dyDescent="0.25">
      <c r="A15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FormatPr defaultRowHeight="15" outlineLevelRow="0" outlineLevelCol="0" x14ac:dyDescent="55"/>
  <cols>
    <col min="1" max="1" width="50" customWidth="1"/>
    <col min="2" max="15" width="12" customWidth="1"/>
  </cols>
  <sheetData>
    <row r="1" ht="20" customHeight="1" spans="1:15" s="45" customFormat="1" x14ac:dyDescent="0.25">
      <c r="A1" s="45" t="s">
        <v>0</v>
      </c>
      <c r="B1" s="45" t="s">
        <v>221</v>
      </c>
      <c r="C1" s="45" t="s">
        <v>222</v>
      </c>
      <c r="D1" s="45" t="s">
        <v>223</v>
      </c>
      <c r="E1" s="45" t="s">
        <v>224</v>
      </c>
      <c r="F1" s="45" t="s">
        <v>225</v>
      </c>
      <c r="G1" s="45" t="s">
        <v>226</v>
      </c>
      <c r="H1" s="45" t="s">
        <v>227</v>
      </c>
      <c r="I1" s="45" t="s">
        <v>228</v>
      </c>
      <c r="J1" s="45" t="s">
        <v>229</v>
      </c>
      <c r="K1" s="45" t="s">
        <v>230</v>
      </c>
      <c r="L1" s="45" t="s">
        <v>231</v>
      </c>
      <c r="M1" s="45" t="s">
        <v>232</v>
      </c>
      <c r="N1" s="45" t="s">
        <v>233</v>
      </c>
      <c r="O1" s="45" t="s">
        <v>234</v>
      </c>
    </row>
    <row r="2" spans="1:15" s="46" customFormat="1" x14ac:dyDescent="0.25">
      <c r="A2" s="46" t="s">
        <v>101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1" s="47" customFormat="1" x14ac:dyDescent="0.25">
      <c r="A3" s="47" t="s">
        <v>69</v>
      </c>
    </row>
    <row r="5" spans="1:15" s="48" customFormat="1" x14ac:dyDescent="0.25">
      <c r="A5" s="48" t="s">
        <v>102</v>
      </c>
      <c r="B5" s="48">
        <f>SUM($B$2:B$2)-SUM($B$3:B$3)</f>
      </c>
      <c r="C5" s="48">
        <f>SUM($B$2:C$2)-SUM($B$3:C$3)</f>
      </c>
      <c r="D5" s="48">
        <f>SUM($B$2:D$2)-SUM($B$3:D$3)</f>
      </c>
      <c r="E5" s="48">
        <f>SUM($B$2:E$2)-SUM($B$3:E$3)</f>
      </c>
      <c r="F5" s="48">
        <f>SUM($B$2:F$2)-SUM($B$3:F$3)</f>
      </c>
      <c r="G5" s="48">
        <f>SUM($B$2:G$2)-SUM($B$3:G$3)</f>
      </c>
      <c r="H5" s="48">
        <f>SUM($B$2:H$2)-SUM($B$3:H$3)</f>
      </c>
      <c r="I5" s="48">
        <f>SUM($B$2:I$2)-SUM($B$3:I$3)</f>
      </c>
      <c r="J5" s="48">
        <f>SUM($B$2:J$2)-SUM($B$3:J$3)</f>
      </c>
      <c r="K5" s="48">
        <f>SUM($B$2:K$2)-SUM($B$3:K$3)</f>
      </c>
      <c r="L5" s="48">
        <f>SUM($B$2:L$2)-SUM($B$3:L$3)</f>
      </c>
      <c r="M5" s="48">
        <f>SUM($B$2:M$2)-SUM($B$3:M$3)</f>
      </c>
      <c r="N5" s="48">
        <f>SUM($B$2:N$2)-SUM($B$3:N$3)</f>
      </c>
      <c r="O5" s="48">
        <f>SUM($B$2:O$2)-SUM($B$3:O$3)</f>
      </c>
    </row>
    <row r="7" spans="1:15" s="49" customFormat="1" x14ac:dyDescent="0.25">
      <c r="A7" s="49" t="s">
        <v>103</v>
      </c>
      <c r="B7" s="49">
        <v>1</v>
      </c>
      <c r="C7" s="49">
        <v>2</v>
      </c>
      <c r="D7" s="49">
        <v>3</v>
      </c>
      <c r="E7" s="49">
        <v>4</v>
      </c>
      <c r="F7" s="49">
        <v>5</v>
      </c>
      <c r="G7" s="49">
        <v>6</v>
      </c>
      <c r="H7" s="49">
        <v>7</v>
      </c>
      <c r="I7" s="49">
        <v>8</v>
      </c>
      <c r="J7" s="49">
        <v>9</v>
      </c>
      <c r="K7" s="49">
        <v>10</v>
      </c>
      <c r="L7" s="49">
        <v>11</v>
      </c>
      <c r="M7" s="49">
        <v>12</v>
      </c>
      <c r="N7" s="49">
        <v>13</v>
      </c>
      <c r="O7" s="49">
        <v>14</v>
      </c>
    </row>
    <row r="8" spans="1:15" x14ac:dyDescent="0.25">
      <c r="A8" t="s">
        <v>104</v>
      </c>
      <c r="B8">
        <f>B5</f>
      </c>
      <c r="C8">
        <f>C5</f>
      </c>
      <c r="D8">
        <f>D5</f>
      </c>
      <c r="E8">
        <f>E5</f>
      </c>
      <c r="F8">
        <f>F5</f>
      </c>
      <c r="G8">
        <f>G5</f>
      </c>
      <c r="H8">
        <f>H5</f>
      </c>
      <c r="I8">
        <f>I5</f>
      </c>
      <c r="J8">
        <f>J5</f>
      </c>
      <c r="K8">
        <f>K5</f>
      </c>
      <c r="L8">
        <f>L5</f>
      </c>
      <c r="M8">
        <f>M5</f>
      </c>
      <c r="N8">
        <f>N5</f>
      </c>
      <c r="O8">
        <f>O5</f>
      </c>
    </row>
    <row r="10" spans="1:1" s="50" customFormat="1" x14ac:dyDescent="0.25">
      <c r="A10" s="50" t="s">
        <v>235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"/>
  <sheetViews>
    <sheetView workbookViewId="0" zoomScale="150" zoomScaleNormal="125">
      <selection activeCell="B7" sqref="B7"/>
    </sheetView>
  </sheetViews>
  <sheetFormatPr defaultRowHeight="15" outlineLevelRow="0" outlineLevelCol="0" x14ac:dyDescent="0.2" defaultColWidth="8.83203125"/>
  <cols>
    <col min="1" max="1" width="23.5" customWidth="1"/>
    <col min="2" max="15" width="8.83203125" style="1" customWidth="1"/>
  </cols>
  <sheetData>
    <row r="1" spans="1:44" x14ac:dyDescent="0.25">
      <c r="A1" s="37" t="s">
        <v>80</v>
      </c>
      <c r="B1" s="38">
        <v>45967</v>
      </c>
      <c r="C1" s="38">
        <f t="shared" ref="C1:AR1" si="0">B1+1</f>
        <v>45968</v>
      </c>
      <c r="D1" s="38">
        <f t="shared" si="0"/>
        <v>45969</v>
      </c>
      <c r="E1" s="38">
        <f t="shared" si="0"/>
        <v>45970</v>
      </c>
      <c r="F1" s="38">
        <f t="shared" si="0"/>
        <v>45971</v>
      </c>
      <c r="G1" s="38">
        <f t="shared" si="0"/>
        <v>45972</v>
      </c>
      <c r="H1" s="38">
        <f t="shared" si="0"/>
        <v>45973</v>
      </c>
      <c r="I1" s="38">
        <f t="shared" si="0"/>
        <v>45974</v>
      </c>
      <c r="J1" s="38">
        <f t="shared" si="0"/>
        <v>45975</v>
      </c>
      <c r="K1" s="38">
        <f t="shared" si="0"/>
        <v>45976</v>
      </c>
      <c r="L1" s="38">
        <f t="shared" si="0"/>
        <v>45977</v>
      </c>
      <c r="M1" s="38">
        <f t="shared" si="0"/>
        <v>45978</v>
      </c>
      <c r="N1" s="38">
        <f t="shared" si="0"/>
        <v>45979</v>
      </c>
      <c r="O1" s="38">
        <f t="shared" si="0"/>
        <v>45980</v>
      </c>
      <c r="P1" s="38">
        <f t="shared" si="0"/>
        <v>45981</v>
      </c>
      <c r="Q1" s="38">
        <f t="shared" si="0"/>
        <v>45982</v>
      </c>
      <c r="R1" s="38">
        <f t="shared" si="0"/>
        <v>45983</v>
      </c>
      <c r="S1" s="38">
        <f t="shared" si="0"/>
        <v>45984</v>
      </c>
      <c r="T1" s="38">
        <f t="shared" si="0"/>
        <v>45985</v>
      </c>
      <c r="U1" s="38">
        <f t="shared" si="0"/>
        <v>45986</v>
      </c>
      <c r="V1" s="38">
        <f t="shared" si="0"/>
        <v>45987</v>
      </c>
      <c r="W1" s="38">
        <f t="shared" si="0"/>
        <v>45988</v>
      </c>
      <c r="X1" s="38">
        <f t="shared" si="0"/>
        <v>45989</v>
      </c>
      <c r="Y1" s="38">
        <f t="shared" si="0"/>
        <v>45990</v>
      </c>
      <c r="Z1" s="38">
        <f t="shared" si="0"/>
        <v>45991</v>
      </c>
      <c r="AA1" s="38">
        <f t="shared" si="0"/>
        <v>45992</v>
      </c>
      <c r="AB1" s="38">
        <f t="shared" si="0"/>
        <v>45993</v>
      </c>
      <c r="AC1" s="38">
        <f t="shared" si="0"/>
        <v>45994</v>
      </c>
      <c r="AD1" s="38">
        <f t="shared" si="0"/>
        <v>45995</v>
      </c>
      <c r="AE1" s="38">
        <f t="shared" si="0"/>
        <v>45996</v>
      </c>
      <c r="AF1" s="38">
        <f t="shared" si="0"/>
        <v>45997</v>
      </c>
      <c r="AG1" s="38">
        <f t="shared" si="0"/>
        <v>45998</v>
      </c>
      <c r="AH1" s="38">
        <f t="shared" si="0"/>
        <v>45999</v>
      </c>
      <c r="AI1" s="38">
        <f t="shared" si="0"/>
        <v>46000</v>
      </c>
      <c r="AJ1" s="38">
        <f t="shared" si="0"/>
        <v>46001</v>
      </c>
      <c r="AK1" s="38">
        <f t="shared" si="0"/>
        <v>46002</v>
      </c>
      <c r="AL1" s="38">
        <f t="shared" si="0"/>
        <v>46003</v>
      </c>
      <c r="AM1" s="38">
        <f t="shared" si="0"/>
        <v>46004</v>
      </c>
      <c r="AN1" s="38">
        <f t="shared" si="0"/>
        <v>46005</v>
      </c>
      <c r="AO1" s="38">
        <f t="shared" si="0"/>
        <v>46006</v>
      </c>
      <c r="AP1" s="38">
        <f t="shared" si="0"/>
        <v>46007</v>
      </c>
      <c r="AQ1" s="38">
        <f t="shared" si="0"/>
        <v>46008</v>
      </c>
      <c r="AR1" s="38">
        <f t="shared" si="0"/>
        <v>46009</v>
      </c>
    </row>
    <row r="2" spans="1:44" x14ac:dyDescent="0.25">
      <c r="A2" s="39" t="s">
        <v>81</v>
      </c>
      <c r="B2" s="40">
        <v>12.5</v>
      </c>
      <c r="C2" s="40">
        <v>17.5</v>
      </c>
      <c r="D2" s="40"/>
      <c r="E2" s="40"/>
      <c r="F2" s="40">
        <v>25</v>
      </c>
      <c r="G2" s="40">
        <v>30</v>
      </c>
      <c r="H2" s="40">
        <v>32.5</v>
      </c>
      <c r="I2" s="40">
        <v>47.5</v>
      </c>
      <c r="J2" s="40">
        <v>30</v>
      </c>
      <c r="K2" s="40"/>
      <c r="L2" s="40"/>
      <c r="M2" s="40">
        <v>25</v>
      </c>
      <c r="N2" s="40">
        <v>17.5</v>
      </c>
      <c r="O2" s="40">
        <v>12.5</v>
      </c>
      <c r="P2" s="40">
        <v>13.6</v>
      </c>
      <c r="Q2" s="40">
        <v>19</v>
      </c>
      <c r="R2" s="40"/>
      <c r="S2" s="40"/>
      <c r="T2" s="40">
        <v>27.1</v>
      </c>
      <c r="U2" s="40">
        <v>32.5</v>
      </c>
      <c r="V2" s="40">
        <v>35.2</v>
      </c>
      <c r="W2" s="40">
        <v>51.5</v>
      </c>
      <c r="X2" s="40">
        <v>32.5</v>
      </c>
      <c r="Y2" s="40"/>
      <c r="Z2" s="40"/>
      <c r="AA2" s="40">
        <v>27.1</v>
      </c>
      <c r="AB2" s="40">
        <v>19</v>
      </c>
      <c r="AC2" s="40">
        <v>13.6</v>
      </c>
      <c r="AD2" s="40">
        <v>12.4</v>
      </c>
      <c r="AE2" s="40">
        <v>17.4</v>
      </c>
      <c r="AF2" s="40"/>
      <c r="AG2" s="40"/>
      <c r="AH2" s="40">
        <v>24.8</v>
      </c>
      <c r="AI2" s="40">
        <v>29.8</v>
      </c>
      <c r="AJ2" s="40">
        <v>32.2</v>
      </c>
      <c r="AK2" s="40">
        <v>47.1</v>
      </c>
      <c r="AL2" s="40">
        <v>29.8</v>
      </c>
      <c r="AM2" s="40"/>
      <c r="AN2" s="40"/>
      <c r="AO2" s="40">
        <v>24.8</v>
      </c>
      <c r="AP2" s="40">
        <v>17.4</v>
      </c>
      <c r="AQ2" s="40">
        <v>12.4</v>
      </c>
      <c r="AR2" s="40">
        <v>8.7</v>
      </c>
    </row>
    <row r="3" spans="1:44" x14ac:dyDescent="0.25">
      <c r="A3" s="41" t="s">
        <v>82</v>
      </c>
      <c r="B3" s="9">
        <v>13</v>
      </c>
      <c r="C3" s="9">
        <v>22</v>
      </c>
      <c r="D3" s="9">
        <v>3</v>
      </c>
      <c r="E3" s="9">
        <v>0</v>
      </c>
      <c r="F3" s="9">
        <v>9</v>
      </c>
      <c r="G3" s="9">
        <v>19</v>
      </c>
      <c r="H3" s="9">
        <v>11</v>
      </c>
      <c r="I3" s="9">
        <v>8</v>
      </c>
      <c r="J3" s="9">
        <v>4</v>
      </c>
      <c r="K3" s="9">
        <v>1</v>
      </c>
      <c r="L3" s="9">
        <v>0</v>
      </c>
      <c r="M3" s="9">
        <v>10</v>
      </c>
      <c r="N3" s="9">
        <v>4</v>
      </c>
      <c r="O3" s="9">
        <v>15</v>
      </c>
      <c r="P3" s="9">
        <v>6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 ht="16" customHeight="1" spans="1:44" x14ac:dyDescent="0.25">
      <c r="A4" s="41" t="s">
        <v>83</v>
      </c>
      <c r="B4" s="9">
        <v>12.5</v>
      </c>
      <c r="C4" s="9">
        <v>30</v>
      </c>
      <c r="D4" s="9">
        <v>30</v>
      </c>
      <c r="E4" s="9">
        <v>30</v>
      </c>
      <c r="F4" s="9">
        <v>55</v>
      </c>
      <c r="G4" s="9">
        <v>85</v>
      </c>
      <c r="H4" s="9">
        <v>117.5</v>
      </c>
      <c r="I4" s="9">
        <v>165</v>
      </c>
      <c r="J4" s="9">
        <v>195</v>
      </c>
      <c r="K4" s="9">
        <v>195</v>
      </c>
      <c r="L4" s="9">
        <v>195</v>
      </c>
      <c r="M4" s="9">
        <v>220</v>
      </c>
      <c r="N4" s="9">
        <v>237.5</v>
      </c>
      <c r="O4" s="9">
        <v>250</v>
      </c>
      <c r="P4" s="42">
        <v>263.6</v>
      </c>
      <c r="Q4" s="42">
        <v>282.6</v>
      </c>
      <c r="R4" s="42">
        <v>282.6</v>
      </c>
      <c r="S4" s="42">
        <v>282.6</v>
      </c>
      <c r="T4" s="42">
        <v>309.7</v>
      </c>
      <c r="U4" s="42">
        <v>342.2</v>
      </c>
      <c r="V4" s="42">
        <v>377.4</v>
      </c>
      <c r="W4" s="42">
        <v>428.9</v>
      </c>
      <c r="X4" s="42">
        <v>461.4</v>
      </c>
      <c r="Y4" s="42">
        <v>461.4</v>
      </c>
      <c r="Z4" s="42">
        <v>461.4</v>
      </c>
      <c r="AA4" s="42">
        <v>488.5</v>
      </c>
      <c r="AB4" s="42">
        <v>507.5</v>
      </c>
      <c r="AC4" s="42">
        <v>521.1</v>
      </c>
      <c r="AD4" s="42">
        <v>533.5</v>
      </c>
      <c r="AE4" s="42">
        <v>550.9</v>
      </c>
      <c r="AF4" s="42">
        <v>550.9</v>
      </c>
      <c r="AG4" s="42">
        <v>550.9</v>
      </c>
      <c r="AH4" s="42">
        <v>575.7</v>
      </c>
      <c r="AI4" s="42">
        <v>605.5</v>
      </c>
      <c r="AJ4" s="42">
        <v>637.7</v>
      </c>
      <c r="AK4" s="42">
        <v>684.8</v>
      </c>
      <c r="AL4" s="42">
        <v>714.6</v>
      </c>
      <c r="AM4" s="42">
        <v>714.6</v>
      </c>
      <c r="AN4" s="42">
        <v>714.6</v>
      </c>
      <c r="AO4" s="42">
        <v>739.4</v>
      </c>
      <c r="AP4" s="42">
        <v>756.8</v>
      </c>
      <c r="AQ4" s="42">
        <v>769.2</v>
      </c>
      <c r="AR4" s="42">
        <v>777.9</v>
      </c>
    </row>
    <row r="5" spans="1:44" x14ac:dyDescent="0.25">
      <c r="A5" s="41" t="s">
        <v>84</v>
      </c>
      <c r="B5" s="9">
        <f>SUM($B$3:B$3)</f>
      </c>
      <c r="C5" s="9">
        <f>SUM($B$3:C$3)</f>
      </c>
      <c r="D5" s="9">
        <f>SUM($B$3:D$3)</f>
      </c>
      <c r="E5" s="9">
        <f>SUM($B$3:E$3)</f>
      </c>
      <c r="F5" s="9">
        <f>SUM($B$3:F$3)</f>
      </c>
      <c r="G5" s="9">
        <f>SUM($B$3:G$3)</f>
      </c>
      <c r="H5" s="9">
        <f>SUM($B$3:H$3)</f>
      </c>
      <c r="I5" s="9">
        <f>SUM($B$3:I$3)</f>
      </c>
      <c r="J5" s="9">
        <f>SUM($B$3:J$3)</f>
      </c>
      <c r="K5" s="9">
        <f>SUM($B$3:K$3)</f>
      </c>
      <c r="L5" s="9">
        <f>SUM($B$3:L$3)</f>
      </c>
      <c r="M5" s="9">
        <f>SUM($B$3:M$3)</f>
      </c>
      <c r="N5" s="9">
        <f>SUM($B$3:N$3)</f>
      </c>
      <c r="O5" s="9">
        <f>SUM($B$3:O$3)</f>
      </c>
      <c r="P5" s="42">
        <f>SUM($B$3:P$3)</f>
      </c>
      <c r="Q5" s="42">
        <v>74</v>
      </c>
      <c r="R5" s="42">
        <v>74</v>
      </c>
      <c r="S5" s="42">
        <v>74</v>
      </c>
      <c r="T5" s="42">
        <v>74</v>
      </c>
      <c r="U5" s="42">
        <v>74</v>
      </c>
      <c r="V5" s="42">
        <v>74</v>
      </c>
      <c r="W5" s="42">
        <v>74</v>
      </c>
      <c r="X5" s="42">
        <v>74</v>
      </c>
      <c r="Y5" s="42">
        <v>74</v>
      </c>
      <c r="Z5" s="42">
        <v>74</v>
      </c>
      <c r="AA5" s="42">
        <v>74</v>
      </c>
      <c r="AB5" s="42">
        <v>74</v>
      </c>
      <c r="AC5" s="42">
        <v>74</v>
      </c>
      <c r="AD5" s="42">
        <v>74</v>
      </c>
      <c r="AE5" s="42">
        <v>74</v>
      </c>
      <c r="AF5" s="42">
        <v>74</v>
      </c>
      <c r="AG5" s="42">
        <v>74</v>
      </c>
      <c r="AH5" s="42">
        <v>74</v>
      </c>
      <c r="AI5" s="42">
        <v>74</v>
      </c>
      <c r="AJ5" s="42">
        <v>74</v>
      </c>
      <c r="AK5" s="42">
        <v>74</v>
      </c>
      <c r="AL5" s="42">
        <v>74</v>
      </c>
      <c r="AM5" s="42">
        <v>74</v>
      </c>
      <c r="AN5" s="42">
        <v>74</v>
      </c>
      <c r="AO5" s="42">
        <v>74</v>
      </c>
      <c r="AP5" s="42">
        <v>74</v>
      </c>
      <c r="AQ5" s="42">
        <v>74</v>
      </c>
      <c r="AR5" s="42">
        <v>74</v>
      </c>
    </row>
    <row r="6" spans="1:44" x14ac:dyDescent="0.25">
      <c r="A6" s="41" t="s">
        <v>85</v>
      </c>
      <c r="B6" s="9">
        <f>B$4-B$5</f>
      </c>
      <c r="C6" s="9">
        <f>C$4-C$5</f>
      </c>
      <c r="D6" s="9">
        <f>D$4-D$5</f>
      </c>
      <c r="E6" s="9">
        <f>E$4-E$5</f>
      </c>
      <c r="F6" s="9">
        <f>F$4-F$5</f>
      </c>
      <c r="G6" s="9">
        <f>G$4-G$5</f>
      </c>
      <c r="H6" s="9">
        <f>H$4-H$5</f>
      </c>
      <c r="I6" s="9">
        <f>I$4-I$5</f>
      </c>
      <c r="J6" s="9">
        <f>J$4-J$5</f>
      </c>
      <c r="K6" s="9">
        <f>K$4-K$5</f>
      </c>
      <c r="L6" s="9">
        <f>L$4-L$5</f>
      </c>
      <c r="M6" s="9">
        <f>M$4-M$5</f>
      </c>
      <c r="N6" s="9">
        <f>N$4-N$5</f>
      </c>
      <c r="O6" s="9">
        <f>O$4-O$5</f>
      </c>
      <c r="P6" s="42">
        <f>P$4-P$5</f>
      </c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</row>
    <row r="7" spans="1:44" x14ac:dyDescent="0.25">
      <c r="A7" s="41" t="s">
        <v>86</v>
      </c>
      <c r="B7" s="9">
        <v>750</v>
      </c>
      <c r="C7" s="9">
        <v>732</v>
      </c>
      <c r="D7" s="9">
        <v>732</v>
      </c>
      <c r="E7" s="9">
        <v>732</v>
      </c>
      <c r="F7" s="9">
        <v>714</v>
      </c>
      <c r="G7" s="9">
        <v>695</v>
      </c>
      <c r="H7" s="9">
        <v>695</v>
      </c>
      <c r="I7" s="9">
        <v>695</v>
      </c>
      <c r="J7" s="9">
        <v>695</v>
      </c>
      <c r="K7" s="9">
        <v>695</v>
      </c>
      <c r="L7" s="9">
        <v>695</v>
      </c>
      <c r="M7" s="9">
        <v>695</v>
      </c>
      <c r="N7" s="9">
        <v>695</v>
      </c>
      <c r="O7" s="9">
        <v>695</v>
      </c>
      <c r="P7" s="42">
        <v>695</v>
      </c>
      <c r="Q7" s="42">
        <v>695</v>
      </c>
      <c r="R7" s="42">
        <v>695</v>
      </c>
      <c r="S7" s="42">
        <v>695</v>
      </c>
      <c r="T7" s="42">
        <v>695</v>
      </c>
      <c r="U7" s="42">
        <v>695</v>
      </c>
      <c r="V7" s="42">
        <v>695</v>
      </c>
      <c r="W7" s="42">
        <v>695</v>
      </c>
      <c r="X7" s="42">
        <v>695</v>
      </c>
      <c r="Y7" s="42">
        <v>695</v>
      </c>
      <c r="Z7" s="42">
        <v>695</v>
      </c>
      <c r="AA7" s="42">
        <v>695</v>
      </c>
      <c r="AB7" s="42">
        <v>695</v>
      </c>
      <c r="AC7" s="42">
        <v>695</v>
      </c>
      <c r="AD7" s="42">
        <v>695</v>
      </c>
      <c r="AE7" s="42">
        <v>695</v>
      </c>
      <c r="AF7" s="42">
        <v>695</v>
      </c>
      <c r="AG7" s="42">
        <v>695</v>
      </c>
      <c r="AH7" s="42">
        <v>695</v>
      </c>
      <c r="AI7" s="42">
        <v>695</v>
      </c>
      <c r="AJ7" s="42">
        <v>695</v>
      </c>
      <c r="AK7" s="42">
        <v>695</v>
      </c>
      <c r="AL7" s="42">
        <v>695</v>
      </c>
      <c r="AM7" s="42">
        <v>695</v>
      </c>
      <c r="AN7" s="42">
        <v>695</v>
      </c>
      <c r="AO7" s="42">
        <v>695</v>
      </c>
      <c r="AP7" s="42">
        <v>695</v>
      </c>
      <c r="AQ7" s="42">
        <v>695</v>
      </c>
      <c r="AR7" s="42">
        <v>695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 zoomScale="125" zoomScaleNormal="125">
      <selection activeCell="C5" sqref="C5"/>
    </sheetView>
  </sheetViews>
  <sheetFormatPr defaultRowHeight="15" outlineLevelRow="0" outlineLevelCol="0" x14ac:dyDescent="0.2" defaultColWidth="8.83203125"/>
  <cols>
    <col min="1" max="1" width="53.33203125" customWidth="1"/>
    <col min="2" max="2" width="9.6640625" style="1" customWidth="1"/>
    <col min="3" max="3" width="76.33203125" customWidth="1"/>
  </cols>
  <sheetData>
    <row r="1" spans="1:3" x14ac:dyDescent="0.25">
      <c r="A1" s="43" t="s">
        <v>15</v>
      </c>
      <c r="B1" s="44">
        <v>1</v>
      </c>
      <c r="C1" s="42"/>
    </row>
    <row r="2" spans="1:3" x14ac:dyDescent="0.25">
      <c r="A2" s="8" t="s">
        <v>18</v>
      </c>
      <c r="B2" s="44">
        <v>1</v>
      </c>
      <c r="C2" s="42"/>
    </row>
    <row r="3" spans="1:3" x14ac:dyDescent="0.25">
      <c r="A3" s="8" t="s">
        <v>19</v>
      </c>
      <c r="B3" s="44">
        <v>1</v>
      </c>
      <c r="C3" s="42"/>
    </row>
    <row r="4" spans="1:3" x14ac:dyDescent="0.25">
      <c r="A4" s="8" t="s">
        <v>20</v>
      </c>
      <c r="B4" s="44"/>
      <c r="C4" s="42"/>
    </row>
    <row r="5" spans="1:3" x14ac:dyDescent="0.25">
      <c r="A5" s="8" t="s">
        <v>21</v>
      </c>
      <c r="B5" s="44"/>
      <c r="C5" s="42"/>
    </row>
    <row r="6" spans="1:3" x14ac:dyDescent="0.25">
      <c r="A6" s="8" t="s">
        <v>23</v>
      </c>
      <c r="B6" s="44"/>
      <c r="C6" s="42"/>
    </row>
    <row r="7" spans="1:3" x14ac:dyDescent="0.25">
      <c r="A7" s="8" t="s">
        <v>25</v>
      </c>
      <c r="B7" s="44"/>
      <c r="C7" s="42"/>
    </row>
    <row r="8" spans="1:3" x14ac:dyDescent="0.25">
      <c r="A8" s="8" t="s">
        <v>26</v>
      </c>
      <c r="B8" s="44"/>
      <c r="C8" s="42"/>
    </row>
    <row r="9" spans="1:3" x14ac:dyDescent="0.25">
      <c r="A9" s="8" t="s">
        <v>27</v>
      </c>
      <c r="B9" s="44"/>
      <c r="C9" s="42"/>
    </row>
    <row r="10" spans="1:3" x14ac:dyDescent="0.25">
      <c r="A10" s="8" t="s">
        <v>29</v>
      </c>
      <c r="B10" s="44"/>
      <c r="C10" s="42"/>
    </row>
    <row r="11" spans="1:3" x14ac:dyDescent="0.25">
      <c r="A11" s="8" t="s">
        <v>30</v>
      </c>
      <c r="B11" s="44"/>
      <c r="C11" s="42"/>
    </row>
    <row r="12" spans="1:3" x14ac:dyDescent="0.25">
      <c r="A12" s="8" t="s">
        <v>31</v>
      </c>
      <c r="B12" s="44"/>
      <c r="C12" s="42"/>
    </row>
    <row r="13" spans="1:3" x14ac:dyDescent="0.25">
      <c r="A13" s="8" t="s">
        <v>32</v>
      </c>
      <c r="B13" s="44"/>
      <c r="C13" s="42"/>
    </row>
    <row r="14" spans="1:3" x14ac:dyDescent="0.25">
      <c r="A14" s="8" t="s">
        <v>33</v>
      </c>
      <c r="B14" s="44"/>
      <c r="C14" s="42"/>
    </row>
    <row r="15" spans="1:3" x14ac:dyDescent="0.25">
      <c r="A15" s="8" t="s">
        <v>34</v>
      </c>
      <c r="B15" s="44"/>
      <c r="C15" s="42"/>
    </row>
    <row r="16" spans="1:3" x14ac:dyDescent="0.25">
      <c r="A16" s="8" t="s">
        <v>35</v>
      </c>
      <c r="B16" s="44"/>
      <c r="C16" s="42"/>
    </row>
    <row r="17" spans="1:3" x14ac:dyDescent="0.25">
      <c r="A17" s="8" t="s">
        <v>36</v>
      </c>
      <c r="B17" s="44"/>
      <c r="C17" s="42"/>
    </row>
    <row r="18" spans="1:3" x14ac:dyDescent="0.25">
      <c r="A18" s="8" t="s">
        <v>37</v>
      </c>
      <c r="B18" s="44"/>
      <c r="C18" s="42"/>
    </row>
    <row r="19" spans="1:3" x14ac:dyDescent="0.25">
      <c r="A19" s="8" t="s">
        <v>38</v>
      </c>
      <c r="B19" s="44"/>
      <c r="C19" s="42"/>
    </row>
    <row r="20" spans="1:3" x14ac:dyDescent="0.25">
      <c r="A20" s="8" t="s">
        <v>39</v>
      </c>
      <c r="B20" s="44"/>
      <c r="C20" s="42"/>
    </row>
    <row r="21" spans="1:3" x14ac:dyDescent="0.25">
      <c r="A21" s="8" t="s">
        <v>41</v>
      </c>
      <c r="B21" s="44"/>
      <c r="C21" s="42"/>
    </row>
    <row r="22" spans="1:3" x14ac:dyDescent="0.25">
      <c r="A22" s="8" t="s">
        <v>42</v>
      </c>
      <c r="B22" s="44"/>
      <c r="C22" s="42"/>
    </row>
    <row r="23" spans="1:3" x14ac:dyDescent="0.25">
      <c r="A23" s="8" t="s">
        <v>43</v>
      </c>
      <c r="B23" s="44"/>
      <c r="C23" s="42"/>
    </row>
    <row r="24" spans="1:3" x14ac:dyDescent="0.25">
      <c r="A24" s="8" t="s">
        <v>44</v>
      </c>
      <c r="B24" s="44"/>
      <c r="C24" s="42"/>
    </row>
    <row r="25" spans="1:3" x14ac:dyDescent="0.25">
      <c r="A25" s="8" t="s">
        <v>45</v>
      </c>
      <c r="B25" s="44"/>
      <c r="C25" s="42"/>
    </row>
    <row r="26" spans="1:3" x14ac:dyDescent="0.25">
      <c r="A26" s="8" t="s">
        <v>47</v>
      </c>
      <c r="B26" s="44"/>
      <c r="C26" s="42"/>
    </row>
    <row r="27" spans="1:3" x14ac:dyDescent="0.25">
      <c r="A27" s="8" t="s">
        <v>48</v>
      </c>
      <c r="B27" s="44"/>
      <c r="C27" s="42"/>
    </row>
    <row r="28" spans="1:3" x14ac:dyDescent="0.25">
      <c r="A28" s="8" t="s">
        <v>49</v>
      </c>
      <c r="B28" s="44"/>
      <c r="C28" s="42"/>
    </row>
    <row r="29" spans="1:3" x14ac:dyDescent="0.25">
      <c r="A29" s="8" t="s">
        <v>50</v>
      </c>
      <c r="B29" s="44"/>
      <c r="C29" s="42"/>
    </row>
    <row r="30" spans="1:3" x14ac:dyDescent="0.25">
      <c r="A30" s="8" t="s">
        <v>51</v>
      </c>
      <c r="B30" s="44"/>
      <c r="C30" s="42"/>
    </row>
    <row r="31" spans="1:3" x14ac:dyDescent="0.25">
      <c r="A31" s="8" t="s">
        <v>52</v>
      </c>
      <c r="B31" s="44"/>
      <c r="C31" s="42"/>
    </row>
    <row r="32" spans="1:3" x14ac:dyDescent="0.25">
      <c r="A32" s="8" t="s">
        <v>53</v>
      </c>
      <c r="B32" s="44"/>
      <c r="C32" s="42"/>
    </row>
    <row r="33" spans="1:3" x14ac:dyDescent="0.25">
      <c r="A33" s="8" t="s">
        <v>54</v>
      </c>
      <c r="B33" s="44"/>
      <c r="C33" s="42"/>
    </row>
    <row r="34" spans="1:3" x14ac:dyDescent="0.25">
      <c r="A34" s="8" t="s">
        <v>55</v>
      </c>
      <c r="B34" s="44"/>
      <c r="C34" s="42"/>
    </row>
    <row r="35" spans="1:3" x14ac:dyDescent="0.25">
      <c r="A35" s="8" t="s">
        <v>56</v>
      </c>
      <c r="B35" s="44"/>
      <c r="C35" s="42"/>
    </row>
    <row r="36" spans="1:3" x14ac:dyDescent="0.25">
      <c r="A36" s="8" t="s">
        <v>57</v>
      </c>
      <c r="B36" s="44"/>
      <c r="C36" s="42"/>
    </row>
    <row r="37" spans="1:3" x14ac:dyDescent="0.25">
      <c r="A37" s="8" t="s">
        <v>58</v>
      </c>
      <c r="B37" s="44"/>
      <c r="C37" s="42"/>
    </row>
    <row r="38" spans="1:3" x14ac:dyDescent="0.25">
      <c r="A38" s="8" t="s">
        <v>59</v>
      </c>
      <c r="B38" s="44"/>
      <c r="C38" s="42"/>
    </row>
    <row r="39" spans="1:3" x14ac:dyDescent="0.25">
      <c r="A39" s="42" t="s">
        <v>60</v>
      </c>
      <c r="B39" s="44"/>
      <c r="C39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Full-Delivery</vt:lpstr>
      <vt:lpstr>Progress</vt:lpstr>
      <vt:lpstr>Designs</vt:lpstr>
      <vt:lpstr>Sprint 30</vt:lpstr>
      <vt:lpstr>Sprint 31</vt:lpstr>
      <vt:lpstr>Sprint 32</vt:lpstr>
      <vt:lpstr>Sprint 33</vt:lpstr>
      <vt:lpstr>Sprint 34</vt:lpstr>
      <vt:lpstr>Sprint 35</vt:lpstr>
      <vt:lpstr>Sprint 36</vt:lpstr>
      <vt:lpstr>Sprint 37</vt:lpstr>
      <vt:lpstr>Sprint 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2025-10-30T12:37:37Z</dcterms:created>
  <dcterms:modified xsi:type="dcterms:W3CDTF">2025-11-20T20:01:42Z</dcterms:modified>
</cp:coreProperties>
</file>