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 activeTab="1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<sst xmlns="http://schemas.openxmlformats.org/spreadsheetml/2006/main" count="544" uniqueCount="237">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</sst>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F21" sqref="F21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10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57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10</v>
      </c>
      <c r="G9" s="9" t="s">
        <v>1</v>
      </c>
      <c r="H9" s="9"/>
      <c r="I9" s="9"/>
      <c r="J9" s="9"/>
      <c r="K9" s="9"/>
      <c r="L9" s="9"/>
      <c r="M9" s="9">
        <f t="shared" si="1"/>
        <v>45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15</v>
      </c>
      <c r="G15" s="9"/>
      <c r="H15" s="9"/>
      <c r="I15" s="9"/>
      <c r="J15" s="9"/>
      <c r="K15" s="9"/>
      <c r="L15" s="9"/>
      <c r="M15" s="9">
        <f t="shared" si="1"/>
        <v>43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9</v>
      </c>
      <c r="G20" s="9"/>
      <c r="H20" s="9"/>
      <c r="I20" s="9"/>
      <c r="J20" s="9"/>
      <c r="K20" s="9"/>
      <c r="L20" s="9"/>
      <c r="M20" s="9">
        <f t="shared" si="1"/>
        <v>9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15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41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239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26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572</v>
      </c>
    </row>
    <row r="55" ht="15" customHeight="1" spans="1:2" x14ac:dyDescent="0.25">
      <c r="A55" t="s">
        <v>75</v>
      </c>
      <c r="B55">
        <f>SUM(M27:M41)</f>
        <v>540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1597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15" s="47" customFormat="1" x14ac:dyDescent="0.25">
      <c r="A24" s="47" t="s">
        <v>69</v>
      </c>
      <c r="B24" s="47">
        <v>19</v>
      </c>
      <c r="C24" s="47">
        <v>26</v>
      </c>
      <c r="D24" s="47">
        <v>3</v>
      </c>
      <c r="E24" s="47">
        <v>0</v>
      </c>
      <c r="F24" s="47">
        <v>9</v>
      </c>
      <c r="G24" s="47">
        <v>19</v>
      </c>
      <c r="H24" s="47">
        <v>26</v>
      </c>
      <c r="I24" s="47">
        <v>8</v>
      </c>
      <c r="J24" s="47">
        <v>7</v>
      </c>
      <c r="K24" s="47">
        <v>1</v>
      </c>
      <c r="L24" s="47">
        <v>0</v>
      </c>
      <c r="M24" s="47">
        <v>13</v>
      </c>
      <c r="N24" s="47">
        <v>8</v>
      </c>
      <c r="O24" s="47">
        <v>15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1.5</v>
      </c>
      <c r="C8">
        <v>1.5</v>
      </c>
      <c r="F8">
        <v>1.5</v>
      </c>
      <c r="G8">
        <v>1.5</v>
      </c>
      <c r="H8">
        <v>1.5</v>
      </c>
      <c r="I8">
        <v>1.5</v>
      </c>
      <c r="J8">
        <v>1.5</v>
      </c>
      <c r="M8">
        <v>1.5</v>
      </c>
      <c r="N8">
        <v>1.5</v>
      </c>
      <c r="O8">
        <v>1.5</v>
      </c>
    </row>
    <row r="9" spans="1:15" x14ac:dyDescent="0.25">
      <c r="A9" t="s">
        <v>37</v>
      </c>
      <c r="B9">
        <v>0.9</v>
      </c>
      <c r="C9">
        <v>0.9</v>
      </c>
      <c r="F9">
        <v>0.9</v>
      </c>
      <c r="G9">
        <v>0.9</v>
      </c>
      <c r="H9">
        <v>0.9</v>
      </c>
      <c r="I9">
        <v>0.9</v>
      </c>
      <c r="J9">
        <v>0.9</v>
      </c>
      <c r="M9">
        <v>0.9</v>
      </c>
      <c r="N9">
        <v>0.9</v>
      </c>
      <c r="O9">
        <v>0.9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1.5</v>
      </c>
      <c r="C12">
        <v>1.5</v>
      </c>
      <c r="F12">
        <v>1.5</v>
      </c>
      <c r="G12">
        <v>1.5</v>
      </c>
      <c r="H12">
        <v>1.5</v>
      </c>
      <c r="I12">
        <v>1.5</v>
      </c>
      <c r="J12">
        <v>1.5</v>
      </c>
      <c r="M12">
        <v>1.5</v>
      </c>
      <c r="N12">
        <v>1.5</v>
      </c>
      <c r="O12">
        <v>1.5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23.9</v>
      </c>
      <c r="C18" s="46">
        <v>23.9</v>
      </c>
      <c r="D18" s="46"/>
      <c r="E18" s="46"/>
      <c r="F18" s="46">
        <v>23.9</v>
      </c>
      <c r="G18" s="46">
        <v>23.9</v>
      </c>
      <c r="H18" s="46">
        <v>23.9</v>
      </c>
      <c r="I18" s="46">
        <v>23.9</v>
      </c>
      <c r="J18" s="46">
        <v>23.9</v>
      </c>
      <c r="K18" s="46"/>
      <c r="L18" s="46"/>
      <c r="M18" s="46">
        <v>23.9</v>
      </c>
      <c r="N18" s="46">
        <v>23.9</v>
      </c>
      <c r="O18" s="46">
        <v>23.9</v>
      </c>
    </row>
    <row r="19" spans="1:15" s="47" customFormat="1" x14ac:dyDescent="0.25">
      <c r="A19" s="47" t="s">
        <v>69</v>
      </c>
      <c r="B19" s="47">
        <v>31</v>
      </c>
      <c r="C19" s="47">
        <v>10</v>
      </c>
      <c r="D19" s="47">
        <v>0</v>
      </c>
      <c r="E19" s="47">
        <v>0</v>
      </c>
      <c r="F19" s="47">
        <v>4</v>
      </c>
      <c r="G19" s="47">
        <v>18</v>
      </c>
      <c r="H19" s="47">
        <v>14</v>
      </c>
      <c r="I19" s="47">
        <v>18</v>
      </c>
      <c r="J19" s="47">
        <v>28</v>
      </c>
      <c r="K19" s="47">
        <v>0</v>
      </c>
      <c r="L19" s="47">
        <v>0</v>
      </c>
      <c r="M19" s="47">
        <v>22.5</v>
      </c>
      <c r="N19" s="47">
        <v>27</v>
      </c>
      <c r="O19" s="47">
        <v>20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9" s="47" customFormat="1" x14ac:dyDescent="0.25">
      <c r="A18" s="47" t="s">
        <v>69</v>
      </c>
      <c r="B18" s="47">
        <v>31.5</v>
      </c>
      <c r="C18" s="47">
        <v>27</v>
      </c>
      <c r="D18" s="47">
        <v>3</v>
      </c>
      <c r="E18" s="47">
        <v>0</v>
      </c>
      <c r="F18" s="47">
        <v>19</v>
      </c>
      <c r="G18" s="47">
        <v>9</v>
      </c>
      <c r="H18" s="47">
        <v>11</v>
      </c>
      <c r="I18" s="47">
        <v>19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B7" sqref="B7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12</v>
      </c>
      <c r="Q2" s="40">
        <v>16.7</v>
      </c>
      <c r="R2" s="40"/>
      <c r="S2" s="40"/>
      <c r="T2" s="40">
        <v>23.9</v>
      </c>
      <c r="U2" s="40">
        <v>28.7</v>
      </c>
      <c r="V2" s="40">
        <v>31.1</v>
      </c>
      <c r="W2" s="40">
        <v>45.4</v>
      </c>
      <c r="X2" s="40">
        <v>28.7</v>
      </c>
      <c r="Y2" s="40"/>
      <c r="Z2" s="40"/>
      <c r="AA2" s="40">
        <v>23.9</v>
      </c>
      <c r="AB2" s="40">
        <v>16.7</v>
      </c>
      <c r="AC2" s="40">
        <v>12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19</v>
      </c>
      <c r="C3" s="9">
        <v>26</v>
      </c>
      <c r="D3" s="9">
        <v>3</v>
      </c>
      <c r="E3" s="9">
        <v>0</v>
      </c>
      <c r="F3" s="9">
        <v>9</v>
      </c>
      <c r="G3" s="9">
        <v>19</v>
      </c>
      <c r="H3" s="9">
        <v>26</v>
      </c>
      <c r="I3" s="9">
        <v>8</v>
      </c>
      <c r="J3" s="9">
        <v>7</v>
      </c>
      <c r="K3" s="9">
        <v>1</v>
      </c>
      <c r="L3" s="9">
        <v>0</v>
      </c>
      <c r="M3" s="9">
        <v>13</v>
      </c>
      <c r="N3" s="9">
        <v>8</v>
      </c>
      <c r="O3" s="9">
        <v>15</v>
      </c>
      <c r="P3" s="9">
        <v>33</v>
      </c>
      <c r="Q3" s="9">
        <v>10</v>
      </c>
      <c r="R3" s="9">
        <v>0</v>
      </c>
      <c r="S3" s="9">
        <v>0</v>
      </c>
      <c r="T3" s="9">
        <v>4</v>
      </c>
      <c r="U3" s="9">
        <v>18</v>
      </c>
      <c r="V3" s="9">
        <v>14</v>
      </c>
      <c r="W3" s="9">
        <v>18</v>
      </c>
      <c r="X3" s="9">
        <v>26</v>
      </c>
      <c r="Y3" s="9">
        <v>0</v>
      </c>
      <c r="Z3" s="9">
        <v>0</v>
      </c>
      <c r="AA3" s="9">
        <v>22.5</v>
      </c>
      <c r="AB3" s="9">
        <v>22</v>
      </c>
      <c r="AC3" s="9">
        <v>20</v>
      </c>
      <c r="AD3" s="9">
        <v>31.5</v>
      </c>
      <c r="AE3" s="9">
        <v>27</v>
      </c>
      <c r="AF3" s="9">
        <v>3</v>
      </c>
      <c r="AG3" s="9">
        <v>0</v>
      </c>
      <c r="AH3" s="9">
        <v>19</v>
      </c>
      <c r="AI3" s="9">
        <v>9</v>
      </c>
      <c r="AJ3" s="9">
        <v>9</v>
      </c>
      <c r="AK3" s="9">
        <v>21</v>
      </c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262</v>
      </c>
      <c r="Q4" s="42">
        <v>278.7</v>
      </c>
      <c r="R4" s="42">
        <v>278.7</v>
      </c>
      <c r="S4" s="42">
        <v>278.7</v>
      </c>
      <c r="T4" s="42">
        <v>302.6</v>
      </c>
      <c r="U4" s="42">
        <v>331.3</v>
      </c>
      <c r="V4" s="42">
        <v>362.4</v>
      </c>
      <c r="W4" s="42">
        <v>407.8</v>
      </c>
      <c r="X4" s="42">
        <v>436.5</v>
      </c>
      <c r="Y4" s="42">
        <v>436.5</v>
      </c>
      <c r="Z4" s="42">
        <v>436.5</v>
      </c>
      <c r="AA4" s="42">
        <v>460.4</v>
      </c>
      <c r="AB4" s="42">
        <v>477.1</v>
      </c>
      <c r="AC4" s="42">
        <v>489.1</v>
      </c>
      <c r="AD4" s="42">
        <v>501.5</v>
      </c>
      <c r="AE4" s="42">
        <v>518.9</v>
      </c>
      <c r="AF4" s="42">
        <v>518.9</v>
      </c>
      <c r="AG4" s="42">
        <v>518.9</v>
      </c>
      <c r="AH4" s="42">
        <v>543.7</v>
      </c>
      <c r="AI4" s="42">
        <v>573.5</v>
      </c>
      <c r="AJ4" s="42">
        <v>605.7</v>
      </c>
      <c r="AK4" s="42">
        <v>652.8</v>
      </c>
      <c r="AL4" s="42">
        <v>682.6</v>
      </c>
      <c r="AM4" s="42">
        <v>682.6</v>
      </c>
      <c r="AN4" s="42">
        <v>682.6</v>
      </c>
      <c r="AO4" s="42">
        <v>707.4</v>
      </c>
      <c r="AP4" s="42">
        <v>724.8</v>
      </c>
      <c r="AQ4" s="42">
        <v>737.2</v>
      </c>
      <c r="AR4" s="42">
        <v>745.9</v>
      </c>
    </row>
    <row r="5" spans="1:44" x14ac:dyDescent="0.25">
      <c r="A5" s="41" t="s">
        <v>84</v>
      </c>
      <c r="B5" s="9">
        <f>SUM($B$3:B$3)</f>
      </c>
      <c r="C5" s="9">
        <f>SUM($B$3:C$3)</f>
      </c>
      <c r="D5" s="9">
        <f>SUM($B$3:D$3)</f>
      </c>
      <c r="E5" s="9">
        <f>SUM($B$3:E$3)</f>
      </c>
      <c r="F5" s="9">
        <f>SUM($B$3:F$3)</f>
      </c>
      <c r="G5" s="9">
        <f>SUM($B$3:G$3)</f>
      </c>
      <c r="H5" s="9">
        <f>SUM($B$3:H$3)</f>
      </c>
      <c r="I5" s="9">
        <f>SUM($B$3:I$3)</f>
      </c>
      <c r="J5" s="9">
        <f>SUM($B$3:J$3)</f>
      </c>
      <c r="K5" s="9">
        <f>SUM($B$3:K$3)</f>
      </c>
      <c r="L5" s="9">
        <f>SUM($B$3:L$3)</f>
      </c>
      <c r="M5" s="9">
        <f>SUM($B$3:M$3)</f>
      </c>
      <c r="N5" s="9">
        <f>SUM($B$3:N$3)</f>
      </c>
      <c r="O5" s="9">
        <f>SUM($B$3:O$3)</f>
      </c>
      <c r="P5" s="42">
        <f>SUM($B$3:P$3)</f>
      </c>
      <c r="Q5" s="42">
        <f>SUM($B$3:Q$3)</f>
      </c>
      <c r="R5" s="42">
        <f>SUM($B$3:R$3)</f>
      </c>
      <c r="S5" s="42">
        <f>SUM($B$3:S$3)</f>
      </c>
      <c r="T5" s="42">
        <f>SUM($B$3:T$3)</f>
      </c>
      <c r="U5" s="42">
        <f>SUM($B$3:U$3)</f>
      </c>
      <c r="V5" s="42">
        <f>SUM($B$3:V$3)</f>
      </c>
      <c r="W5" s="42">
        <f>SUM($B$3:W$3)</f>
      </c>
      <c r="X5" s="42">
        <f>SUM($B$3:X$3)</f>
      </c>
      <c r="Y5" s="42">
        <f>SUM($B$3:Y$3)</f>
      </c>
      <c r="Z5" s="42">
        <f>SUM($B$3:Z$3)</f>
      </c>
      <c r="AA5" s="42">
        <f>SUM($B$3:[$3)</f>
      </c>
      <c r="AB5" s="42">
        <f>SUM($B$3:\$3)</f>
      </c>
      <c r="AC5" s="42">
        <f>SUM($B$3:]$3)</f>
      </c>
      <c r="AD5" s="42">
        <f>SUM($B$3:^$3)</f>
      </c>
      <c r="AE5" s="42">
        <f>SUM($B$3:_$3)</f>
      </c>
      <c r="AF5" s="42">
        <f>SUM($B$3:`$3)</f>
      </c>
      <c r="AG5" s="42">
        <f>SUM($B$3:a$3)</f>
      </c>
      <c r="AH5" s="42">
        <f>SUM($B$3:b$3)</f>
      </c>
      <c r="AI5" s="42">
        <f>SUM($B$3:c$3)</f>
      </c>
      <c r="AJ5" s="42">
        <f>SUM($B$3:d$3)</f>
      </c>
      <c r="AK5" s="42">
        <f>SUM($B$3:e$3)</f>
      </c>
      <c r="AL5" s="42">
        <v>374.5</v>
      </c>
      <c r="AM5" s="42">
        <v>374.5</v>
      </c>
      <c r="AN5" s="42">
        <v>374.5</v>
      </c>
      <c r="AO5" s="42">
        <v>374.5</v>
      </c>
      <c r="AP5" s="42">
        <v>374.5</v>
      </c>
      <c r="AQ5" s="42">
        <v>374.5</v>
      </c>
      <c r="AR5" s="42">
        <v>374.5</v>
      </c>
    </row>
    <row r="6" spans="1:44" x14ac:dyDescent="0.25">
      <c r="A6" s="41" t="s">
        <v>85</v>
      </c>
      <c r="B6" s="9">
        <f>B$4-B$5</f>
      </c>
      <c r="C6" s="9">
        <f>C$4-C$5</f>
      </c>
      <c r="D6" s="9">
        <f>D$4-D$5</f>
      </c>
      <c r="E6" s="9">
        <f>E$4-E$5</f>
      </c>
      <c r="F6" s="9">
        <f>F$4-F$5</f>
      </c>
      <c r="G6" s="9">
        <f>G$4-G$5</f>
      </c>
      <c r="H6" s="9">
        <f>H$4-H$5</f>
      </c>
      <c r="I6" s="9">
        <f>I$4-I$5</f>
      </c>
      <c r="J6" s="9">
        <f>J$4-J$5</f>
      </c>
      <c r="K6" s="9">
        <f>K$4-K$5</f>
      </c>
      <c r="L6" s="9">
        <f>L$4-L$5</f>
      </c>
      <c r="M6" s="9">
        <f>M$4-M$5</f>
      </c>
      <c r="N6" s="9">
        <f>N$4-N$5</f>
      </c>
      <c r="O6" s="9">
        <f>O$4-O$5</f>
      </c>
      <c r="P6" s="42">
        <f>P$4-P$5</f>
      </c>
      <c r="Q6" s="42">
        <f>Q$4-Q$5</f>
      </c>
      <c r="R6" s="42">
        <f>R$4-R$5</f>
      </c>
      <c r="S6" s="42">
        <f>S$4-S$5</f>
      </c>
      <c r="T6" s="42">
        <f>T$4-T$5</f>
      </c>
      <c r="U6" s="42">
        <f>U$4-U$5</f>
      </c>
      <c r="V6" s="42">
        <f>V$4-V$5</f>
      </c>
      <c r="W6" s="42">
        <f>W$4-W$5</f>
      </c>
      <c r="X6" s="42">
        <f>X$4-X$5</f>
      </c>
      <c r="Y6" s="42">
        <f>Y$4-Y$5</f>
      </c>
      <c r="Z6" s="42">
        <f>Z$4-Z$5</f>
      </c>
      <c r="AA6" s="42">
        <f>[$4-[$5</f>
      </c>
      <c r="AB6" s="42">
        <f>\$4-\$5</f>
      </c>
      <c r="AC6" s="42">
        <f>]$4-]$5</f>
      </c>
      <c r="AD6" s="42">
        <f>^$4-^$5</f>
      </c>
      <c r="AE6" s="42">
        <f>_$4-_$5</f>
      </c>
      <c r="AF6" s="42">
        <f>`$4-`$5</f>
      </c>
      <c r="AG6" s="42">
        <f>a$4-a$5</f>
      </c>
      <c r="AH6" s="42">
        <f>b$4-b$5</f>
      </c>
      <c r="AI6" s="42">
        <f>c$4-c$5</f>
      </c>
      <c r="AJ6" s="42">
        <f>d$4-d$5</f>
      </c>
      <c r="AK6" s="42">
        <f>e$4-e$5</f>
      </c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718</v>
      </c>
      <c r="C7" s="9">
        <v>692</v>
      </c>
      <c r="D7" s="9">
        <v>689</v>
      </c>
      <c r="E7" s="9">
        <v>689</v>
      </c>
      <c r="F7" s="9">
        <v>680</v>
      </c>
      <c r="G7" s="9">
        <v>661</v>
      </c>
      <c r="H7" s="9">
        <v>635</v>
      </c>
      <c r="I7" s="9">
        <v>627</v>
      </c>
      <c r="J7" s="9">
        <v>620</v>
      </c>
      <c r="K7" s="9">
        <v>619</v>
      </c>
      <c r="L7" s="9">
        <v>619</v>
      </c>
      <c r="M7" s="9">
        <v>606</v>
      </c>
      <c r="N7" s="9">
        <v>598</v>
      </c>
      <c r="O7" s="9">
        <v>583</v>
      </c>
      <c r="P7" s="42">
        <v>550</v>
      </c>
      <c r="Q7" s="42">
        <v>540</v>
      </c>
      <c r="R7" s="42">
        <v>540</v>
      </c>
      <c r="S7" s="42">
        <v>540</v>
      </c>
      <c r="T7" s="42">
        <v>536</v>
      </c>
      <c r="U7" s="42">
        <v>518</v>
      </c>
      <c r="V7" s="42">
        <v>504</v>
      </c>
      <c r="W7" s="42">
        <v>486</v>
      </c>
      <c r="X7" s="42">
        <v>458</v>
      </c>
      <c r="Y7" s="42">
        <v>458</v>
      </c>
      <c r="Z7" s="42">
        <v>458</v>
      </c>
      <c r="AA7" s="42">
        <v>435.5</v>
      </c>
      <c r="AB7" s="42">
        <v>408.5</v>
      </c>
      <c r="AC7" s="42">
        <v>388.5</v>
      </c>
      <c r="AD7" s="42">
        <v>362.5</v>
      </c>
      <c r="AE7" s="42">
        <v>362.5</v>
      </c>
      <c r="AF7" s="42">
        <v>362.5</v>
      </c>
      <c r="AG7" s="42">
        <v>362.5</v>
      </c>
      <c r="AH7" s="42">
        <v>362.5</v>
      </c>
      <c r="AI7" s="42">
        <v>362.5</v>
      </c>
      <c r="AJ7" s="42">
        <v>362.5</v>
      </c>
      <c r="AK7" s="42">
        <v>362.5</v>
      </c>
      <c r="AL7" s="42">
        <v>362.5</v>
      </c>
      <c r="AM7" s="42">
        <v>362.5</v>
      </c>
      <c r="AN7" s="42">
        <v>362.5</v>
      </c>
      <c r="AO7" s="42">
        <v>362.5</v>
      </c>
      <c r="AP7" s="42">
        <v>362.5</v>
      </c>
      <c r="AQ7" s="42">
        <v>362.5</v>
      </c>
      <c r="AR7" s="42">
        <v>362.5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2025-11-20T20:01:42Z</dcterms:modified>
</cp:coreProperties>
</file>