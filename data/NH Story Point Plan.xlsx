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0240" windowHeight="18960"/>
  </bookViews>
  <sheets>
    <sheet sheetId="1" name="Full-Delivery" state="visible" r:id="rId4"/>
    <sheet sheetId="11" name="Progress" state="visible" r:id="rId5"/>
    <sheet sheetId="12" name="Designs" state="visible" r:id="rId6"/>
    <sheet sheetId="2" name="Sprint 30" state="visible" r:id="rId7"/>
    <sheet sheetId="3" name="Sprint 31" state="visible" r:id="rId8"/>
    <sheet sheetId="4" name="Sprint 32" state="visible" r:id="rId9"/>
    <sheet sheetId="5" name="Sprint 33" state="visible" r:id="rId10"/>
    <sheet sheetId="6" name="Sprint 34" state="visible" r:id="rId11"/>
    <sheet sheetId="7" name="Sprint 35" state="visible" r:id="rId12"/>
    <sheet sheetId="8" name="Sprint 36" state="visible" r:id="rId13"/>
    <sheet sheetId="9" name="Sprint 37" state="visible" r:id="rId14"/>
    <sheet sheetId="10" name="Sprint 38" state="visible" r:id="rId15"/>
  </sheets>
  <definedNames>
    <definedName name="_xlnm._FilterDatabase">'Full-Delivery'!$A$1:$L$59</definedName>
  </definedNames>
  <calcPr calcId="171027"/>
</workbook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<sst xmlns="http://schemas.openxmlformats.org/spreadsheetml/2006/main" count="544" uniqueCount="237">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</sst>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b/>
      <color rgb="FFFFFFFF"/>
      <family val="2"/>
      <sz val="11"/>
      <name val="Calibri"/>
    </font>
    <font>
      <b/>
      <color rgb="FFFFFFFF"/>
    </font>
    <font>
      <b/>
    </font>
    <font>
      <b/>
      <color rgb="FF0000FF"/>
    </font>
  </fonts>
  <fills count="13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"/>
  <sheetViews>
    <sheetView workbookViewId="0" zoomScale="134" zoomScaleNormal="120">
      <selection activeCell="B50" sqref="B50"/>
    </sheetView>
  </sheetViews>
  <sheetFormatPr defaultRowHeight="0" outlineLevelRow="0" outlineLevelCol="0" x14ac:dyDescent="0.2" defaultColWidth="8.83203125" customHeight="1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ht="15" customHeight="1" spans="1:13" x14ac:dyDescent="0.25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15" customHeight="1" spans="1:13" x14ac:dyDescent="0.25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ht="15" customHeight="1" spans="1:13" x14ac:dyDescent="0.25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ht="15" customHeight="1" spans="1:13" x14ac:dyDescent="0.25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ht="15" customHeight="1" spans="1:13" x14ac:dyDescent="0.25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ht="15" customHeight="1" spans="1:13" x14ac:dyDescent="0.25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ht="15" customHeight="1" spans="1:13" x14ac:dyDescent="0.25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20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67</v>
      </c>
    </row>
    <row r="8" ht="15" customHeight="1" spans="1:13" x14ac:dyDescent="0.25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ht="15" customHeight="1" spans="1:13" x14ac:dyDescent="0.25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20</v>
      </c>
      <c r="G9" s="9" t="s">
        <v>1</v>
      </c>
      <c r="H9" s="9"/>
      <c r="I9" s="9"/>
      <c r="J9" s="9"/>
      <c r="K9" s="9"/>
      <c r="L9" s="9"/>
      <c r="M9" s="9">
        <f t="shared" si="1"/>
        <v>55</v>
      </c>
    </row>
    <row r="10" ht="15" customHeight="1" spans="1:13" x14ac:dyDescent="0.25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ht="15" customHeight="1" spans="1:13" x14ac:dyDescent="0.25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ht="15" customHeight="1" spans="1:13" x14ac:dyDescent="0.25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ht="15" customHeight="1" spans="1:13" x14ac:dyDescent="0.25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ht="15" customHeight="1" spans="1:13" x14ac:dyDescent="0.25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ht="15" customHeight="1" spans="1:13" x14ac:dyDescent="0.25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20</v>
      </c>
      <c r="G15" s="9"/>
      <c r="H15" s="9"/>
      <c r="I15" s="9"/>
      <c r="J15" s="9"/>
      <c r="K15" s="9"/>
      <c r="L15" s="9"/>
      <c r="M15" s="9">
        <f t="shared" si="1"/>
        <v>48</v>
      </c>
    </row>
    <row r="16" ht="15" customHeight="1" spans="1:13" x14ac:dyDescent="0.25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ht="15" customHeight="1" spans="1:13" x14ac:dyDescent="0.25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ht="15" customHeight="1" spans="1:13" x14ac:dyDescent="0.25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ht="15" customHeight="1" spans="1:13" x14ac:dyDescent="0.25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ht="15" customHeight="1" spans="1:13" x14ac:dyDescent="0.25">
      <c r="A20" s="8" t="s">
        <v>37</v>
      </c>
      <c r="B20" s="8" t="s">
        <v>28</v>
      </c>
      <c r="C20" s="9" t="s">
        <v>17</v>
      </c>
      <c r="D20" s="9"/>
      <c r="E20" s="9"/>
      <c r="F20" s="9">
        <v>11</v>
      </c>
      <c r="G20" s="9"/>
      <c r="H20" s="9"/>
      <c r="I20" s="9"/>
      <c r="J20" s="9"/>
      <c r="K20" s="9"/>
      <c r="L20" s="9"/>
      <c r="M20" s="9">
        <f t="shared" si="1"/>
        <v>11</v>
      </c>
    </row>
    <row r="21" ht="15" customHeight="1" spans="1:13" x14ac:dyDescent="0.25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ht="15" customHeight="1" spans="1:13" x14ac:dyDescent="0.25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ht="15" customHeight="1" spans="1:13" x14ac:dyDescent="0.25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ht="15" customHeight="1" spans="1:13" x14ac:dyDescent="0.25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ht="15" customHeight="1" spans="1:13" x14ac:dyDescent="0.25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ht="15" customHeight="1" spans="1:13" x14ac:dyDescent="0.25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ht="15" customHeight="1" spans="1:13" x14ac:dyDescent="0.25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ht="15" customHeight="1" spans="1:13" x14ac:dyDescent="0.25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ht="15" customHeight="1" spans="1:13" x14ac:dyDescent="0.25">
      <c r="A29" s="8" t="s">
        <v>48</v>
      </c>
      <c r="B29" s="8" t="s">
        <v>22</v>
      </c>
      <c r="C29" s="9" t="s">
        <v>46</v>
      </c>
      <c r="D29" s="9"/>
      <c r="E29" s="9"/>
      <c r="F29" s="9">
        <v>20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46</v>
      </c>
    </row>
    <row r="30" ht="15" customHeight="1" spans="1:13" x14ac:dyDescent="0.25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ht="15" customHeight="1" spans="1:13" x14ac:dyDescent="0.25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ht="15" customHeight="1" spans="1:13" x14ac:dyDescent="0.25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ht="15" customHeight="1" spans="1:13" x14ac:dyDescent="0.25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ht="15" customHeight="1" spans="1:13" x14ac:dyDescent="0.25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ht="15" customHeight="1" spans="1:13" x14ac:dyDescent="0.25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ht="15" customHeight="1" spans="1:13" x14ac:dyDescent="0.25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ht="15" customHeight="1" spans="1:13" x14ac:dyDescent="0.25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ht="15" customHeight="1" spans="1:13" x14ac:dyDescent="0.25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ht="15" customHeight="1" spans="1:13" x14ac:dyDescent="0.25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ht="15" customHeight="1" spans="1:13" x14ac:dyDescent="0.25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ht="15" customHeight="1" spans="1:13" x14ac:dyDescent="0.25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ht="15" customHeight="1" spans="1:13" x14ac:dyDescent="0.25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ht="15" customHeight="1" spans="1:13" x14ac:dyDescent="0.25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ht="15" customHeight="1" spans="1:13" x14ac:dyDescent="0.25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ht="15" customHeight="1" spans="1:13" x14ac:dyDescent="0.25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ht="15" customHeight="1" spans="1:13" x14ac:dyDescent="0.25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ht="13" customHeight="1" spans="1:13" x14ac:dyDescent="0.25"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f t="shared" si="1"/>
        <v>0</v>
      </c>
    </row>
    <row r="48" ht="18" customHeight="1" spans="1:13" x14ac:dyDescent="0.25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271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ht="22" customHeight="1" spans="1:5" x14ac:dyDescent="0.25">
      <c r="A49" t="s">
        <v>68</v>
      </c>
      <c r="B49" s="29">
        <v>22</v>
      </c>
      <c r="C49" s="1"/>
      <c r="D49" s="1"/>
      <c r="E49" s="9" t="s">
        <v>1</v>
      </c>
    </row>
    <row r="50" ht="21" customHeight="1" spans="1:13" x14ac:dyDescent="0.25">
      <c r="A50" s="32" t="s">
        <v>69</v>
      </c>
      <c r="B50" s="32" t="s">
        <v>70</v>
      </c>
      <c r="C50" s="33"/>
      <c r="D50" s="34">
        <f>D44+D45+D52</f>
        <v>215</v>
      </c>
      <c r="E50" s="33">
        <v>68</v>
      </c>
      <c r="F50" s="33"/>
      <c r="G50" s="33"/>
      <c r="H50" s="33"/>
      <c r="I50" s="33"/>
      <c r="J50" s="33"/>
      <c r="K50" s="33"/>
      <c r="L50" s="33"/>
      <c r="M50" s="33"/>
    </row>
    <row r="51" ht="21" customHeight="1" spans="1:13" x14ac:dyDescent="0.25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ht="26" customHeight="1" spans="1:4" x14ac:dyDescent="0.25">
      <c r="A52" t="s">
        <v>72</v>
      </c>
      <c r="C52" s="1"/>
      <c r="D52" s="1">
        <v>115</v>
      </c>
    </row>
    <row r="53" ht="15" customHeight="1" spans="1:8" x14ac:dyDescent="0.25">
      <c r="C53" s="1"/>
      <c r="D53" s="1"/>
      <c r="E53" s="1"/>
      <c r="F53" s="1"/>
      <c r="G53" s="1"/>
      <c r="H53" s="1" t="s">
        <v>73</v>
      </c>
    </row>
    <row r="54" ht="15" customHeight="1" spans="1:2" x14ac:dyDescent="0.25">
      <c r="A54" t="s">
        <v>74</v>
      </c>
      <c r="B54">
        <f>SUM(M3:M26)</f>
        <v>599</v>
      </c>
    </row>
    <row r="55" ht="15" customHeight="1" spans="1:2" x14ac:dyDescent="0.25">
      <c r="A55" t="s">
        <v>75</v>
      </c>
      <c r="B55">
        <f>SUM(M27:M41)</f>
        <v>545</v>
      </c>
    </row>
    <row r="56" ht="15" customHeight="1" spans="1:2" x14ac:dyDescent="0.25">
      <c r="A56" t="s">
        <v>76</v>
      </c>
      <c r="B56">
        <f>M45</f>
        <v>245</v>
      </c>
    </row>
    <row r="57" ht="15" customHeight="1" spans="1:2" x14ac:dyDescent="0.25">
      <c r="A57" t="s">
        <v>77</v>
      </c>
      <c r="B57">
        <f>SUM(M42:M43)</f>
        <v>100</v>
      </c>
    </row>
    <row r="58" ht="15" customHeight="1" spans="1:2" x14ac:dyDescent="0.25">
      <c r="A58" t="s">
        <v>78</v>
      </c>
      <c r="B58">
        <f>M46</f>
        <v>140</v>
      </c>
    </row>
    <row r="59" ht="15" customHeight="1" spans="1:2" x14ac:dyDescent="0.25">
      <c r="A59" t="s">
        <v>79</v>
      </c>
      <c r="B59">
        <f>SUM(B54:B58)</f>
        <v>1629</v>
      </c>
    </row>
  </sheetData>
  <autoFilter ref="A1:L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5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5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5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5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5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5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5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5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5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5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5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5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5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5">
      <c r="A17" s="46" t="s">
        <v>101</v>
      </c>
      <c r="B17" s="46">
        <v>26.999999999999996</v>
      </c>
      <c r="C17" s="46">
        <v>26.999999999999996</v>
      </c>
      <c r="D17" s="46"/>
      <c r="E17" s="46"/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K17" s="46"/>
      <c r="L17" s="46"/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5">
      <c r="A18" s="47" t="s">
        <v>69</v>
      </c>
      <c r="B18" s="47">
        <v>21.5</v>
      </c>
      <c r="C18" s="47">
        <v>21.5</v>
      </c>
      <c r="D18" s="47"/>
      <c r="E18" s="47"/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K18" s="47"/>
      <c r="L18" s="47"/>
      <c r="M18" s="47">
        <v>21.5</v>
      </c>
      <c r="N18" s="47">
        <v>21.5</v>
      </c>
      <c r="O18" s="47">
        <v>21.5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105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5">
      <c r="A2" t="s">
        <v>15</v>
      </c>
      <c r="B2">
        <v>1.1</v>
      </c>
      <c r="C2">
        <v>1.1</v>
      </c>
      <c r="F2">
        <v>1.1</v>
      </c>
      <c r="G2">
        <v>1.1</v>
      </c>
      <c r="H2">
        <v>1.1</v>
      </c>
      <c r="I2">
        <v>1.1</v>
      </c>
      <c r="J2">
        <v>1.1</v>
      </c>
      <c r="M2">
        <v>1.1</v>
      </c>
      <c r="N2">
        <v>1.1</v>
      </c>
      <c r="O2">
        <v>1.1</v>
      </c>
    </row>
    <row r="3" spans="1:15" x14ac:dyDescent="0.25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5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5">
      <c r="A10" t="s">
        <v>31</v>
      </c>
      <c r="B10">
        <v>1.1</v>
      </c>
      <c r="C10">
        <v>1.1</v>
      </c>
      <c r="F10">
        <v>1.1</v>
      </c>
      <c r="G10">
        <v>1.1</v>
      </c>
      <c r="H10">
        <v>1.1</v>
      </c>
      <c r="I10">
        <v>1.1</v>
      </c>
      <c r="J10">
        <v>1.1</v>
      </c>
      <c r="M10">
        <v>1.1</v>
      </c>
      <c r="N10">
        <v>1.1</v>
      </c>
      <c r="O10">
        <v>1.1</v>
      </c>
    </row>
    <row r="11" spans="1:15" x14ac:dyDescent="0.25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5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5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5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5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5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5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5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5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5">
      <c r="A23" s="46" t="s">
        <v>101</v>
      </c>
      <c r="B23" s="46">
        <v>25</v>
      </c>
      <c r="C23" s="46">
        <v>25</v>
      </c>
      <c r="D23" s="46"/>
      <c r="E23" s="46"/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K23" s="46"/>
      <c r="L23" s="46"/>
      <c r="M23" s="46">
        <v>25</v>
      </c>
      <c r="N23" s="46">
        <v>25</v>
      </c>
      <c r="O23" s="46">
        <v>25</v>
      </c>
    </row>
    <row r="24" spans="1:7" s="47" customFormat="1" x14ac:dyDescent="0.25">
      <c r="A24" s="47" t="s">
        <v>69</v>
      </c>
      <c r="B24" s="47">
        <v>17</v>
      </c>
      <c r="C24" s="47">
        <v>17</v>
      </c>
      <c r="D24" s="47"/>
      <c r="E24" s="47"/>
      <c r="F24" s="47">
        <v>17</v>
      </c>
      <c r="G24" s="47">
        <v>17</v>
      </c>
    </row>
    <row r="26" spans="1:15" s="48" customFormat="1" x14ac:dyDescent="0.25">
      <c r="A26" s="48" t="s">
        <v>102</v>
      </c>
      <c r="B26" s="48">
        <f>SUM($B$23:B$23)-SUM($B$24:B$24)</f>
      </c>
      <c r="C26" s="48">
        <f>SUM($B$23:C$23)-SUM($B$24:C$24)</f>
      </c>
      <c r="D26" s="48">
        <f>SUM($B$23:D$23)-SUM($B$24:D$24)</f>
      </c>
      <c r="E26" s="48">
        <f>SUM($B$23:E$23)-SUM($B$24:E$24)</f>
      </c>
      <c r="F26" s="48">
        <f>SUM($B$23:F$23)-SUM($B$24:F$24)</f>
      </c>
      <c r="G26" s="48">
        <f>SUM($B$23:G$23)-SUM($B$24:G$24)</f>
      </c>
      <c r="H26" s="48">
        <f>SUM($B$23:H$23)-SUM($B$24:H$24)</f>
      </c>
      <c r="I26" s="48">
        <f>SUM($B$23:I$23)-SUM($B$24:I$24)</f>
      </c>
      <c r="J26" s="48">
        <f>SUM($B$23:J$23)-SUM($B$24:J$24)</f>
      </c>
      <c r="K26" s="48">
        <f>SUM($B$23:K$23)-SUM($B$24:K$24)</f>
      </c>
      <c r="L26" s="48">
        <f>SUM($B$23:L$23)-SUM($B$24:L$24)</f>
      </c>
      <c r="M26" s="48">
        <f>SUM($B$23:M$23)-SUM($B$24:M$24)</f>
      </c>
      <c r="N26" s="48">
        <f>SUM($B$23:N$23)-SUM($B$24:N$24)</f>
      </c>
      <c r="O26" s="48">
        <f>SUM($B$23:O$23)-SUM($B$24:O$24)</f>
      </c>
    </row>
    <row r="28" spans="1:15" s="49" customFormat="1" x14ac:dyDescent="0.25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5">
      <c r="A29" t="s">
        <v>104</v>
      </c>
      <c r="B29">
        <f>B26</f>
      </c>
      <c r="C29">
        <f>C26</f>
      </c>
      <c r="D29">
        <f>D26</f>
      </c>
      <c r="E29">
        <f>E26</f>
      </c>
      <c r="F29">
        <f>F26</f>
      </c>
      <c r="G29">
        <f>G26</f>
      </c>
      <c r="H29">
        <f>H26</f>
      </c>
      <c r="I29">
        <f>I26</f>
      </c>
      <c r="J29">
        <f>J26</f>
      </c>
      <c r="K29">
        <f>K26</f>
      </c>
      <c r="L29">
        <f>L26</f>
      </c>
      <c r="M29">
        <f>M26</f>
      </c>
      <c r="N29">
        <f>N26</f>
      </c>
      <c r="O29">
        <f>O26</f>
      </c>
    </row>
    <row r="31" spans="1:1" s="50" customFormat="1" x14ac:dyDescent="0.25">
      <c r="A31" s="50" t="s">
        <v>123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5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5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25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32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37</v>
      </c>
      <c r="B9">
        <v>1.1</v>
      </c>
      <c r="C9">
        <v>1.1</v>
      </c>
      <c r="F9">
        <v>1.1</v>
      </c>
      <c r="G9">
        <v>1.1</v>
      </c>
      <c r="H9">
        <v>1.1</v>
      </c>
      <c r="I9">
        <v>1.1</v>
      </c>
      <c r="J9">
        <v>1.1</v>
      </c>
      <c r="M9">
        <v>1.1</v>
      </c>
      <c r="N9">
        <v>1.1</v>
      </c>
      <c r="O9">
        <v>1.1</v>
      </c>
    </row>
    <row r="10" spans="1:15" x14ac:dyDescent="0.25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48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5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5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5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5">
      <c r="A18" s="46" t="s">
        <v>101</v>
      </c>
      <c r="B18" s="46">
        <v>27.1</v>
      </c>
      <c r="C18" s="46">
        <v>27.1</v>
      </c>
      <c r="D18" s="46"/>
      <c r="E18" s="46"/>
      <c r="F18" s="46">
        <v>27.1</v>
      </c>
      <c r="G18" s="46">
        <v>27.1</v>
      </c>
      <c r="H18" s="46">
        <v>27.1</v>
      </c>
      <c r="I18" s="46">
        <v>27.1</v>
      </c>
      <c r="J18" s="46">
        <v>27.1</v>
      </c>
      <c r="K18" s="46"/>
      <c r="L18" s="46"/>
      <c r="M18" s="46">
        <v>27.1</v>
      </c>
      <c r="N18" s="46">
        <v>27.1</v>
      </c>
      <c r="O18" s="46">
        <v>27.1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139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5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5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5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24.799999999999997</v>
      </c>
      <c r="C17" s="46">
        <v>24.799999999999997</v>
      </c>
      <c r="D17" s="46"/>
      <c r="E17" s="46"/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K17" s="46"/>
      <c r="L17" s="46"/>
      <c r="M17" s="46">
        <v>24.799999999999997</v>
      </c>
      <c r="N17" s="46">
        <v>24.799999999999997</v>
      </c>
      <c r="O17" s="46">
        <v>24.799999999999997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155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5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5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5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5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5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5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5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5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5">
      <c r="A18" s="46" t="s">
        <v>101</v>
      </c>
      <c r="B18" s="46">
        <v>17.3</v>
      </c>
      <c r="C18" s="46">
        <v>17.3</v>
      </c>
      <c r="D18" s="46"/>
      <c r="E18" s="46"/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K18" s="46"/>
      <c r="L18" s="46"/>
      <c r="M18" s="46">
        <v>17.3</v>
      </c>
      <c r="N18" s="46">
        <v>17.3</v>
      </c>
      <c r="O18" s="46">
        <v>17.3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171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5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28.5</v>
      </c>
      <c r="C17" s="46">
        <v>28.5</v>
      </c>
      <c r="D17" s="46"/>
      <c r="E17" s="46"/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K17" s="46"/>
      <c r="L17" s="46"/>
      <c r="M17" s="46">
        <v>28.5</v>
      </c>
      <c r="N17" s="46">
        <v>28.5</v>
      </c>
      <c r="O17" s="46">
        <v>28.5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187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5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5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5">
      <c r="A13" s="46" t="s">
        <v>101</v>
      </c>
      <c r="B13" s="46">
        <v>19.2</v>
      </c>
      <c r="C13" s="46">
        <v>19.2</v>
      </c>
      <c r="D13" s="46"/>
      <c r="E13" s="46"/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K13" s="46"/>
      <c r="L13" s="46"/>
      <c r="M13" s="46">
        <v>19.2</v>
      </c>
      <c r="N13" s="46">
        <v>19.2</v>
      </c>
      <c r="O13" s="46">
        <v>19.2</v>
      </c>
    </row>
    <row r="14" spans="1:1" s="47" customFormat="1" x14ac:dyDescent="0.25">
      <c r="A14" s="47" t="s">
        <v>69</v>
      </c>
    </row>
    <row r="16" spans="1:15" s="48" customFormat="1" x14ac:dyDescent="0.25">
      <c r="A16" s="48" t="s">
        <v>102</v>
      </c>
      <c r="B16" s="48">
        <f>SUM($B$13:B$13)-SUM($B$14:B$14)</f>
      </c>
      <c r="C16" s="48">
        <f>SUM($B$13:C$13)-SUM($B$14:C$14)</f>
      </c>
      <c r="D16" s="48">
        <f>SUM($B$13:D$13)-SUM($B$14:D$14)</f>
      </c>
      <c r="E16" s="48">
        <f>SUM($B$13:E$13)-SUM($B$14:E$14)</f>
      </c>
      <c r="F16" s="48">
        <f>SUM($B$13:F$13)-SUM($B$14:F$14)</f>
      </c>
      <c r="G16" s="48">
        <f>SUM($B$13:G$13)-SUM($B$14:G$14)</f>
      </c>
      <c r="H16" s="48">
        <f>SUM($B$13:H$13)-SUM($B$14:H$14)</f>
      </c>
      <c r="I16" s="48">
        <f>SUM($B$13:I$13)-SUM($B$14:I$14)</f>
      </c>
      <c r="J16" s="48">
        <f>SUM($B$13:J$13)-SUM($B$14:J$14)</f>
      </c>
      <c r="K16" s="48">
        <f>SUM($B$13:K$13)-SUM($B$14:K$14)</f>
      </c>
      <c r="L16" s="48">
        <f>SUM($B$13:L$13)-SUM($B$14:L$14)</f>
      </c>
      <c r="M16" s="48">
        <f>SUM($B$13:M$13)-SUM($B$14:M$14)</f>
      </c>
      <c r="N16" s="48">
        <f>SUM($B$13:N$13)-SUM($B$14:N$14)</f>
      </c>
      <c r="O16" s="48">
        <f>SUM($B$13:O$13)-SUM($B$14:O$14)</f>
      </c>
    </row>
    <row r="18" spans="1:15" s="49" customFormat="1" x14ac:dyDescent="0.25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5">
      <c r="A19" t="s">
        <v>104</v>
      </c>
      <c r="B19">
        <f>B16</f>
      </c>
      <c r="C19">
        <f>C16</f>
      </c>
      <c r="D19">
        <f>D16</f>
      </c>
      <c r="E19">
        <f>E16</f>
      </c>
      <c r="F19">
        <f>F16</f>
      </c>
      <c r="G19">
        <f>G16</f>
      </c>
      <c r="H19">
        <f>H16</f>
      </c>
      <c r="I19">
        <f>I16</f>
      </c>
      <c r="J19">
        <f>J16</f>
      </c>
      <c r="K19">
        <f>K16</f>
      </c>
      <c r="L19">
        <f>L16</f>
      </c>
      <c r="M19">
        <f>M16</f>
      </c>
      <c r="N19">
        <f>N16</f>
      </c>
      <c r="O19">
        <f>O16</f>
      </c>
    </row>
    <row r="21" spans="1:1" s="50" customFormat="1" x14ac:dyDescent="0.25">
      <c r="A21" s="50" t="s">
        <v>203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5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5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5">
      <c r="A4" s="46" t="s">
        <v>101</v>
      </c>
      <c r="B4" s="46">
        <v>6</v>
      </c>
      <c r="C4" s="46">
        <v>6</v>
      </c>
      <c r="D4" s="46"/>
      <c r="E4" s="46"/>
      <c r="F4" s="46">
        <v>6</v>
      </c>
      <c r="G4" s="46">
        <v>6</v>
      </c>
      <c r="H4" s="46">
        <v>6</v>
      </c>
      <c r="I4" s="46">
        <v>6</v>
      </c>
      <c r="J4" s="46">
        <v>6</v>
      </c>
      <c r="K4" s="46"/>
      <c r="L4" s="46"/>
      <c r="M4" s="46">
        <v>6</v>
      </c>
      <c r="N4" s="46">
        <v>6</v>
      </c>
      <c r="O4" s="46">
        <v>6</v>
      </c>
    </row>
    <row r="5" spans="1:1" s="47" customFormat="1" x14ac:dyDescent="0.25">
      <c r="A5" s="47" t="s">
        <v>69</v>
      </c>
    </row>
    <row r="7" spans="1:15" s="48" customFormat="1" x14ac:dyDescent="0.25">
      <c r="A7" s="48" t="s">
        <v>102</v>
      </c>
      <c r="B7" s="48">
        <f>SUM($B$4:B$4)-SUM($B$5:B$5)</f>
      </c>
      <c r="C7" s="48">
        <f>SUM($B$4:C$4)-SUM($B$5:C$5)</f>
      </c>
      <c r="D7" s="48">
        <f>SUM($B$4:D$4)-SUM($B$5:D$5)</f>
      </c>
      <c r="E7" s="48">
        <f>SUM($B$4:E$4)-SUM($B$5:E$5)</f>
      </c>
      <c r="F7" s="48">
        <f>SUM($B$4:F$4)-SUM($B$5:F$5)</f>
      </c>
      <c r="G7" s="48">
        <f>SUM($B$4:G$4)-SUM($B$5:G$5)</f>
      </c>
      <c r="H7" s="48">
        <f>SUM($B$4:H$4)-SUM($B$5:H$5)</f>
      </c>
      <c r="I7" s="48">
        <f>SUM($B$4:I$4)-SUM($B$5:I$5)</f>
      </c>
      <c r="J7" s="48">
        <f>SUM($B$4:J$4)-SUM($B$5:J$5)</f>
      </c>
      <c r="K7" s="48">
        <f>SUM($B$4:K$4)-SUM($B$5:K$5)</f>
      </c>
      <c r="L7" s="48">
        <f>SUM($B$4:L$4)-SUM($B$5:L$5)</f>
      </c>
      <c r="M7" s="48">
        <f>SUM($B$4:M$4)-SUM($B$5:M$5)</f>
      </c>
      <c r="N7" s="48">
        <f>SUM($B$4:N$4)-SUM($B$5:N$5)</f>
      </c>
      <c r="O7" s="48">
        <f>SUM($B$4:O$4)-SUM($B$5:O$5)</f>
      </c>
    </row>
    <row r="9" spans="1:15" s="49" customFormat="1" x14ac:dyDescent="0.25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5">
      <c r="A10" t="s">
        <v>104</v>
      </c>
      <c r="B10">
        <f>B7</f>
      </c>
      <c r="C10">
        <f>C7</f>
      </c>
      <c r="D10">
        <f>D7</f>
      </c>
      <c r="E10">
        <f>E7</f>
      </c>
      <c r="F10">
        <f>F7</f>
      </c>
      <c r="G10">
        <f>G7</f>
      </c>
      <c r="H10">
        <f>H7</f>
      </c>
      <c r="I10">
        <f>I7</f>
      </c>
      <c r="J10">
        <f>J7</f>
      </c>
      <c r="K10">
        <f>K7</f>
      </c>
      <c r="L10">
        <f>L7</f>
      </c>
      <c r="M10">
        <f>M7</f>
      </c>
      <c r="N10">
        <f>N7</f>
      </c>
      <c r="O10">
        <f>O7</f>
      </c>
    </row>
    <row r="12" spans="1:1" s="50" customFormat="1" x14ac:dyDescent="0.25">
      <c r="A12" s="50" t="s">
        <v>219</v>
      </c>
    </row>
    <row r="13" spans="1:1" x14ac:dyDescent="0.25">
      <c r="A13" t="s">
        <v>106</v>
      </c>
    </row>
    <row r="14" spans="1:1" x14ac:dyDescent="0.25">
      <c r="A14" t="s">
        <v>107</v>
      </c>
    </row>
    <row r="15" spans="1:1" x14ac:dyDescent="0.25">
      <c r="A15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5">
      <c r="A2" s="46" t="s">
        <v>101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" s="47" customFormat="1" x14ac:dyDescent="0.25">
      <c r="A3" s="47" t="s">
        <v>69</v>
      </c>
    </row>
    <row r="5" spans="1:15" s="48" customFormat="1" x14ac:dyDescent="0.25">
      <c r="A5" s="48" t="s">
        <v>102</v>
      </c>
      <c r="B5" s="48">
        <f>SUM($B$2:B$2)-SUM($B$3:B$3)</f>
      </c>
      <c r="C5" s="48">
        <f>SUM($B$2:C$2)-SUM($B$3:C$3)</f>
      </c>
      <c r="D5" s="48">
        <f>SUM($B$2:D$2)-SUM($B$3:D$3)</f>
      </c>
      <c r="E5" s="48">
        <f>SUM($B$2:E$2)-SUM($B$3:E$3)</f>
      </c>
      <c r="F5" s="48">
        <f>SUM($B$2:F$2)-SUM($B$3:F$3)</f>
      </c>
      <c r="G5" s="48">
        <f>SUM($B$2:G$2)-SUM($B$3:G$3)</f>
      </c>
      <c r="H5" s="48">
        <f>SUM($B$2:H$2)-SUM($B$3:H$3)</f>
      </c>
      <c r="I5" s="48">
        <f>SUM($B$2:I$2)-SUM($B$3:I$3)</f>
      </c>
      <c r="J5" s="48">
        <f>SUM($B$2:J$2)-SUM($B$3:J$3)</f>
      </c>
      <c r="K5" s="48">
        <f>SUM($B$2:K$2)-SUM($B$3:K$3)</f>
      </c>
      <c r="L5" s="48">
        <f>SUM($B$2:L$2)-SUM($B$3:L$3)</f>
      </c>
      <c r="M5" s="48">
        <f>SUM($B$2:M$2)-SUM($B$3:M$3)</f>
      </c>
      <c r="N5" s="48">
        <f>SUM($B$2:N$2)-SUM($B$3:N$3)</f>
      </c>
      <c r="O5" s="48">
        <f>SUM($B$2:O$2)-SUM($B$3:O$3)</f>
      </c>
    </row>
    <row r="7" spans="1:15" s="49" customFormat="1" x14ac:dyDescent="0.25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5">
      <c r="A8" t="s">
        <v>104</v>
      </c>
      <c r="B8">
        <f>B5</f>
      </c>
      <c r="C8">
        <f>C5</f>
      </c>
      <c r="D8">
        <f>D5</f>
      </c>
      <c r="E8">
        <f>E5</f>
      </c>
      <c r="F8">
        <f>F5</f>
      </c>
      <c r="G8">
        <f>G5</f>
      </c>
      <c r="H8">
        <f>H5</f>
      </c>
      <c r="I8">
        <f>I5</f>
      </c>
      <c r="J8">
        <f>J5</f>
      </c>
      <c r="K8">
        <f>K5</f>
      </c>
      <c r="L8">
        <f>L5</f>
      </c>
      <c r="M8">
        <f>M5</f>
      </c>
      <c r="N8">
        <f>N5</f>
      </c>
      <c r="O8">
        <f>O5</f>
      </c>
    </row>
    <row r="10" spans="1:1" s="50" customFormat="1" x14ac:dyDescent="0.25">
      <c r="A10" s="50" t="s">
        <v>235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7"/>
  <sheetViews>
    <sheetView workbookViewId="0" zoomScale="150" zoomScaleNormal="125">
      <selection activeCell="F3" sqref="F3"/>
    </sheetView>
  </sheetViews>
  <sheetFormatPr defaultRowHeight="15" outlineLevelRow="0" outlineLevelCol="0" x14ac:dyDescent="0.2" defaultColWidth="8.83203125"/>
  <cols>
    <col min="1" max="1" width="23.5" customWidth="1"/>
    <col min="2" max="15" width="8.83203125" style="1" customWidth="1"/>
  </cols>
  <sheetData>
    <row r="1" spans="1:44" x14ac:dyDescent="0.25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5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17.4</v>
      </c>
      <c r="AF2" s="40"/>
      <c r="AG2" s="40"/>
      <c r="AH2" s="40">
        <v>24.8</v>
      </c>
      <c r="AI2" s="40">
        <v>29.8</v>
      </c>
      <c r="AJ2" s="40">
        <v>32.2</v>
      </c>
      <c r="AK2" s="40">
        <v>47.1</v>
      </c>
      <c r="AL2" s="40">
        <v>29.8</v>
      </c>
      <c r="AM2" s="40"/>
      <c r="AN2" s="40"/>
      <c r="AO2" s="40">
        <v>24.8</v>
      </c>
      <c r="AP2" s="40">
        <v>17.4</v>
      </c>
      <c r="AQ2" s="40">
        <v>12.4</v>
      </c>
      <c r="AR2" s="40">
        <v>8.7</v>
      </c>
    </row>
    <row r="3" spans="1:44" x14ac:dyDescent="0.25">
      <c r="A3" s="41" t="s">
        <v>82</v>
      </c>
      <c r="B3" s="9">
        <v>19</v>
      </c>
      <c r="C3" s="9">
        <v>18</v>
      </c>
      <c r="D3" s="9"/>
      <c r="E3" s="9"/>
      <c r="F3" s="9">
        <v>18</v>
      </c>
      <c r="G3" s="9">
        <v>22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ht="16" customHeight="1" spans="1:44" x14ac:dyDescent="0.25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</v>
      </c>
      <c r="Q4" s="42">
        <v>282.6</v>
      </c>
      <c r="R4" s="42">
        <v>282.6</v>
      </c>
      <c r="S4" s="42">
        <v>282.6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</v>
      </c>
      <c r="AI4" s="42">
        <v>605.5</v>
      </c>
      <c r="AJ4" s="42">
        <v>637.7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5">
      <c r="A5" s="41" t="s">
        <v>84</v>
      </c>
      <c r="B5" s="9">
        <v>19</v>
      </c>
      <c r="C5" s="9">
        <v>37</v>
      </c>
      <c r="D5" s="9">
        <v>37</v>
      </c>
      <c r="E5" s="9">
        <v>37</v>
      </c>
      <c r="F5" s="9">
        <v>55</v>
      </c>
      <c r="G5" s="9">
        <v>77</v>
      </c>
      <c r="H5" s="9">
        <v>77</v>
      </c>
      <c r="I5" s="9">
        <v>77</v>
      </c>
      <c r="J5" s="9">
        <v>77</v>
      </c>
      <c r="K5" s="9">
        <v>77</v>
      </c>
      <c r="L5" s="9">
        <v>77</v>
      </c>
      <c r="M5" s="9">
        <v>77</v>
      </c>
      <c r="N5" s="9">
        <v>77</v>
      </c>
      <c r="O5" s="9">
        <v>77</v>
      </c>
      <c r="P5" s="42">
        <v>77</v>
      </c>
      <c r="Q5" s="42">
        <v>77</v>
      </c>
      <c r="R5" s="42">
        <v>77</v>
      </c>
      <c r="S5" s="42">
        <v>77</v>
      </c>
      <c r="T5" s="42">
        <v>77</v>
      </c>
      <c r="U5" s="42">
        <v>77</v>
      </c>
      <c r="V5" s="42">
        <v>77</v>
      </c>
      <c r="W5" s="42">
        <v>77</v>
      </c>
      <c r="X5" s="42">
        <v>77</v>
      </c>
      <c r="Y5" s="42">
        <v>77</v>
      </c>
      <c r="Z5" s="42">
        <v>77</v>
      </c>
      <c r="AA5" s="42">
        <v>77</v>
      </c>
      <c r="AB5" s="42">
        <v>77</v>
      </c>
      <c r="AC5" s="42">
        <v>77</v>
      </c>
      <c r="AD5" s="42">
        <v>77</v>
      </c>
      <c r="AE5" s="42">
        <v>77</v>
      </c>
      <c r="AF5" s="42">
        <v>77</v>
      </c>
      <c r="AG5" s="42">
        <v>77</v>
      </c>
      <c r="AH5" s="42">
        <v>77</v>
      </c>
      <c r="AI5" s="42">
        <v>77</v>
      </c>
      <c r="AJ5" s="42">
        <v>77</v>
      </c>
      <c r="AK5" s="42">
        <v>77</v>
      </c>
      <c r="AL5" s="42">
        <v>77</v>
      </c>
      <c r="AM5" s="42">
        <v>77</v>
      </c>
      <c r="AN5" s="42">
        <v>77</v>
      </c>
      <c r="AO5" s="42">
        <v>77</v>
      </c>
      <c r="AP5" s="42">
        <v>77</v>
      </c>
      <c r="AQ5" s="42">
        <v>77</v>
      </c>
      <c r="AR5" s="42">
        <v>77</v>
      </c>
    </row>
    <row r="6" spans="1:44" x14ac:dyDescent="0.25">
      <c r="A6" s="41" t="s">
        <v>85</v>
      </c>
      <c r="B6" s="9">
        <v>6.5</v>
      </c>
      <c r="C6" s="9">
        <v>7</v>
      </c>
      <c r="D6" s="9">
        <v>7</v>
      </c>
      <c r="E6" s="9">
        <v>7</v>
      </c>
      <c r="F6" s="9">
        <v>0</v>
      </c>
      <c r="G6" s="9">
        <v>-8</v>
      </c>
      <c r="H6" s="9"/>
      <c r="I6" s="9"/>
      <c r="J6" s="9"/>
      <c r="K6" s="9"/>
      <c r="L6" s="9"/>
      <c r="M6" s="9"/>
      <c r="N6" s="9"/>
      <c r="O6" s="9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5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692</v>
      </c>
      <c r="H7" s="9">
        <v>692</v>
      </c>
      <c r="I7" s="9">
        <v>692</v>
      </c>
      <c r="J7" s="9">
        <v>692</v>
      </c>
      <c r="K7" s="9">
        <v>692</v>
      </c>
      <c r="L7" s="9">
        <v>692</v>
      </c>
      <c r="M7" s="9">
        <v>692</v>
      </c>
      <c r="N7" s="9">
        <v>692</v>
      </c>
      <c r="O7" s="9">
        <v>692</v>
      </c>
      <c r="P7" s="42">
        <v>692</v>
      </c>
      <c r="Q7" s="42">
        <v>692</v>
      </c>
      <c r="R7" s="42">
        <v>692</v>
      </c>
      <c r="S7" s="42">
        <v>692</v>
      </c>
      <c r="T7" s="42">
        <v>692</v>
      </c>
      <c r="U7" s="42">
        <v>692</v>
      </c>
      <c r="V7" s="42">
        <v>692</v>
      </c>
      <c r="W7" s="42">
        <v>692</v>
      </c>
      <c r="X7" s="42">
        <v>692</v>
      </c>
      <c r="Y7" s="42">
        <v>692</v>
      </c>
      <c r="Z7" s="42">
        <v>692</v>
      </c>
      <c r="AA7" s="42">
        <v>692</v>
      </c>
      <c r="AB7" s="42">
        <v>692</v>
      </c>
      <c r="AC7" s="42">
        <v>692</v>
      </c>
      <c r="AD7" s="42">
        <v>692</v>
      </c>
      <c r="AE7" s="42">
        <v>692</v>
      </c>
      <c r="AF7" s="42">
        <v>692</v>
      </c>
      <c r="AG7" s="42">
        <v>692</v>
      </c>
      <c r="AH7" s="42">
        <v>692</v>
      </c>
      <c r="AI7" s="42">
        <v>692</v>
      </c>
      <c r="AJ7" s="42">
        <v>692</v>
      </c>
      <c r="AK7" s="42">
        <v>692</v>
      </c>
      <c r="AL7" s="42">
        <v>692</v>
      </c>
      <c r="AM7" s="42">
        <v>692</v>
      </c>
      <c r="AN7" s="42">
        <v>692</v>
      </c>
      <c r="AO7" s="42">
        <v>692</v>
      </c>
      <c r="AP7" s="42">
        <v>692</v>
      </c>
      <c r="AQ7" s="42">
        <v>692</v>
      </c>
      <c r="AR7" s="42">
        <v>692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 zoomScale="125" zoomScaleNormal="125">
      <selection activeCell="C5" sqref="C5"/>
    </sheetView>
  </sheetViews>
  <sheetFormatPr defaultRowHeight="15" outlineLevelRow="0" outlineLevelCol="0" x14ac:dyDescent="0.2" defaultColWidth="8.83203125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5">
      <c r="A1" s="43" t="s">
        <v>15</v>
      </c>
      <c r="B1" s="44">
        <v>1</v>
      </c>
      <c r="C1" s="42"/>
    </row>
    <row r="2" spans="1:3" x14ac:dyDescent="0.25">
      <c r="A2" s="8" t="s">
        <v>18</v>
      </c>
      <c r="B2" s="44">
        <v>1</v>
      </c>
      <c r="C2" s="42"/>
    </row>
    <row r="3" spans="1:3" x14ac:dyDescent="0.25">
      <c r="A3" s="8" t="s">
        <v>19</v>
      </c>
      <c r="B3" s="44">
        <v>1</v>
      </c>
      <c r="C3" s="42"/>
    </row>
    <row r="4" spans="1:3" x14ac:dyDescent="0.25">
      <c r="A4" s="8" t="s">
        <v>20</v>
      </c>
      <c r="B4" s="44"/>
      <c r="C4" s="42"/>
    </row>
    <row r="5" spans="1:3" x14ac:dyDescent="0.25">
      <c r="A5" s="8" t="s">
        <v>21</v>
      </c>
      <c r="B5" s="44"/>
      <c r="C5" s="42"/>
    </row>
    <row r="6" spans="1:3" x14ac:dyDescent="0.25">
      <c r="A6" s="8" t="s">
        <v>23</v>
      </c>
      <c r="B6" s="44"/>
      <c r="C6" s="42"/>
    </row>
    <row r="7" spans="1:3" x14ac:dyDescent="0.25">
      <c r="A7" s="8" t="s">
        <v>25</v>
      </c>
      <c r="B7" s="44"/>
      <c r="C7" s="42"/>
    </row>
    <row r="8" spans="1:3" x14ac:dyDescent="0.25">
      <c r="A8" s="8" t="s">
        <v>26</v>
      </c>
      <c r="B8" s="44"/>
      <c r="C8" s="42"/>
    </row>
    <row r="9" spans="1:3" x14ac:dyDescent="0.25">
      <c r="A9" s="8" t="s">
        <v>27</v>
      </c>
      <c r="B9" s="44"/>
      <c r="C9" s="42"/>
    </row>
    <row r="10" spans="1:3" x14ac:dyDescent="0.25">
      <c r="A10" s="8" t="s">
        <v>29</v>
      </c>
      <c r="B10" s="44"/>
      <c r="C10" s="42"/>
    </row>
    <row r="11" spans="1:3" x14ac:dyDescent="0.25">
      <c r="A11" s="8" t="s">
        <v>30</v>
      </c>
      <c r="B11" s="44"/>
      <c r="C11" s="42"/>
    </row>
    <row r="12" spans="1:3" x14ac:dyDescent="0.25">
      <c r="A12" s="8" t="s">
        <v>31</v>
      </c>
      <c r="B12" s="44"/>
      <c r="C12" s="42"/>
    </row>
    <row r="13" spans="1:3" x14ac:dyDescent="0.25">
      <c r="A13" s="8" t="s">
        <v>32</v>
      </c>
      <c r="B13" s="44"/>
      <c r="C13" s="42"/>
    </row>
    <row r="14" spans="1:3" x14ac:dyDescent="0.25">
      <c r="A14" s="8" t="s">
        <v>33</v>
      </c>
      <c r="B14" s="44"/>
      <c r="C14" s="42"/>
    </row>
    <row r="15" spans="1:3" x14ac:dyDescent="0.25">
      <c r="A15" s="8" t="s">
        <v>34</v>
      </c>
      <c r="B15" s="44"/>
      <c r="C15" s="42"/>
    </row>
    <row r="16" spans="1:3" x14ac:dyDescent="0.25">
      <c r="A16" s="8" t="s">
        <v>35</v>
      </c>
      <c r="B16" s="44"/>
      <c r="C16" s="42"/>
    </row>
    <row r="17" spans="1:3" x14ac:dyDescent="0.25">
      <c r="A17" s="8" t="s">
        <v>36</v>
      </c>
      <c r="B17" s="44"/>
      <c r="C17" s="42"/>
    </row>
    <row r="18" spans="1:3" x14ac:dyDescent="0.25">
      <c r="A18" s="8" t="s">
        <v>37</v>
      </c>
      <c r="B18" s="44"/>
      <c r="C18" s="42"/>
    </row>
    <row r="19" spans="1:3" x14ac:dyDescent="0.25">
      <c r="A19" s="8" t="s">
        <v>38</v>
      </c>
      <c r="B19" s="44"/>
      <c r="C19" s="42"/>
    </row>
    <row r="20" spans="1:3" x14ac:dyDescent="0.25">
      <c r="A20" s="8" t="s">
        <v>39</v>
      </c>
      <c r="B20" s="44"/>
      <c r="C20" s="42"/>
    </row>
    <row r="21" spans="1:3" x14ac:dyDescent="0.25">
      <c r="A21" s="8" t="s">
        <v>41</v>
      </c>
      <c r="B21" s="44"/>
      <c r="C21" s="42"/>
    </row>
    <row r="22" spans="1:3" x14ac:dyDescent="0.25">
      <c r="A22" s="8" t="s">
        <v>42</v>
      </c>
      <c r="B22" s="44"/>
      <c r="C22" s="42"/>
    </row>
    <row r="23" spans="1:3" x14ac:dyDescent="0.25">
      <c r="A23" s="8" t="s">
        <v>43</v>
      </c>
      <c r="B23" s="44"/>
      <c r="C23" s="42"/>
    </row>
    <row r="24" spans="1:3" x14ac:dyDescent="0.25">
      <c r="A24" s="8" t="s">
        <v>44</v>
      </c>
      <c r="B24" s="44"/>
      <c r="C24" s="42"/>
    </row>
    <row r="25" spans="1:3" x14ac:dyDescent="0.25">
      <c r="A25" s="8" t="s">
        <v>45</v>
      </c>
      <c r="B25" s="44"/>
      <c r="C25" s="42"/>
    </row>
    <row r="26" spans="1:3" x14ac:dyDescent="0.25">
      <c r="A26" s="8" t="s">
        <v>47</v>
      </c>
      <c r="B26" s="44"/>
      <c r="C26" s="42"/>
    </row>
    <row r="27" spans="1:3" x14ac:dyDescent="0.25">
      <c r="A27" s="8" t="s">
        <v>48</v>
      </c>
      <c r="B27" s="44"/>
      <c r="C27" s="42"/>
    </row>
    <row r="28" spans="1:3" x14ac:dyDescent="0.25">
      <c r="A28" s="8" t="s">
        <v>49</v>
      </c>
      <c r="B28" s="44"/>
      <c r="C28" s="42"/>
    </row>
    <row r="29" spans="1:3" x14ac:dyDescent="0.25">
      <c r="A29" s="8" t="s">
        <v>50</v>
      </c>
      <c r="B29" s="44"/>
      <c r="C29" s="42"/>
    </row>
    <row r="30" spans="1:3" x14ac:dyDescent="0.25">
      <c r="A30" s="8" t="s">
        <v>51</v>
      </c>
      <c r="B30" s="44"/>
      <c r="C30" s="42"/>
    </row>
    <row r="31" spans="1:3" x14ac:dyDescent="0.25">
      <c r="A31" s="8" t="s">
        <v>52</v>
      </c>
      <c r="B31" s="44"/>
      <c r="C31" s="42"/>
    </row>
    <row r="32" spans="1:3" x14ac:dyDescent="0.25">
      <c r="A32" s="8" t="s">
        <v>53</v>
      </c>
      <c r="B32" s="44"/>
      <c r="C32" s="42"/>
    </row>
    <row r="33" spans="1:3" x14ac:dyDescent="0.25">
      <c r="A33" s="8" t="s">
        <v>54</v>
      </c>
      <c r="B33" s="44"/>
      <c r="C33" s="42"/>
    </row>
    <row r="34" spans="1:3" x14ac:dyDescent="0.25">
      <c r="A34" s="8" t="s">
        <v>55</v>
      </c>
      <c r="B34" s="44"/>
      <c r="C34" s="42"/>
    </row>
    <row r="35" spans="1:3" x14ac:dyDescent="0.25">
      <c r="A35" s="8" t="s">
        <v>56</v>
      </c>
      <c r="B35" s="44"/>
      <c r="C35" s="42"/>
    </row>
    <row r="36" spans="1:3" x14ac:dyDescent="0.25">
      <c r="A36" s="8" t="s">
        <v>57</v>
      </c>
      <c r="B36" s="44"/>
      <c r="C36" s="42"/>
    </row>
    <row r="37" spans="1:3" x14ac:dyDescent="0.25">
      <c r="A37" s="8" t="s">
        <v>58</v>
      </c>
      <c r="B37" s="44"/>
      <c r="C37" s="42"/>
    </row>
    <row r="38" spans="1:3" x14ac:dyDescent="0.25">
      <c r="A38" s="8" t="s">
        <v>59</v>
      </c>
      <c r="B38" s="44"/>
      <c r="C38" s="42"/>
    </row>
    <row r="39" spans="1:3" x14ac:dyDescent="0.25">
      <c r="A39" s="42" t="s">
        <v>60</v>
      </c>
      <c r="B39" s="44"/>
      <c r="C39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2025-10-30T12:37:37Z</dcterms:created>
  <dcterms:modified xsi:type="dcterms:W3CDTF">2025-11-11T19:22:14Z</dcterms:modified>
</cp:coreProperties>
</file>